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showInkAnnotation="0" autoCompressPictures="0" defaultThemeVersion="202300"/>
  <mc:AlternateContent xmlns:mc="http://schemas.openxmlformats.org/markup-compatibility/2006">
    <mc:Choice Requires="x15">
      <x15ac:absPath xmlns:x15ac="http://schemas.microsoft.com/office/spreadsheetml/2010/11/ac" url="/Users/stevenlanciotti/Desktop/DataSci-241/w241_final_project/Steve_Work/"/>
    </mc:Choice>
  </mc:AlternateContent>
  <xr:revisionPtr revIDLastSave="0" documentId="13_ncr:1_{5037F3A2-37DA-4246-B415-DA3F07183B23}" xr6:coauthVersionLast="47" xr6:coauthVersionMax="47" xr10:uidLastSave="{00000000-0000-0000-0000-000000000000}"/>
  <bookViews>
    <workbookView xWindow="30380" yWindow="660" windowWidth="38080" windowHeight="20780" tabRatio="500" activeTab="1" xr2:uid="{00000000-000D-0000-FFFF-FFFF00000000}"/>
  </bookViews>
  <sheets>
    <sheet name="Data Summary" sheetId="7" r:id="rId1"/>
    <sheet name="Final Data" sheetId="23" r:id="rId2"/>
    <sheet name="Experiment Tracker" sheetId="20" r:id="rId3"/>
    <sheet name="Consolidated Data - Static" sheetId="6" r:id="rId4"/>
    <sheet name="Consolidated Data - Dynamic" sheetId="3" r:id="rId5"/>
    <sheet name="REMOVED" sheetId="12" r:id="rId6"/>
    <sheet name="OUTCOME" sheetId="13" r:id="rId7"/>
    <sheet name="All - AdoptAPet" sheetId="1" r:id="rId8"/>
    <sheet name="All - PetPoint" sheetId="4" r:id="rId9"/>
    <sheet name="AnimalInventory - PetPoint" sheetId="5" r:id="rId10"/>
    <sheet name="Pivot Data" sheetId="8" r:id="rId11"/>
    <sheet name="PreTreat LOS" sheetId="17" r:id="rId12"/>
    <sheet name="PreTreat - All Data Reserve" sheetId="18" r:id="rId13"/>
    <sheet name="PreTreat DogTraffic" sheetId="15" r:id="rId14"/>
    <sheet name="Breed Group" sheetId="10" r:id="rId15"/>
    <sheet name="InitialRandom_10_07_25" sheetId="11" r:id="rId16"/>
    <sheet name="Randomize_10_18_25" sheetId="14" r:id="rId17"/>
    <sheet name="Randomize_10_20_25" sheetId="19" r:id="rId18"/>
    <sheet name="Randomize_11_17_25" sheetId="21" r:id="rId19"/>
    <sheet name="AnimalInventory- December 1" sheetId="24" r:id="rId20"/>
    <sheet name="Adopt-a-Pet.com  December 1" sheetId="25" r:id="rId21"/>
  </sheets>
  <definedNames>
    <definedName name="_xlnm._FilterDatabase" localSheetId="7" hidden="1">'All - AdoptAPet'!$A$1:$AE$103</definedName>
    <definedName name="_xlnm._FilterDatabase" localSheetId="8" hidden="1">'All - PetPoint'!$A$1:$Q$362</definedName>
    <definedName name="_xlnm._FilterDatabase" localSheetId="4" hidden="1">'Consolidated Data - Dynamic'!$A$1:$AM$81</definedName>
    <definedName name="_xlnm._FilterDatabase" localSheetId="2" hidden="1">'Experiment Tracker'!$A$1:$P$58</definedName>
    <definedName name="_xlnm._FilterDatabase" localSheetId="18" hidden="1">Randomize_11_17_25!$A$1:$E$62</definedName>
  </definedNames>
  <calcPr calcId="191029"/>
  <pivotCaches>
    <pivotCache cacheId="0" r:id="rId22"/>
    <pivotCache cacheId="1" r:id="rId23"/>
    <pivotCache cacheId="2" r:id="rId24"/>
    <pivotCache cacheId="3" r:id="rId2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 i="23" l="1"/>
  <c r="S3" i="23"/>
  <c r="T3" i="23"/>
  <c r="U3" i="23"/>
  <c r="V3" i="23"/>
  <c r="W3" i="23"/>
  <c r="X3" i="23"/>
  <c r="Y3" i="23"/>
  <c r="Z3" i="23"/>
  <c r="AA3" i="23"/>
  <c r="AB3" i="23"/>
  <c r="AC3" i="23"/>
  <c r="AD3" i="23"/>
  <c r="AE3" i="23"/>
  <c r="AF3" i="23"/>
  <c r="AG3" i="23"/>
  <c r="AH3" i="23"/>
  <c r="AI3" i="23"/>
  <c r="R4" i="23"/>
  <c r="S4" i="23"/>
  <c r="T4" i="23"/>
  <c r="U4" i="23"/>
  <c r="V4" i="23"/>
  <c r="W4" i="23"/>
  <c r="X4" i="23"/>
  <c r="Y4" i="23"/>
  <c r="Z4" i="23"/>
  <c r="AA4" i="23"/>
  <c r="AB4" i="23"/>
  <c r="AC4" i="23"/>
  <c r="AD4" i="23"/>
  <c r="AE4" i="23"/>
  <c r="AF4" i="23"/>
  <c r="AG4" i="23"/>
  <c r="AH4" i="23"/>
  <c r="AI4" i="23"/>
  <c r="R5" i="23"/>
  <c r="S5" i="23"/>
  <c r="T5" i="23"/>
  <c r="U5" i="23"/>
  <c r="V5" i="23"/>
  <c r="W5" i="23"/>
  <c r="X5" i="23"/>
  <c r="Y5" i="23"/>
  <c r="Z5" i="23"/>
  <c r="AA5" i="23"/>
  <c r="AB5" i="23"/>
  <c r="AC5" i="23"/>
  <c r="AD5" i="23"/>
  <c r="AE5" i="23"/>
  <c r="AF5" i="23"/>
  <c r="AG5" i="23"/>
  <c r="AH5" i="23"/>
  <c r="AI5" i="23"/>
  <c r="R6" i="23"/>
  <c r="S6" i="23"/>
  <c r="T6" i="23"/>
  <c r="U6" i="23"/>
  <c r="V6" i="23"/>
  <c r="W6" i="23"/>
  <c r="X6" i="23"/>
  <c r="Y6" i="23"/>
  <c r="Z6" i="23"/>
  <c r="AA6" i="23"/>
  <c r="AB6" i="23"/>
  <c r="AC6" i="23"/>
  <c r="AD6" i="23"/>
  <c r="AE6" i="23"/>
  <c r="AF6" i="23"/>
  <c r="AG6" i="23"/>
  <c r="AH6" i="23"/>
  <c r="AI6" i="23"/>
  <c r="R7" i="23"/>
  <c r="S7" i="23"/>
  <c r="T7" i="23"/>
  <c r="U7" i="23"/>
  <c r="V7" i="23"/>
  <c r="W7" i="23"/>
  <c r="X7" i="23"/>
  <c r="Y7" i="23"/>
  <c r="Z7" i="23"/>
  <c r="AA7" i="23"/>
  <c r="AB7" i="23"/>
  <c r="AC7" i="23"/>
  <c r="AD7" i="23"/>
  <c r="AE7" i="23"/>
  <c r="AF7" i="23"/>
  <c r="AG7" i="23"/>
  <c r="AH7" i="23"/>
  <c r="AI7" i="23"/>
  <c r="R8" i="23"/>
  <c r="S8" i="23"/>
  <c r="T8" i="23"/>
  <c r="U8" i="23"/>
  <c r="V8" i="23"/>
  <c r="W8" i="23"/>
  <c r="X8" i="23"/>
  <c r="Y8" i="23"/>
  <c r="Z8" i="23"/>
  <c r="AA8" i="23"/>
  <c r="AB8" i="23"/>
  <c r="AC8" i="23"/>
  <c r="AD8" i="23"/>
  <c r="AE8" i="23"/>
  <c r="AF8" i="23"/>
  <c r="AG8" i="23"/>
  <c r="AH8" i="23"/>
  <c r="AI8" i="23"/>
  <c r="R9" i="23"/>
  <c r="S9" i="23"/>
  <c r="T9" i="23"/>
  <c r="U9" i="23"/>
  <c r="V9" i="23"/>
  <c r="W9" i="23"/>
  <c r="X9" i="23"/>
  <c r="Y9" i="23"/>
  <c r="Z9" i="23"/>
  <c r="AA9" i="23"/>
  <c r="AB9" i="23"/>
  <c r="AC9" i="23"/>
  <c r="AD9" i="23"/>
  <c r="AE9" i="23"/>
  <c r="AF9" i="23"/>
  <c r="AG9" i="23"/>
  <c r="AH9" i="23"/>
  <c r="AI9" i="23"/>
  <c r="R10" i="23"/>
  <c r="S10" i="23"/>
  <c r="T10" i="23"/>
  <c r="U10" i="23"/>
  <c r="V10" i="23"/>
  <c r="W10" i="23"/>
  <c r="X10" i="23"/>
  <c r="Y10" i="23"/>
  <c r="Z10" i="23"/>
  <c r="AA10" i="23"/>
  <c r="AB10" i="23"/>
  <c r="AC10" i="23"/>
  <c r="AD10" i="23"/>
  <c r="AE10" i="23"/>
  <c r="AF10" i="23"/>
  <c r="AG10" i="23"/>
  <c r="AH10" i="23"/>
  <c r="AI10" i="23"/>
  <c r="R11" i="23"/>
  <c r="S11" i="23"/>
  <c r="T11" i="23"/>
  <c r="U11" i="23"/>
  <c r="V11" i="23"/>
  <c r="W11" i="23"/>
  <c r="X11" i="23"/>
  <c r="Y11" i="23"/>
  <c r="Z11" i="23"/>
  <c r="AA11" i="23"/>
  <c r="AB11" i="23"/>
  <c r="AC11" i="23"/>
  <c r="AD11" i="23"/>
  <c r="AE11" i="23"/>
  <c r="AF11" i="23"/>
  <c r="AG11" i="23"/>
  <c r="AH11" i="23"/>
  <c r="AI11" i="23"/>
  <c r="R12" i="23"/>
  <c r="S12" i="23"/>
  <c r="T12" i="23"/>
  <c r="U12" i="23"/>
  <c r="V12" i="23"/>
  <c r="W12" i="23"/>
  <c r="X12" i="23"/>
  <c r="Y12" i="23"/>
  <c r="Z12" i="23"/>
  <c r="AA12" i="23"/>
  <c r="AB12" i="23"/>
  <c r="AC12" i="23"/>
  <c r="AD12" i="23"/>
  <c r="AE12" i="23"/>
  <c r="AF12" i="23"/>
  <c r="AG12" i="23"/>
  <c r="AH12" i="23"/>
  <c r="AI12" i="23"/>
  <c r="R13" i="23"/>
  <c r="S13" i="23"/>
  <c r="T13" i="23"/>
  <c r="U13" i="23"/>
  <c r="V13" i="23"/>
  <c r="W13" i="23"/>
  <c r="X13" i="23"/>
  <c r="Y13" i="23"/>
  <c r="Z13" i="23"/>
  <c r="AA13" i="23"/>
  <c r="AB13" i="23"/>
  <c r="AC13" i="23"/>
  <c r="AD13" i="23"/>
  <c r="AE13" i="23"/>
  <c r="AF13" i="23"/>
  <c r="AG13" i="23"/>
  <c r="AH13" i="23"/>
  <c r="AI13" i="23"/>
  <c r="R14" i="23"/>
  <c r="S14" i="23"/>
  <c r="T14" i="23"/>
  <c r="U14" i="23"/>
  <c r="V14" i="23"/>
  <c r="W14" i="23"/>
  <c r="X14" i="23"/>
  <c r="Y14" i="23"/>
  <c r="Z14" i="23"/>
  <c r="AA14" i="23"/>
  <c r="AB14" i="23"/>
  <c r="AC14" i="23"/>
  <c r="AD14" i="23"/>
  <c r="AE14" i="23"/>
  <c r="AF14" i="23"/>
  <c r="AG14" i="23"/>
  <c r="AH14" i="23"/>
  <c r="AI14" i="23"/>
  <c r="R15" i="23"/>
  <c r="S15" i="23"/>
  <c r="T15" i="23"/>
  <c r="U15" i="23"/>
  <c r="V15" i="23"/>
  <c r="W15" i="23"/>
  <c r="X15" i="23"/>
  <c r="Y15" i="23"/>
  <c r="Z15" i="23"/>
  <c r="AA15" i="23"/>
  <c r="AB15" i="23"/>
  <c r="AC15" i="23"/>
  <c r="AD15" i="23"/>
  <c r="AE15" i="23"/>
  <c r="AF15" i="23"/>
  <c r="AG15" i="23"/>
  <c r="AH15" i="23"/>
  <c r="AI15" i="23"/>
  <c r="R16" i="23"/>
  <c r="S16" i="23"/>
  <c r="T16" i="23"/>
  <c r="U16" i="23"/>
  <c r="V16" i="23"/>
  <c r="W16" i="23"/>
  <c r="X16" i="23"/>
  <c r="Y16" i="23"/>
  <c r="Z16" i="23"/>
  <c r="AA16" i="23"/>
  <c r="AB16" i="23"/>
  <c r="AC16" i="23"/>
  <c r="AD16" i="23"/>
  <c r="AE16" i="23"/>
  <c r="AF16" i="23"/>
  <c r="AG16" i="23"/>
  <c r="AH16" i="23"/>
  <c r="AI16" i="23"/>
  <c r="R17" i="23"/>
  <c r="S17" i="23"/>
  <c r="T17" i="23"/>
  <c r="U17" i="23"/>
  <c r="V17" i="23"/>
  <c r="W17" i="23"/>
  <c r="X17" i="23"/>
  <c r="Y17" i="23"/>
  <c r="Z17" i="23"/>
  <c r="AA17" i="23"/>
  <c r="AB17" i="23"/>
  <c r="AC17" i="23"/>
  <c r="AD17" i="23"/>
  <c r="AE17" i="23"/>
  <c r="AF17" i="23"/>
  <c r="AG17" i="23"/>
  <c r="AH17" i="23"/>
  <c r="AI17" i="23"/>
  <c r="R18" i="23"/>
  <c r="S18" i="23"/>
  <c r="T18" i="23"/>
  <c r="U18" i="23"/>
  <c r="V18" i="23"/>
  <c r="W18" i="23"/>
  <c r="X18" i="23"/>
  <c r="Y18" i="23"/>
  <c r="Z18" i="23"/>
  <c r="AA18" i="23"/>
  <c r="AB18" i="23"/>
  <c r="AC18" i="23"/>
  <c r="AD18" i="23"/>
  <c r="AE18" i="23"/>
  <c r="AF18" i="23"/>
  <c r="AG18" i="23"/>
  <c r="AH18" i="23"/>
  <c r="AI18" i="23"/>
  <c r="R19" i="23"/>
  <c r="S19" i="23"/>
  <c r="T19" i="23"/>
  <c r="U19" i="23"/>
  <c r="V19" i="23"/>
  <c r="W19" i="23"/>
  <c r="X19" i="23"/>
  <c r="Y19" i="23"/>
  <c r="Z19" i="23"/>
  <c r="AA19" i="23"/>
  <c r="AB19" i="23"/>
  <c r="AC19" i="23"/>
  <c r="AD19" i="23"/>
  <c r="AE19" i="23"/>
  <c r="AF19" i="23"/>
  <c r="AG19" i="23"/>
  <c r="AH19" i="23"/>
  <c r="AI19" i="23"/>
  <c r="R20" i="23"/>
  <c r="S20" i="23"/>
  <c r="T20" i="23"/>
  <c r="U20" i="23"/>
  <c r="V20" i="23"/>
  <c r="W20" i="23"/>
  <c r="X20" i="23"/>
  <c r="Y20" i="23"/>
  <c r="Z20" i="23"/>
  <c r="AA20" i="23"/>
  <c r="AB20" i="23"/>
  <c r="AC20" i="23"/>
  <c r="AD20" i="23"/>
  <c r="AE20" i="23"/>
  <c r="AF20" i="23"/>
  <c r="AG20" i="23"/>
  <c r="AH20" i="23"/>
  <c r="AI20" i="23"/>
  <c r="R21" i="23"/>
  <c r="S21" i="23"/>
  <c r="T21" i="23"/>
  <c r="U21" i="23"/>
  <c r="V21" i="23"/>
  <c r="W21" i="23"/>
  <c r="X21" i="23"/>
  <c r="Y21" i="23"/>
  <c r="Z21" i="23"/>
  <c r="AA21" i="23"/>
  <c r="AB21" i="23"/>
  <c r="AC21" i="23"/>
  <c r="AD21" i="23"/>
  <c r="AE21" i="23"/>
  <c r="AF21" i="23"/>
  <c r="AG21" i="23"/>
  <c r="AH21" i="23"/>
  <c r="AI21" i="23"/>
  <c r="R22" i="23"/>
  <c r="S22" i="23"/>
  <c r="T22" i="23"/>
  <c r="U22" i="23"/>
  <c r="V22" i="23"/>
  <c r="W22" i="23"/>
  <c r="X22" i="23"/>
  <c r="Y22" i="23"/>
  <c r="Z22" i="23"/>
  <c r="AA22" i="23"/>
  <c r="AB22" i="23"/>
  <c r="AC22" i="23"/>
  <c r="AD22" i="23"/>
  <c r="AE22" i="23"/>
  <c r="AF22" i="23"/>
  <c r="AG22" i="23"/>
  <c r="AH22" i="23"/>
  <c r="AI22" i="23"/>
  <c r="R23" i="23"/>
  <c r="S23" i="23"/>
  <c r="T23" i="23"/>
  <c r="U23" i="23"/>
  <c r="V23" i="23"/>
  <c r="W23" i="23"/>
  <c r="X23" i="23"/>
  <c r="Y23" i="23"/>
  <c r="Z23" i="23"/>
  <c r="AA23" i="23"/>
  <c r="AB23" i="23"/>
  <c r="AC23" i="23"/>
  <c r="AD23" i="23"/>
  <c r="AE23" i="23"/>
  <c r="AF23" i="23"/>
  <c r="AG23" i="23"/>
  <c r="AH23" i="23"/>
  <c r="AI23" i="23"/>
  <c r="R24" i="23"/>
  <c r="S24" i="23"/>
  <c r="T24" i="23"/>
  <c r="U24" i="23"/>
  <c r="V24" i="23"/>
  <c r="W24" i="23"/>
  <c r="X24" i="23"/>
  <c r="Y24" i="23"/>
  <c r="Z24" i="23"/>
  <c r="AA24" i="23"/>
  <c r="AB24" i="23"/>
  <c r="AC24" i="23"/>
  <c r="AD24" i="23"/>
  <c r="AE24" i="23"/>
  <c r="AF24" i="23"/>
  <c r="AG24" i="23"/>
  <c r="AH24" i="23"/>
  <c r="AI24" i="23"/>
  <c r="R25" i="23"/>
  <c r="S25" i="23"/>
  <c r="T25" i="23"/>
  <c r="U25" i="23"/>
  <c r="V25" i="23"/>
  <c r="W25" i="23"/>
  <c r="X25" i="23"/>
  <c r="Y25" i="23"/>
  <c r="Z25" i="23"/>
  <c r="AA25" i="23"/>
  <c r="AB25" i="23"/>
  <c r="AC25" i="23"/>
  <c r="AD25" i="23"/>
  <c r="AE25" i="23"/>
  <c r="AF25" i="23"/>
  <c r="AG25" i="23"/>
  <c r="AH25" i="23"/>
  <c r="AI25" i="23"/>
  <c r="R26" i="23"/>
  <c r="S26" i="23"/>
  <c r="T26" i="23"/>
  <c r="U26" i="23"/>
  <c r="V26" i="23"/>
  <c r="W26" i="23"/>
  <c r="X26" i="23"/>
  <c r="Y26" i="23"/>
  <c r="Z26" i="23"/>
  <c r="AA26" i="23"/>
  <c r="AB26" i="23"/>
  <c r="AC26" i="23"/>
  <c r="AD26" i="23"/>
  <c r="AE26" i="23"/>
  <c r="AF26" i="23"/>
  <c r="AG26" i="23"/>
  <c r="AH26" i="23"/>
  <c r="AI26" i="23"/>
  <c r="R27" i="23"/>
  <c r="S27" i="23"/>
  <c r="T27" i="23"/>
  <c r="U27" i="23"/>
  <c r="V27" i="23"/>
  <c r="W27" i="23"/>
  <c r="X27" i="23"/>
  <c r="Y27" i="23"/>
  <c r="Z27" i="23"/>
  <c r="AA27" i="23"/>
  <c r="AB27" i="23"/>
  <c r="AC27" i="23"/>
  <c r="AD27" i="23"/>
  <c r="AE27" i="23"/>
  <c r="AF27" i="23"/>
  <c r="AG27" i="23"/>
  <c r="AH27" i="23"/>
  <c r="AI27" i="23"/>
  <c r="R28" i="23"/>
  <c r="S28" i="23"/>
  <c r="T28" i="23"/>
  <c r="U28" i="23"/>
  <c r="V28" i="23"/>
  <c r="W28" i="23"/>
  <c r="X28" i="23"/>
  <c r="Y28" i="23"/>
  <c r="Z28" i="23"/>
  <c r="AA28" i="23"/>
  <c r="AB28" i="23"/>
  <c r="AC28" i="23"/>
  <c r="AD28" i="23"/>
  <c r="AE28" i="23"/>
  <c r="AF28" i="23"/>
  <c r="AG28" i="23"/>
  <c r="AH28" i="23"/>
  <c r="AI28" i="23"/>
  <c r="R29" i="23"/>
  <c r="S29" i="23"/>
  <c r="T29" i="23"/>
  <c r="U29" i="23"/>
  <c r="V29" i="23"/>
  <c r="W29" i="23"/>
  <c r="X29" i="23"/>
  <c r="Y29" i="23"/>
  <c r="Z29" i="23"/>
  <c r="AA29" i="23"/>
  <c r="AB29" i="23"/>
  <c r="AC29" i="23"/>
  <c r="AD29" i="23"/>
  <c r="AE29" i="23"/>
  <c r="AF29" i="23"/>
  <c r="AG29" i="23"/>
  <c r="AH29" i="23"/>
  <c r="AI29" i="23"/>
  <c r="R30" i="23"/>
  <c r="S30" i="23"/>
  <c r="T30" i="23"/>
  <c r="U30" i="23"/>
  <c r="V30" i="23"/>
  <c r="W30" i="23"/>
  <c r="X30" i="23"/>
  <c r="Y30" i="23"/>
  <c r="Z30" i="23"/>
  <c r="AA30" i="23"/>
  <c r="AB30" i="23"/>
  <c r="AC30" i="23"/>
  <c r="AD30" i="23"/>
  <c r="AE30" i="23"/>
  <c r="AF30" i="23"/>
  <c r="AG30" i="23"/>
  <c r="AH30" i="23"/>
  <c r="AI30" i="23"/>
  <c r="R31" i="23"/>
  <c r="S31" i="23"/>
  <c r="T31" i="23"/>
  <c r="U31" i="23"/>
  <c r="V31" i="23"/>
  <c r="W31" i="23"/>
  <c r="X31" i="23"/>
  <c r="Y31" i="23"/>
  <c r="Z31" i="23"/>
  <c r="AA31" i="23"/>
  <c r="AB31" i="23"/>
  <c r="AC31" i="23"/>
  <c r="AD31" i="23"/>
  <c r="AE31" i="23"/>
  <c r="AF31" i="23"/>
  <c r="AG31" i="23"/>
  <c r="AH31" i="23"/>
  <c r="AI31" i="23"/>
  <c r="R32" i="23"/>
  <c r="S32" i="23"/>
  <c r="T32" i="23"/>
  <c r="U32" i="23"/>
  <c r="V32" i="23"/>
  <c r="W32" i="23"/>
  <c r="X32" i="23"/>
  <c r="Y32" i="23"/>
  <c r="Z32" i="23"/>
  <c r="AA32" i="23"/>
  <c r="AB32" i="23"/>
  <c r="AC32" i="23"/>
  <c r="AD32" i="23"/>
  <c r="AE32" i="23"/>
  <c r="AF32" i="23"/>
  <c r="AG32" i="23"/>
  <c r="AH32" i="23"/>
  <c r="AI32" i="23"/>
  <c r="R33" i="23"/>
  <c r="S33" i="23"/>
  <c r="T33" i="23"/>
  <c r="U33" i="23"/>
  <c r="V33" i="23"/>
  <c r="W33" i="23"/>
  <c r="X33" i="23"/>
  <c r="Y33" i="23"/>
  <c r="Z33" i="23"/>
  <c r="AA33" i="23"/>
  <c r="AB33" i="23"/>
  <c r="AC33" i="23"/>
  <c r="AD33" i="23"/>
  <c r="AE33" i="23"/>
  <c r="AF33" i="23"/>
  <c r="AG33" i="23"/>
  <c r="AH33" i="23"/>
  <c r="AI33" i="23"/>
  <c r="R34" i="23"/>
  <c r="S34" i="23"/>
  <c r="T34" i="23"/>
  <c r="U34" i="23"/>
  <c r="V34" i="23"/>
  <c r="W34" i="23"/>
  <c r="X34" i="23"/>
  <c r="Y34" i="23"/>
  <c r="Z34" i="23"/>
  <c r="AA34" i="23"/>
  <c r="AB34" i="23"/>
  <c r="AC34" i="23"/>
  <c r="AD34" i="23"/>
  <c r="AE34" i="23"/>
  <c r="AF34" i="23"/>
  <c r="AG34" i="23"/>
  <c r="AH34" i="23"/>
  <c r="AI34" i="23"/>
  <c r="R35" i="23"/>
  <c r="S35" i="23"/>
  <c r="T35" i="23"/>
  <c r="U35" i="23"/>
  <c r="V35" i="23"/>
  <c r="W35" i="23"/>
  <c r="X35" i="23"/>
  <c r="Y35" i="23"/>
  <c r="Z35" i="23"/>
  <c r="AA35" i="23"/>
  <c r="AB35" i="23"/>
  <c r="AC35" i="23"/>
  <c r="AD35" i="23"/>
  <c r="AE35" i="23"/>
  <c r="AF35" i="23"/>
  <c r="AG35" i="23"/>
  <c r="AH35" i="23"/>
  <c r="AI35" i="23"/>
  <c r="R36" i="23"/>
  <c r="S36" i="23"/>
  <c r="T36" i="23"/>
  <c r="U36" i="23"/>
  <c r="V36" i="23"/>
  <c r="W36" i="23"/>
  <c r="X36" i="23"/>
  <c r="Y36" i="23"/>
  <c r="Z36" i="23"/>
  <c r="AA36" i="23"/>
  <c r="AB36" i="23"/>
  <c r="AC36" i="23"/>
  <c r="AD36" i="23"/>
  <c r="AE36" i="23"/>
  <c r="AF36" i="23"/>
  <c r="AG36" i="23"/>
  <c r="AH36" i="23"/>
  <c r="AI36" i="23"/>
  <c r="R37" i="23"/>
  <c r="S37" i="23"/>
  <c r="T37" i="23"/>
  <c r="U37" i="23"/>
  <c r="V37" i="23"/>
  <c r="W37" i="23"/>
  <c r="X37" i="23"/>
  <c r="Y37" i="23"/>
  <c r="Z37" i="23"/>
  <c r="AA37" i="23"/>
  <c r="AB37" i="23"/>
  <c r="AC37" i="23"/>
  <c r="AD37" i="23"/>
  <c r="AE37" i="23"/>
  <c r="AF37" i="23"/>
  <c r="AG37" i="23"/>
  <c r="AH37" i="23"/>
  <c r="AI37" i="23"/>
  <c r="R38" i="23"/>
  <c r="S38" i="23"/>
  <c r="T38" i="23"/>
  <c r="U38" i="23"/>
  <c r="V38" i="23"/>
  <c r="W38" i="23"/>
  <c r="X38" i="23"/>
  <c r="Y38" i="23"/>
  <c r="Z38" i="23"/>
  <c r="AA38" i="23"/>
  <c r="AB38" i="23"/>
  <c r="AC38" i="23"/>
  <c r="AD38" i="23"/>
  <c r="AE38" i="23"/>
  <c r="AF38" i="23"/>
  <c r="AG38" i="23"/>
  <c r="AH38" i="23"/>
  <c r="AI38" i="23"/>
  <c r="R39" i="23"/>
  <c r="S39" i="23"/>
  <c r="T39" i="23"/>
  <c r="U39" i="23"/>
  <c r="V39" i="23"/>
  <c r="W39" i="23"/>
  <c r="X39" i="23"/>
  <c r="Y39" i="23"/>
  <c r="Z39" i="23"/>
  <c r="AA39" i="23"/>
  <c r="AB39" i="23"/>
  <c r="AC39" i="23"/>
  <c r="AD39" i="23"/>
  <c r="AE39" i="23"/>
  <c r="AF39" i="23"/>
  <c r="AG39" i="23"/>
  <c r="AH39" i="23"/>
  <c r="AI39" i="23"/>
  <c r="R40" i="23"/>
  <c r="S40" i="23"/>
  <c r="T40" i="23"/>
  <c r="U40" i="23"/>
  <c r="V40" i="23"/>
  <c r="W40" i="23"/>
  <c r="X40" i="23"/>
  <c r="Y40" i="23"/>
  <c r="Z40" i="23"/>
  <c r="AA40" i="23"/>
  <c r="AB40" i="23"/>
  <c r="AC40" i="23"/>
  <c r="AD40" i="23"/>
  <c r="AE40" i="23"/>
  <c r="AF40" i="23"/>
  <c r="AG40" i="23"/>
  <c r="AH40" i="23"/>
  <c r="AI40" i="23"/>
  <c r="R41" i="23"/>
  <c r="S41" i="23"/>
  <c r="T41" i="23"/>
  <c r="U41" i="23"/>
  <c r="V41" i="23"/>
  <c r="W41" i="23"/>
  <c r="X41" i="23"/>
  <c r="Y41" i="23"/>
  <c r="Z41" i="23"/>
  <c r="AA41" i="23"/>
  <c r="AB41" i="23"/>
  <c r="AC41" i="23"/>
  <c r="AD41" i="23"/>
  <c r="AE41" i="23"/>
  <c r="AF41" i="23"/>
  <c r="AG41" i="23"/>
  <c r="AH41" i="23"/>
  <c r="AI41" i="23"/>
  <c r="R42" i="23"/>
  <c r="S42" i="23"/>
  <c r="T42" i="23"/>
  <c r="U42" i="23"/>
  <c r="V42" i="23"/>
  <c r="W42" i="23"/>
  <c r="X42" i="23"/>
  <c r="Y42" i="23"/>
  <c r="Z42" i="23"/>
  <c r="AA42" i="23"/>
  <c r="AB42" i="23"/>
  <c r="AC42" i="23"/>
  <c r="AD42" i="23"/>
  <c r="AE42" i="23"/>
  <c r="AF42" i="23"/>
  <c r="AG42" i="23"/>
  <c r="AH42" i="23"/>
  <c r="AI42" i="23"/>
  <c r="R43" i="23"/>
  <c r="S43" i="23"/>
  <c r="T43" i="23"/>
  <c r="U43" i="23"/>
  <c r="V43" i="23"/>
  <c r="W43" i="23"/>
  <c r="X43" i="23"/>
  <c r="Y43" i="23"/>
  <c r="Z43" i="23"/>
  <c r="AA43" i="23"/>
  <c r="AB43" i="23"/>
  <c r="AC43" i="23"/>
  <c r="AD43" i="23"/>
  <c r="AE43" i="23"/>
  <c r="AF43" i="23"/>
  <c r="AG43" i="23"/>
  <c r="AH43" i="23"/>
  <c r="AI43" i="23"/>
  <c r="R44" i="23"/>
  <c r="S44" i="23"/>
  <c r="T44" i="23"/>
  <c r="U44" i="23"/>
  <c r="V44" i="23"/>
  <c r="W44" i="23"/>
  <c r="X44" i="23"/>
  <c r="Y44" i="23"/>
  <c r="Z44" i="23"/>
  <c r="AA44" i="23"/>
  <c r="AB44" i="23"/>
  <c r="AC44" i="23"/>
  <c r="AD44" i="23"/>
  <c r="AE44" i="23"/>
  <c r="AF44" i="23"/>
  <c r="AG44" i="23"/>
  <c r="AH44" i="23"/>
  <c r="AI44" i="23"/>
  <c r="R45" i="23"/>
  <c r="S45" i="23"/>
  <c r="T45" i="23"/>
  <c r="U45" i="23"/>
  <c r="V45" i="23"/>
  <c r="W45" i="23"/>
  <c r="X45" i="23"/>
  <c r="Y45" i="23"/>
  <c r="Z45" i="23"/>
  <c r="AA45" i="23"/>
  <c r="AB45" i="23"/>
  <c r="AC45" i="23"/>
  <c r="AD45" i="23"/>
  <c r="AE45" i="23"/>
  <c r="AF45" i="23"/>
  <c r="AG45" i="23"/>
  <c r="AH45" i="23"/>
  <c r="AI45" i="23"/>
  <c r="R46" i="23"/>
  <c r="S46" i="23"/>
  <c r="T46" i="23"/>
  <c r="U46" i="23"/>
  <c r="V46" i="23"/>
  <c r="W46" i="23"/>
  <c r="X46" i="23"/>
  <c r="Y46" i="23"/>
  <c r="Z46" i="23"/>
  <c r="AA46" i="23"/>
  <c r="AB46" i="23"/>
  <c r="AC46" i="23"/>
  <c r="AD46" i="23"/>
  <c r="AE46" i="23"/>
  <c r="AF46" i="23"/>
  <c r="AG46" i="23"/>
  <c r="AH46" i="23"/>
  <c r="AI46" i="23"/>
  <c r="R47" i="23"/>
  <c r="S47" i="23"/>
  <c r="T47" i="23"/>
  <c r="U47" i="23"/>
  <c r="V47" i="23"/>
  <c r="W47" i="23"/>
  <c r="X47" i="23"/>
  <c r="Y47" i="23"/>
  <c r="Z47" i="23"/>
  <c r="AA47" i="23"/>
  <c r="AB47" i="23"/>
  <c r="AC47" i="23"/>
  <c r="AD47" i="23"/>
  <c r="AE47" i="23"/>
  <c r="AF47" i="23"/>
  <c r="AG47" i="23"/>
  <c r="AH47" i="23"/>
  <c r="AI47" i="23"/>
  <c r="R48" i="23"/>
  <c r="S48" i="23"/>
  <c r="T48" i="23"/>
  <c r="U48" i="23"/>
  <c r="V48" i="23"/>
  <c r="W48" i="23"/>
  <c r="X48" i="23"/>
  <c r="Y48" i="23"/>
  <c r="Z48" i="23"/>
  <c r="AA48" i="23"/>
  <c r="AB48" i="23"/>
  <c r="AC48" i="23"/>
  <c r="AD48" i="23"/>
  <c r="AE48" i="23"/>
  <c r="AF48" i="23"/>
  <c r="AG48" i="23"/>
  <c r="AH48" i="23"/>
  <c r="AI48" i="23"/>
  <c r="R49" i="23"/>
  <c r="S49" i="23"/>
  <c r="T49" i="23"/>
  <c r="U49" i="23"/>
  <c r="V49" i="23"/>
  <c r="W49" i="23"/>
  <c r="X49" i="23"/>
  <c r="Y49" i="23"/>
  <c r="Z49" i="23"/>
  <c r="AA49" i="23"/>
  <c r="AB49" i="23"/>
  <c r="AC49" i="23"/>
  <c r="AD49" i="23"/>
  <c r="AE49" i="23"/>
  <c r="AF49" i="23"/>
  <c r="AG49" i="23"/>
  <c r="AH49" i="23"/>
  <c r="AI49" i="23"/>
  <c r="R50" i="23"/>
  <c r="S50" i="23"/>
  <c r="T50" i="23"/>
  <c r="U50" i="23"/>
  <c r="V50" i="23"/>
  <c r="W50" i="23"/>
  <c r="X50" i="23"/>
  <c r="Y50" i="23"/>
  <c r="Z50" i="23"/>
  <c r="AA50" i="23"/>
  <c r="AB50" i="23"/>
  <c r="AC50" i="23"/>
  <c r="AD50" i="23"/>
  <c r="AE50" i="23"/>
  <c r="AF50" i="23"/>
  <c r="AG50" i="23"/>
  <c r="AH50" i="23"/>
  <c r="AI50" i="23"/>
  <c r="R51" i="23"/>
  <c r="S51" i="23"/>
  <c r="T51" i="23"/>
  <c r="U51" i="23"/>
  <c r="V51" i="23"/>
  <c r="W51" i="23"/>
  <c r="X51" i="23"/>
  <c r="Y51" i="23"/>
  <c r="Z51" i="23"/>
  <c r="AA51" i="23"/>
  <c r="AB51" i="23"/>
  <c r="AC51" i="23"/>
  <c r="AD51" i="23"/>
  <c r="AE51" i="23"/>
  <c r="AF51" i="23"/>
  <c r="AG51" i="23"/>
  <c r="AH51" i="23"/>
  <c r="AI51" i="23"/>
  <c r="R52" i="23"/>
  <c r="S52" i="23"/>
  <c r="T52" i="23"/>
  <c r="U52" i="23"/>
  <c r="V52" i="23"/>
  <c r="W52" i="23"/>
  <c r="X52" i="23"/>
  <c r="Y52" i="23"/>
  <c r="Z52" i="23"/>
  <c r="AA52" i="23"/>
  <c r="AB52" i="23"/>
  <c r="AC52" i="23"/>
  <c r="AD52" i="23"/>
  <c r="AE52" i="23"/>
  <c r="AF52" i="23"/>
  <c r="AG52" i="23"/>
  <c r="AH52" i="23"/>
  <c r="AI52" i="23"/>
  <c r="R53" i="23"/>
  <c r="S53" i="23"/>
  <c r="T53" i="23"/>
  <c r="U53" i="23"/>
  <c r="V53" i="23"/>
  <c r="W53" i="23"/>
  <c r="X53" i="23"/>
  <c r="Y53" i="23"/>
  <c r="Z53" i="23"/>
  <c r="AA53" i="23"/>
  <c r="AB53" i="23"/>
  <c r="AC53" i="23"/>
  <c r="AD53" i="23"/>
  <c r="AE53" i="23"/>
  <c r="AF53" i="23"/>
  <c r="AG53" i="23"/>
  <c r="AH53" i="23"/>
  <c r="AI53" i="23"/>
  <c r="R54" i="23"/>
  <c r="S54" i="23"/>
  <c r="T54" i="23"/>
  <c r="U54" i="23"/>
  <c r="V54" i="23"/>
  <c r="W54" i="23"/>
  <c r="X54" i="23"/>
  <c r="Y54" i="23"/>
  <c r="Z54" i="23"/>
  <c r="AA54" i="23"/>
  <c r="AB54" i="23"/>
  <c r="AC54" i="23"/>
  <c r="AD54" i="23"/>
  <c r="AE54" i="23"/>
  <c r="AF54" i="23"/>
  <c r="AG54" i="23"/>
  <c r="AH54" i="23"/>
  <c r="AI54" i="23"/>
  <c r="R55" i="23"/>
  <c r="S55" i="23"/>
  <c r="T55" i="23"/>
  <c r="U55" i="23"/>
  <c r="V55" i="23"/>
  <c r="W55" i="23"/>
  <c r="X55" i="23"/>
  <c r="Y55" i="23"/>
  <c r="Z55" i="23"/>
  <c r="AA55" i="23"/>
  <c r="AB55" i="23"/>
  <c r="AC55" i="23"/>
  <c r="AD55" i="23"/>
  <c r="AE55" i="23"/>
  <c r="AF55" i="23"/>
  <c r="AG55" i="23"/>
  <c r="AH55" i="23"/>
  <c r="AI55" i="23"/>
  <c r="R56" i="23"/>
  <c r="S56" i="23"/>
  <c r="T56" i="23"/>
  <c r="U56" i="23"/>
  <c r="V56" i="23"/>
  <c r="W56" i="23"/>
  <c r="X56" i="23"/>
  <c r="Y56" i="23"/>
  <c r="Z56" i="23"/>
  <c r="AA56" i="23"/>
  <c r="AB56" i="23"/>
  <c r="AC56" i="23"/>
  <c r="AD56" i="23"/>
  <c r="AE56" i="23"/>
  <c r="AF56" i="23"/>
  <c r="AG56" i="23"/>
  <c r="AH56" i="23"/>
  <c r="AI56" i="23"/>
  <c r="R57" i="23"/>
  <c r="S57" i="23"/>
  <c r="T57" i="23"/>
  <c r="U57" i="23"/>
  <c r="V57" i="23"/>
  <c r="W57" i="23"/>
  <c r="X57" i="23"/>
  <c r="Y57" i="23"/>
  <c r="Z57" i="23"/>
  <c r="AA57" i="23"/>
  <c r="AB57" i="23"/>
  <c r="AC57" i="23"/>
  <c r="AD57" i="23"/>
  <c r="AE57" i="23"/>
  <c r="AF57" i="23"/>
  <c r="AG57" i="23"/>
  <c r="AH57" i="23"/>
  <c r="AI57" i="23"/>
  <c r="R58" i="23"/>
  <c r="S58" i="23"/>
  <c r="T58" i="23"/>
  <c r="U58" i="23"/>
  <c r="V58" i="23"/>
  <c r="W58" i="23"/>
  <c r="X58" i="23"/>
  <c r="Y58" i="23"/>
  <c r="Z58" i="23"/>
  <c r="AA58" i="23"/>
  <c r="AB58" i="23"/>
  <c r="AC58" i="23"/>
  <c r="AD58" i="23"/>
  <c r="AE58" i="23"/>
  <c r="AF58" i="23"/>
  <c r="AG58" i="23"/>
  <c r="AH58" i="23"/>
  <c r="AI58" i="23"/>
  <c r="R2" i="23"/>
  <c r="S2" i="23"/>
  <c r="T2" i="23"/>
  <c r="U2" i="23"/>
  <c r="V2" i="23"/>
  <c r="W2" i="23"/>
  <c r="X2" i="23"/>
  <c r="Y2" i="23"/>
  <c r="Z2" i="23"/>
  <c r="AA2" i="23"/>
  <c r="AB2" i="23"/>
  <c r="AC2" i="23"/>
  <c r="AD2" i="23"/>
  <c r="AE2" i="23"/>
  <c r="AF2" i="23"/>
  <c r="AG2" i="23"/>
  <c r="AH2" i="23"/>
  <c r="AI2" i="23"/>
  <c r="Q3" i="23"/>
  <c r="Q4" i="23"/>
  <c r="Q5" i="23"/>
  <c r="Q6" i="23"/>
  <c r="Q7" i="23"/>
  <c r="Q8" i="23"/>
  <c r="Q9" i="23"/>
  <c r="Q10" i="23"/>
  <c r="Q11" i="23"/>
  <c r="Q12" i="23"/>
  <c r="Q13" i="23"/>
  <c r="Q14" i="23"/>
  <c r="Q15" i="23"/>
  <c r="Q16" i="23"/>
  <c r="Q17" i="23"/>
  <c r="Q18" i="23"/>
  <c r="Q19" i="23"/>
  <c r="Q20" i="23"/>
  <c r="Q21" i="23"/>
  <c r="Q22" i="23"/>
  <c r="Q23" i="23"/>
  <c r="Q24" i="23"/>
  <c r="Q25" i="23"/>
  <c r="Q26" i="23"/>
  <c r="Q27" i="23"/>
  <c r="Q28" i="23"/>
  <c r="Q29" i="23"/>
  <c r="Q30" i="23"/>
  <c r="Q31" i="23"/>
  <c r="Q32" i="23"/>
  <c r="Q33" i="23"/>
  <c r="Q34" i="23"/>
  <c r="Q35" i="23"/>
  <c r="Q36" i="23"/>
  <c r="Q37" i="23"/>
  <c r="Q38" i="23"/>
  <c r="Q39" i="23"/>
  <c r="Q40" i="23"/>
  <c r="Q41" i="23"/>
  <c r="Q42" i="23"/>
  <c r="Q43" i="23"/>
  <c r="Q44" i="23"/>
  <c r="Q45" i="23"/>
  <c r="Q46" i="23"/>
  <c r="Q47" i="23"/>
  <c r="Q48" i="23"/>
  <c r="Q49" i="23"/>
  <c r="Q50" i="23"/>
  <c r="Q51" i="23"/>
  <c r="Q52" i="23"/>
  <c r="Q53" i="23"/>
  <c r="Q54" i="23"/>
  <c r="Q55" i="23"/>
  <c r="Q56" i="23"/>
  <c r="Q57" i="23"/>
  <c r="Q58" i="23"/>
  <c r="Q2" i="2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2" i="3"/>
  <c r="B3" i="3"/>
  <c r="B4" i="3"/>
  <c r="F3" i="20"/>
  <c r="F4" i="20"/>
  <c r="F5" i="20"/>
  <c r="F6" i="20"/>
  <c r="F7" i="20"/>
  <c r="F8" i="20"/>
  <c r="F9" i="20"/>
  <c r="F10" i="20"/>
  <c r="F11" i="20"/>
  <c r="F12" i="20"/>
  <c r="F13" i="20"/>
  <c r="F14" i="20"/>
  <c r="F15" i="20"/>
  <c r="F16" i="20"/>
  <c r="F17" i="20"/>
  <c r="F18" i="20"/>
  <c r="F19" i="20"/>
  <c r="F20" i="20"/>
  <c r="F21" i="20"/>
  <c r="F22" i="20"/>
  <c r="F23" i="20"/>
  <c r="F24" i="20"/>
  <c r="F25" i="20"/>
  <c r="F26" i="20"/>
  <c r="F27" i="20"/>
  <c r="F28" i="20"/>
  <c r="F29" i="20"/>
  <c r="F30" i="20"/>
  <c r="F31" i="20"/>
  <c r="F32" i="20"/>
  <c r="F33" i="20"/>
  <c r="F34" i="20"/>
  <c r="F35" i="20"/>
  <c r="F36" i="20"/>
  <c r="F37" i="20"/>
  <c r="F38" i="20"/>
  <c r="F39" i="20"/>
  <c r="F40" i="20"/>
  <c r="F41" i="20"/>
  <c r="F42" i="20"/>
  <c r="F43" i="20"/>
  <c r="F44" i="20"/>
  <c r="F45" i="20"/>
  <c r="F46" i="20"/>
  <c r="F47" i="20"/>
  <c r="F48" i="20"/>
  <c r="F49" i="20"/>
  <c r="F50" i="20"/>
  <c r="F51" i="20"/>
  <c r="F52" i="20"/>
  <c r="F53" i="20"/>
  <c r="F54" i="20"/>
  <c r="F55" i="20"/>
  <c r="F56" i="20"/>
  <c r="F57" i="20"/>
  <c r="F58" i="20"/>
  <c r="F2" i="20"/>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2" i="3"/>
  <c r="B3" i="13"/>
  <c r="B4" i="13"/>
  <c r="B5" i="13"/>
  <c r="B6" i="13"/>
  <c r="B7" i="13"/>
  <c r="B8" i="13"/>
  <c r="B9" i="13"/>
  <c r="B10" i="13"/>
  <c r="B11" i="13"/>
  <c r="B12" i="13"/>
  <c r="B13" i="13"/>
  <c r="B14" i="13"/>
  <c r="B15" i="13"/>
  <c r="B2" i="13"/>
  <c r="F2" i="6"/>
  <c r="F3" i="6"/>
  <c r="F4" i="6"/>
  <c r="F5" i="6"/>
  <c r="F6"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C2" i="6"/>
  <c r="C3" i="6"/>
  <c r="C4"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2" i="6"/>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2" i="6"/>
  <c r="F3" i="19"/>
  <c r="F4" i="19"/>
  <c r="F5" i="19"/>
  <c r="F6" i="19"/>
  <c r="F7" i="19"/>
  <c r="F8" i="19"/>
  <c r="F9" i="19"/>
  <c r="F10" i="19"/>
  <c r="F11" i="19"/>
  <c r="F12" i="19"/>
  <c r="F13" i="19"/>
  <c r="F14" i="19"/>
  <c r="F15" i="19"/>
  <c r="F16" i="19"/>
  <c r="F17" i="19"/>
  <c r="F18" i="19"/>
  <c r="F19" i="19"/>
  <c r="F20" i="19"/>
  <c r="F21" i="19"/>
  <c r="F22" i="19"/>
  <c r="F23" i="19"/>
  <c r="F24" i="19"/>
  <c r="F25" i="19"/>
  <c r="F26" i="19"/>
  <c r="F27" i="19"/>
  <c r="F28" i="19"/>
  <c r="F29" i="19"/>
  <c r="F30" i="19"/>
  <c r="F31" i="19"/>
  <c r="F32" i="19"/>
  <c r="F33" i="19"/>
  <c r="F34" i="19"/>
  <c r="F35" i="19"/>
  <c r="F36" i="19"/>
  <c r="F37" i="19"/>
  <c r="F38" i="19"/>
  <c r="F39" i="19"/>
  <c r="F40" i="19"/>
  <c r="F41" i="19"/>
  <c r="F42" i="19"/>
  <c r="F43" i="19"/>
  <c r="F44" i="19"/>
  <c r="F45" i="19"/>
  <c r="F46" i="19"/>
  <c r="F47" i="19"/>
  <c r="F48" i="19"/>
  <c r="F49" i="19"/>
  <c r="F50" i="19"/>
  <c r="F51" i="19"/>
  <c r="F52" i="19"/>
  <c r="F53" i="19"/>
  <c r="F54" i="19"/>
  <c r="F55" i="19"/>
  <c r="F56" i="19"/>
  <c r="F57" i="19"/>
  <c r="F58" i="19"/>
  <c r="F59" i="19"/>
  <c r="F60" i="19"/>
  <c r="F61" i="19"/>
  <c r="F62" i="19"/>
  <c r="F63" i="19"/>
  <c r="F64" i="19"/>
  <c r="F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2" i="19"/>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E52" i="3"/>
  <c r="F52" i="3"/>
  <c r="G52" i="3"/>
  <c r="H52" i="3"/>
  <c r="I52" i="3"/>
  <c r="J52" i="3"/>
  <c r="K52" i="3"/>
  <c r="L52" i="3"/>
  <c r="M52" i="3"/>
  <c r="N52" i="3"/>
  <c r="O52" i="3"/>
  <c r="P52" i="3"/>
  <c r="Q52" i="3"/>
  <c r="R52" i="3"/>
  <c r="S52" i="3"/>
  <c r="T52" i="3"/>
  <c r="U52" i="3"/>
  <c r="V52" i="3"/>
  <c r="W52" i="3"/>
  <c r="X52" i="3"/>
  <c r="Y52" i="3"/>
  <c r="Z52" i="3"/>
  <c r="AA52" i="3"/>
  <c r="AB52" i="3"/>
  <c r="AC52" i="3"/>
  <c r="AD52" i="3"/>
  <c r="AE52" i="3"/>
  <c r="AF52" i="3"/>
  <c r="AG52" i="3"/>
  <c r="AH52" i="3"/>
  <c r="AI52" i="3"/>
  <c r="AJ52" i="3"/>
  <c r="AK52" i="3"/>
  <c r="AL52" i="3"/>
  <c r="AM52" i="3"/>
  <c r="E53" i="3"/>
  <c r="F53" i="3"/>
  <c r="G53" i="3"/>
  <c r="H53" i="3"/>
  <c r="I53" i="3"/>
  <c r="J53" i="3"/>
  <c r="K53" i="3"/>
  <c r="L53" i="3"/>
  <c r="M53" i="3"/>
  <c r="N53" i="3"/>
  <c r="O53" i="3"/>
  <c r="P53" i="3"/>
  <c r="Q53" i="3"/>
  <c r="R53" i="3"/>
  <c r="S53" i="3"/>
  <c r="T53" i="3"/>
  <c r="U53" i="3"/>
  <c r="V53" i="3"/>
  <c r="W53" i="3"/>
  <c r="X53" i="3"/>
  <c r="Y53" i="3"/>
  <c r="Z53" i="3"/>
  <c r="AA53" i="3"/>
  <c r="AB53" i="3"/>
  <c r="AC53" i="3"/>
  <c r="AD53" i="3"/>
  <c r="AE53" i="3"/>
  <c r="AF53" i="3"/>
  <c r="AG53" i="3"/>
  <c r="AH53" i="3"/>
  <c r="AI53" i="3"/>
  <c r="AJ53" i="3"/>
  <c r="AK53" i="3"/>
  <c r="AL53" i="3"/>
  <c r="AM53" i="3"/>
  <c r="E54" i="3"/>
  <c r="F54" i="3"/>
  <c r="G54" i="3"/>
  <c r="H54" i="3"/>
  <c r="I54" i="3"/>
  <c r="J54" i="3"/>
  <c r="K54" i="3"/>
  <c r="L54" i="3"/>
  <c r="M54" i="3"/>
  <c r="N54" i="3"/>
  <c r="O54" i="3"/>
  <c r="P54" i="3"/>
  <c r="Q54" i="3"/>
  <c r="R54" i="3"/>
  <c r="S54" i="3"/>
  <c r="T54" i="3"/>
  <c r="U54" i="3"/>
  <c r="V54" i="3"/>
  <c r="W54" i="3"/>
  <c r="X54" i="3"/>
  <c r="Y54" i="3"/>
  <c r="Z54" i="3"/>
  <c r="AA54" i="3"/>
  <c r="AB54" i="3"/>
  <c r="AC54" i="3"/>
  <c r="AD54" i="3"/>
  <c r="AE54" i="3"/>
  <c r="AF54" i="3"/>
  <c r="AG54" i="3"/>
  <c r="AH54" i="3"/>
  <c r="AI54" i="3"/>
  <c r="AJ54" i="3"/>
  <c r="AK54" i="3"/>
  <c r="AL54" i="3"/>
  <c r="AM54" i="3"/>
  <c r="E55" i="3"/>
  <c r="F55" i="3"/>
  <c r="G55" i="3"/>
  <c r="H55" i="3"/>
  <c r="I55" i="3"/>
  <c r="J55" i="3"/>
  <c r="K55" i="3"/>
  <c r="L55" i="3"/>
  <c r="M55" i="3"/>
  <c r="N55" i="3"/>
  <c r="O55" i="3"/>
  <c r="P55" i="3"/>
  <c r="Q55" i="3"/>
  <c r="R55" i="3"/>
  <c r="S55" i="3"/>
  <c r="T55" i="3"/>
  <c r="U55" i="3"/>
  <c r="V55" i="3"/>
  <c r="W55" i="3"/>
  <c r="X55" i="3"/>
  <c r="Y55" i="3"/>
  <c r="Z55" i="3"/>
  <c r="AA55" i="3"/>
  <c r="AB55" i="3"/>
  <c r="AC55" i="3"/>
  <c r="AD55" i="3"/>
  <c r="AE55" i="3"/>
  <c r="AF55" i="3"/>
  <c r="AG55" i="3"/>
  <c r="AH55" i="3"/>
  <c r="AI55" i="3"/>
  <c r="AJ55" i="3"/>
  <c r="AK55" i="3"/>
  <c r="AL55" i="3"/>
  <c r="AM55" i="3"/>
  <c r="E56" i="3"/>
  <c r="F56" i="3"/>
  <c r="G56" i="3"/>
  <c r="H56" i="3"/>
  <c r="I56" i="3"/>
  <c r="J56" i="3"/>
  <c r="K56" i="3"/>
  <c r="L56" i="3"/>
  <c r="M56" i="3"/>
  <c r="N56" i="3"/>
  <c r="O56" i="3"/>
  <c r="P56" i="3"/>
  <c r="Q56" i="3"/>
  <c r="R56" i="3"/>
  <c r="S56" i="3"/>
  <c r="T56" i="3"/>
  <c r="U56" i="3"/>
  <c r="V56" i="3"/>
  <c r="W56" i="3"/>
  <c r="X56" i="3"/>
  <c r="Y56" i="3"/>
  <c r="Z56" i="3"/>
  <c r="AA56" i="3"/>
  <c r="AB56" i="3"/>
  <c r="AC56" i="3"/>
  <c r="AD56" i="3"/>
  <c r="AE56" i="3"/>
  <c r="AF56" i="3"/>
  <c r="AG56" i="3"/>
  <c r="AH56" i="3"/>
  <c r="AI56" i="3"/>
  <c r="AJ56" i="3"/>
  <c r="AK56" i="3"/>
  <c r="AL56" i="3"/>
  <c r="AM56" i="3"/>
  <c r="E57" i="3"/>
  <c r="F57" i="3"/>
  <c r="G57" i="3"/>
  <c r="H57" i="3"/>
  <c r="I57" i="3"/>
  <c r="J57" i="3"/>
  <c r="K57" i="3"/>
  <c r="L57" i="3"/>
  <c r="M57" i="3"/>
  <c r="N57" i="3"/>
  <c r="O57" i="3"/>
  <c r="P57" i="3"/>
  <c r="Q57" i="3"/>
  <c r="R57" i="3"/>
  <c r="S57" i="3"/>
  <c r="T57" i="3"/>
  <c r="U57" i="3"/>
  <c r="V57" i="3"/>
  <c r="W57" i="3"/>
  <c r="X57" i="3"/>
  <c r="Y57" i="3"/>
  <c r="Z57" i="3"/>
  <c r="AA57" i="3"/>
  <c r="AB57" i="3"/>
  <c r="AC57" i="3"/>
  <c r="AD57" i="3"/>
  <c r="AE57" i="3"/>
  <c r="AF57" i="3"/>
  <c r="AG57" i="3"/>
  <c r="AH57" i="3"/>
  <c r="AI57" i="3"/>
  <c r="AJ57" i="3"/>
  <c r="AK57" i="3"/>
  <c r="AL57" i="3"/>
  <c r="AM57" i="3"/>
  <c r="E58" i="3"/>
  <c r="F58" i="3"/>
  <c r="G58" i="3"/>
  <c r="H58" i="3"/>
  <c r="I58" i="3"/>
  <c r="J58" i="3"/>
  <c r="K58" i="3"/>
  <c r="L58" i="3"/>
  <c r="M58" i="3"/>
  <c r="N58" i="3"/>
  <c r="O58" i="3"/>
  <c r="P58" i="3"/>
  <c r="Q58" i="3"/>
  <c r="R58" i="3"/>
  <c r="S58" i="3"/>
  <c r="T58" i="3"/>
  <c r="U58" i="3"/>
  <c r="V58" i="3"/>
  <c r="W58" i="3"/>
  <c r="X58" i="3"/>
  <c r="Y58" i="3"/>
  <c r="Z58" i="3"/>
  <c r="AA58" i="3"/>
  <c r="AB58" i="3"/>
  <c r="AC58" i="3"/>
  <c r="AD58" i="3"/>
  <c r="AE58" i="3"/>
  <c r="AF58" i="3"/>
  <c r="AG58" i="3"/>
  <c r="AH58" i="3"/>
  <c r="AI58" i="3"/>
  <c r="AJ58" i="3"/>
  <c r="AK58" i="3"/>
  <c r="AL58" i="3"/>
  <c r="AM58" i="3"/>
  <c r="E59" i="3"/>
  <c r="F59" i="3"/>
  <c r="G59" i="3"/>
  <c r="H59" i="3"/>
  <c r="I59" i="3"/>
  <c r="J59" i="3"/>
  <c r="K59" i="3"/>
  <c r="L59" i="3"/>
  <c r="M59" i="3"/>
  <c r="N59" i="3"/>
  <c r="O59" i="3"/>
  <c r="P59" i="3"/>
  <c r="Q59" i="3"/>
  <c r="R59" i="3"/>
  <c r="S59" i="3"/>
  <c r="T59" i="3"/>
  <c r="U59" i="3"/>
  <c r="V59" i="3"/>
  <c r="W59" i="3"/>
  <c r="X59" i="3"/>
  <c r="Y59" i="3"/>
  <c r="Z59" i="3"/>
  <c r="AA59" i="3"/>
  <c r="AB59" i="3"/>
  <c r="AC59" i="3"/>
  <c r="AD59" i="3"/>
  <c r="AE59" i="3"/>
  <c r="AF59" i="3"/>
  <c r="AG59" i="3"/>
  <c r="AH59" i="3"/>
  <c r="AI59" i="3"/>
  <c r="AJ59" i="3"/>
  <c r="AK59" i="3"/>
  <c r="AL59" i="3"/>
  <c r="AM59" i="3"/>
  <c r="E60" i="3"/>
  <c r="F60" i="3"/>
  <c r="G60" i="3"/>
  <c r="H60" i="3"/>
  <c r="I60" i="3"/>
  <c r="J60" i="3"/>
  <c r="K60" i="3"/>
  <c r="L60" i="3"/>
  <c r="M60" i="3"/>
  <c r="N60" i="3"/>
  <c r="O60" i="3"/>
  <c r="P60" i="3"/>
  <c r="Q60" i="3"/>
  <c r="R60" i="3"/>
  <c r="S60" i="3"/>
  <c r="T60" i="3"/>
  <c r="U60" i="3"/>
  <c r="V60" i="3"/>
  <c r="W60" i="3"/>
  <c r="X60" i="3"/>
  <c r="Y60" i="3"/>
  <c r="Z60" i="3"/>
  <c r="AA60" i="3"/>
  <c r="AB60" i="3"/>
  <c r="AC60" i="3"/>
  <c r="AD60" i="3"/>
  <c r="AE60" i="3"/>
  <c r="AF60" i="3"/>
  <c r="AG60" i="3"/>
  <c r="AH60" i="3"/>
  <c r="AI60" i="3"/>
  <c r="AJ60" i="3"/>
  <c r="AK60" i="3"/>
  <c r="AL60" i="3"/>
  <c r="AM60" i="3"/>
  <c r="E61" i="3"/>
  <c r="F61" i="3"/>
  <c r="G61" i="3"/>
  <c r="H61" i="3"/>
  <c r="I61" i="3"/>
  <c r="J61" i="3"/>
  <c r="K61" i="3"/>
  <c r="L61" i="3"/>
  <c r="M61" i="3"/>
  <c r="N61" i="3"/>
  <c r="O61" i="3"/>
  <c r="P61" i="3"/>
  <c r="Q61" i="3"/>
  <c r="R61" i="3"/>
  <c r="S61" i="3"/>
  <c r="T61" i="3"/>
  <c r="U61" i="3"/>
  <c r="V61" i="3"/>
  <c r="W61" i="3"/>
  <c r="X61" i="3"/>
  <c r="Y61" i="3"/>
  <c r="Z61" i="3"/>
  <c r="AA61" i="3"/>
  <c r="AB61" i="3"/>
  <c r="AC61" i="3"/>
  <c r="AD61" i="3"/>
  <c r="AE61" i="3"/>
  <c r="AF61" i="3"/>
  <c r="AG61" i="3"/>
  <c r="AH61" i="3"/>
  <c r="AI61" i="3"/>
  <c r="AJ61" i="3"/>
  <c r="AK61" i="3"/>
  <c r="AL61" i="3"/>
  <c r="AM61" i="3"/>
  <c r="E62" i="3"/>
  <c r="F62" i="3"/>
  <c r="G62" i="3"/>
  <c r="H62" i="3"/>
  <c r="I62" i="3"/>
  <c r="J62" i="3"/>
  <c r="K62" i="3"/>
  <c r="L62" i="3"/>
  <c r="M62" i="3"/>
  <c r="N62" i="3"/>
  <c r="O62" i="3"/>
  <c r="P62" i="3"/>
  <c r="Q62" i="3"/>
  <c r="R62" i="3"/>
  <c r="S62" i="3"/>
  <c r="T62" i="3"/>
  <c r="U62" i="3"/>
  <c r="V62" i="3"/>
  <c r="W62" i="3"/>
  <c r="X62" i="3"/>
  <c r="Y62" i="3"/>
  <c r="Z62" i="3"/>
  <c r="AA62" i="3"/>
  <c r="AB62" i="3"/>
  <c r="AC62" i="3"/>
  <c r="AD62" i="3"/>
  <c r="AE62" i="3"/>
  <c r="AF62" i="3"/>
  <c r="AG62" i="3"/>
  <c r="AH62" i="3"/>
  <c r="AI62" i="3"/>
  <c r="AJ62" i="3"/>
  <c r="AK62" i="3"/>
  <c r="AL62" i="3"/>
  <c r="AM62" i="3"/>
  <c r="AH3" i="3"/>
  <c r="AI3" i="3"/>
  <c r="AJ3" i="3"/>
  <c r="AK3" i="3"/>
  <c r="AL3" i="3"/>
  <c r="AM3" i="3"/>
  <c r="AH4" i="3"/>
  <c r="AI4" i="3"/>
  <c r="AJ4" i="3"/>
  <c r="AK4" i="3"/>
  <c r="AL4" i="3"/>
  <c r="AM4" i="3"/>
  <c r="AH5" i="3"/>
  <c r="AI5" i="3"/>
  <c r="AJ5" i="3"/>
  <c r="AK5" i="3"/>
  <c r="AL5" i="3"/>
  <c r="AM5" i="3"/>
  <c r="AH6" i="3"/>
  <c r="AI6" i="3"/>
  <c r="AJ6" i="3"/>
  <c r="AK6" i="3"/>
  <c r="AL6" i="3"/>
  <c r="AM6" i="3"/>
  <c r="AH7" i="3"/>
  <c r="AI7" i="3"/>
  <c r="AJ7" i="3"/>
  <c r="AK7" i="3"/>
  <c r="AL7" i="3"/>
  <c r="AM7" i="3"/>
  <c r="AH8" i="3"/>
  <c r="AI8" i="3"/>
  <c r="AJ8" i="3"/>
  <c r="AK8" i="3"/>
  <c r="AL8" i="3"/>
  <c r="AM8" i="3"/>
  <c r="AH9" i="3"/>
  <c r="AI9" i="3"/>
  <c r="AJ9" i="3"/>
  <c r="AK9" i="3"/>
  <c r="AL9" i="3"/>
  <c r="AM9" i="3"/>
  <c r="AH10" i="3"/>
  <c r="AI10" i="3"/>
  <c r="AJ10" i="3"/>
  <c r="AK10" i="3"/>
  <c r="AL10" i="3"/>
  <c r="AM10" i="3"/>
  <c r="AH11" i="3"/>
  <c r="AI11" i="3"/>
  <c r="AJ11" i="3"/>
  <c r="AK11" i="3"/>
  <c r="AL11" i="3"/>
  <c r="AM11" i="3"/>
  <c r="AH12" i="3"/>
  <c r="AI12" i="3"/>
  <c r="AJ12" i="3"/>
  <c r="AK12" i="3"/>
  <c r="AL12" i="3"/>
  <c r="AM12" i="3"/>
  <c r="AH13" i="3"/>
  <c r="AI13" i="3"/>
  <c r="AJ13" i="3"/>
  <c r="AK13" i="3"/>
  <c r="AL13" i="3"/>
  <c r="AM13" i="3"/>
  <c r="AH14" i="3"/>
  <c r="AI14" i="3"/>
  <c r="AJ14" i="3"/>
  <c r="AK14" i="3"/>
  <c r="AL14" i="3"/>
  <c r="AM14" i="3"/>
  <c r="AH15" i="3"/>
  <c r="AI15" i="3"/>
  <c r="AJ15" i="3"/>
  <c r="AK15" i="3"/>
  <c r="AL15" i="3"/>
  <c r="AM15" i="3"/>
  <c r="AH16" i="3"/>
  <c r="AI16" i="3"/>
  <c r="AJ16" i="3"/>
  <c r="AK16" i="3"/>
  <c r="AL16" i="3"/>
  <c r="AM16" i="3"/>
  <c r="AH17" i="3"/>
  <c r="AI17" i="3"/>
  <c r="AJ17" i="3"/>
  <c r="AK17" i="3"/>
  <c r="AL17" i="3"/>
  <c r="AM17" i="3"/>
  <c r="AH18" i="3"/>
  <c r="AI18" i="3"/>
  <c r="AJ18" i="3"/>
  <c r="AK18" i="3"/>
  <c r="AL18" i="3"/>
  <c r="AM18" i="3"/>
  <c r="AH19" i="3"/>
  <c r="AI19" i="3"/>
  <c r="AJ19" i="3"/>
  <c r="AK19" i="3"/>
  <c r="AL19" i="3"/>
  <c r="AM19" i="3"/>
  <c r="AH20" i="3"/>
  <c r="AI20" i="3"/>
  <c r="AJ20" i="3"/>
  <c r="AK20" i="3"/>
  <c r="AL20" i="3"/>
  <c r="AM20" i="3"/>
  <c r="AH21" i="3"/>
  <c r="AI21" i="3"/>
  <c r="AJ21" i="3"/>
  <c r="AK21" i="3"/>
  <c r="AL21" i="3"/>
  <c r="AM21" i="3"/>
  <c r="AH22" i="3"/>
  <c r="AI22" i="3"/>
  <c r="AJ22" i="3"/>
  <c r="AK22" i="3"/>
  <c r="AL22" i="3"/>
  <c r="AM22" i="3"/>
  <c r="AH23" i="3"/>
  <c r="AI23" i="3"/>
  <c r="AJ23" i="3"/>
  <c r="AK23" i="3"/>
  <c r="AL23" i="3"/>
  <c r="AM23" i="3"/>
  <c r="AH24" i="3"/>
  <c r="AI24" i="3"/>
  <c r="AJ24" i="3"/>
  <c r="AK24" i="3"/>
  <c r="AL24" i="3"/>
  <c r="AM24" i="3"/>
  <c r="AH25" i="3"/>
  <c r="AI25" i="3"/>
  <c r="AJ25" i="3"/>
  <c r="AK25" i="3"/>
  <c r="AL25" i="3"/>
  <c r="AM25" i="3"/>
  <c r="AH26" i="3"/>
  <c r="AI26" i="3"/>
  <c r="AJ26" i="3"/>
  <c r="AK26" i="3"/>
  <c r="AL26" i="3"/>
  <c r="AM26" i="3"/>
  <c r="AH27" i="3"/>
  <c r="AI27" i="3"/>
  <c r="AJ27" i="3"/>
  <c r="AK27" i="3"/>
  <c r="AL27" i="3"/>
  <c r="AM27" i="3"/>
  <c r="AH28" i="3"/>
  <c r="AI28" i="3"/>
  <c r="AJ28" i="3"/>
  <c r="AK28" i="3"/>
  <c r="AL28" i="3"/>
  <c r="AM28" i="3"/>
  <c r="AH29" i="3"/>
  <c r="AI29" i="3"/>
  <c r="AJ29" i="3"/>
  <c r="AK29" i="3"/>
  <c r="AL29" i="3"/>
  <c r="AM29" i="3"/>
  <c r="AH30" i="3"/>
  <c r="AI30" i="3"/>
  <c r="AJ30" i="3"/>
  <c r="AK30" i="3"/>
  <c r="AL30" i="3"/>
  <c r="AM30" i="3"/>
  <c r="AH31" i="3"/>
  <c r="AI31" i="3"/>
  <c r="AJ31" i="3"/>
  <c r="AK31" i="3"/>
  <c r="AL31" i="3"/>
  <c r="AM31" i="3"/>
  <c r="AH32" i="3"/>
  <c r="AI32" i="3"/>
  <c r="AJ32" i="3"/>
  <c r="AK32" i="3"/>
  <c r="AL32" i="3"/>
  <c r="AM32" i="3"/>
  <c r="AH33" i="3"/>
  <c r="AI33" i="3"/>
  <c r="AJ33" i="3"/>
  <c r="AK33" i="3"/>
  <c r="AL33" i="3"/>
  <c r="AM33" i="3"/>
  <c r="AH34" i="3"/>
  <c r="AI34" i="3"/>
  <c r="AJ34" i="3"/>
  <c r="AK34" i="3"/>
  <c r="AL34" i="3"/>
  <c r="AM34" i="3"/>
  <c r="AH35" i="3"/>
  <c r="AI35" i="3"/>
  <c r="AJ35" i="3"/>
  <c r="AK35" i="3"/>
  <c r="AL35" i="3"/>
  <c r="AM35" i="3"/>
  <c r="AH36" i="3"/>
  <c r="AI36" i="3"/>
  <c r="AJ36" i="3"/>
  <c r="AK36" i="3"/>
  <c r="AL36" i="3"/>
  <c r="AM36" i="3"/>
  <c r="AH37" i="3"/>
  <c r="AI37" i="3"/>
  <c r="AJ37" i="3"/>
  <c r="AK37" i="3"/>
  <c r="AL37" i="3"/>
  <c r="AM37" i="3"/>
  <c r="AH38" i="3"/>
  <c r="AI38" i="3"/>
  <c r="AJ38" i="3"/>
  <c r="AK38" i="3"/>
  <c r="AL38" i="3"/>
  <c r="AM38" i="3"/>
  <c r="AH39" i="3"/>
  <c r="AI39" i="3"/>
  <c r="AJ39" i="3"/>
  <c r="AK39" i="3"/>
  <c r="AL39" i="3"/>
  <c r="AM39" i="3"/>
  <c r="AH40" i="3"/>
  <c r="AI40" i="3"/>
  <c r="AJ40" i="3"/>
  <c r="AK40" i="3"/>
  <c r="AL40" i="3"/>
  <c r="AM40" i="3"/>
  <c r="AH41" i="3"/>
  <c r="AI41" i="3"/>
  <c r="AJ41" i="3"/>
  <c r="AK41" i="3"/>
  <c r="AL41" i="3"/>
  <c r="AM41" i="3"/>
  <c r="AH42" i="3"/>
  <c r="AI42" i="3"/>
  <c r="AJ42" i="3"/>
  <c r="AK42" i="3"/>
  <c r="AL42" i="3"/>
  <c r="AM42" i="3"/>
  <c r="AH43" i="3"/>
  <c r="AI43" i="3"/>
  <c r="AJ43" i="3"/>
  <c r="AK43" i="3"/>
  <c r="AL43" i="3"/>
  <c r="AM43" i="3"/>
  <c r="AH44" i="3"/>
  <c r="AI44" i="3"/>
  <c r="AJ44" i="3"/>
  <c r="AK44" i="3"/>
  <c r="AL44" i="3"/>
  <c r="AM44" i="3"/>
  <c r="AH45" i="3"/>
  <c r="AI45" i="3"/>
  <c r="AJ45" i="3"/>
  <c r="AK45" i="3"/>
  <c r="AL45" i="3"/>
  <c r="AM45" i="3"/>
  <c r="AH46" i="3"/>
  <c r="AI46" i="3"/>
  <c r="AJ46" i="3"/>
  <c r="AK46" i="3"/>
  <c r="AL46" i="3"/>
  <c r="AM46" i="3"/>
  <c r="AH47" i="3"/>
  <c r="AI47" i="3"/>
  <c r="AJ47" i="3"/>
  <c r="AK47" i="3"/>
  <c r="AL47" i="3"/>
  <c r="AM47" i="3"/>
  <c r="AH48" i="3"/>
  <c r="AI48" i="3"/>
  <c r="AJ48" i="3"/>
  <c r="AK48" i="3"/>
  <c r="AL48" i="3"/>
  <c r="AM48" i="3"/>
  <c r="AH49" i="3"/>
  <c r="AI49" i="3"/>
  <c r="AJ49" i="3"/>
  <c r="AK49" i="3"/>
  <c r="AL49" i="3"/>
  <c r="AM49" i="3"/>
  <c r="AH50" i="3"/>
  <c r="AI50" i="3"/>
  <c r="AJ50" i="3"/>
  <c r="AK50" i="3"/>
  <c r="AL50" i="3"/>
  <c r="AM50" i="3"/>
  <c r="AH51" i="3"/>
  <c r="AI51" i="3"/>
  <c r="AJ51" i="3"/>
  <c r="AK51" i="3"/>
  <c r="AL51" i="3"/>
  <c r="AM51" i="3"/>
  <c r="AM2" i="3"/>
  <c r="AL2" i="3"/>
  <c r="AK2" i="3"/>
  <c r="AJ2" i="3"/>
  <c r="AI2" i="3"/>
  <c r="AH2" i="3"/>
  <c r="AG3" i="3"/>
  <c r="AG4" i="3"/>
  <c r="AG5" i="3"/>
  <c r="AG6" i="3"/>
  <c r="AG7" i="3"/>
  <c r="AG8" i="3"/>
  <c r="AG9" i="3"/>
  <c r="AG10" i="3"/>
  <c r="AG11" i="3"/>
  <c r="AG12" i="3"/>
  <c r="AG13" i="3"/>
  <c r="AG14" i="3"/>
  <c r="AG15" i="3"/>
  <c r="AG16" i="3"/>
  <c r="AG17" i="3"/>
  <c r="AG18" i="3"/>
  <c r="AG19" i="3"/>
  <c r="AG20" i="3"/>
  <c r="AG21" i="3"/>
  <c r="AG22" i="3"/>
  <c r="AG23" i="3"/>
  <c r="AG24" i="3"/>
  <c r="AG25" i="3"/>
  <c r="AG26" i="3"/>
  <c r="AG27" i="3"/>
  <c r="AG28" i="3"/>
  <c r="AG29" i="3"/>
  <c r="AG30" i="3"/>
  <c r="AG31" i="3"/>
  <c r="AG32" i="3"/>
  <c r="AG33" i="3"/>
  <c r="AG34" i="3"/>
  <c r="AG35" i="3"/>
  <c r="AG36" i="3"/>
  <c r="AG37" i="3"/>
  <c r="AG38" i="3"/>
  <c r="AG39" i="3"/>
  <c r="AG40" i="3"/>
  <c r="AG41" i="3"/>
  <c r="AG42" i="3"/>
  <c r="AG43" i="3"/>
  <c r="AG44" i="3"/>
  <c r="AG45" i="3"/>
  <c r="AG46" i="3"/>
  <c r="AG47" i="3"/>
  <c r="AG48" i="3"/>
  <c r="AG49" i="3"/>
  <c r="AG50" i="3"/>
  <c r="AG51" i="3"/>
  <c r="AG2" i="3"/>
  <c r="H2" i="6"/>
  <c r="H3" i="6"/>
  <c r="H4" i="6"/>
  <c r="H5" i="6"/>
  <c r="H6" i="6"/>
  <c r="H7" i="6"/>
  <c r="H8" i="6"/>
  <c r="H9" i="6"/>
  <c r="H10" i="6"/>
  <c r="H11" i="6"/>
  <c r="H12" i="6"/>
  <c r="H13" i="6"/>
  <c r="H14" i="6"/>
  <c r="H15" i="6"/>
  <c r="H16" i="6"/>
  <c r="H17" i="6"/>
  <c r="H18" i="6"/>
  <c r="H19" i="6"/>
  <c r="H20" i="6"/>
  <c r="H21" i="6"/>
  <c r="H22" i="6"/>
  <c r="H23" i="6"/>
  <c r="H24" i="6"/>
  <c r="H25" i="6"/>
  <c r="H26" i="6"/>
  <c r="H27" i="6"/>
  <c r="H28" i="6"/>
  <c r="H29" i="6"/>
  <c r="H30" i="6"/>
  <c r="H31" i="6"/>
  <c r="H32" i="6"/>
  <c r="H33" i="6"/>
  <c r="H34" i="6"/>
  <c r="H35" i="6"/>
  <c r="H36" i="6"/>
  <c r="H37" i="6"/>
  <c r="H38" i="6"/>
  <c r="H39" i="6"/>
  <c r="H40" i="6"/>
  <c r="H41" i="6"/>
  <c r="H42" i="6"/>
  <c r="H43" i="6"/>
  <c r="F7" i="7"/>
  <c r="D7" i="7"/>
  <c r="F5" i="7"/>
  <c r="H5" i="7"/>
  <c r="J5" i="7"/>
  <c r="H6" i="7"/>
  <c r="F6" i="7"/>
  <c r="J6" i="7"/>
  <c r="D6" i="7"/>
  <c r="D5" i="7"/>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AE2" i="3"/>
  <c r="AF2" i="3"/>
  <c r="AE3" i="3"/>
  <c r="AF3" i="3"/>
  <c r="AE4" i="3"/>
  <c r="AF4" i="3"/>
  <c r="AE5" i="3"/>
  <c r="AF5" i="3"/>
  <c r="AE6" i="3"/>
  <c r="AF6" i="3"/>
  <c r="AE7" i="3"/>
  <c r="AF7" i="3"/>
  <c r="AE8" i="3"/>
  <c r="AF8" i="3"/>
  <c r="AE9" i="3"/>
  <c r="AF9" i="3"/>
  <c r="AE10" i="3"/>
  <c r="AF10" i="3"/>
  <c r="AE11" i="3"/>
  <c r="AF11" i="3"/>
  <c r="AE12" i="3"/>
  <c r="AF12" i="3"/>
  <c r="AE13" i="3"/>
  <c r="AF13" i="3"/>
  <c r="AE14" i="3"/>
  <c r="AF14" i="3"/>
  <c r="AE15" i="3"/>
  <c r="AF15" i="3"/>
  <c r="AE16" i="3"/>
  <c r="AF16" i="3"/>
  <c r="AE17" i="3"/>
  <c r="AF17" i="3"/>
  <c r="AE18" i="3"/>
  <c r="AF18" i="3"/>
  <c r="AE19" i="3"/>
  <c r="AF19" i="3"/>
  <c r="AE20" i="3"/>
  <c r="AF20" i="3"/>
  <c r="AE21" i="3"/>
  <c r="AF21" i="3"/>
  <c r="AE22" i="3"/>
  <c r="AF22" i="3"/>
  <c r="AE23" i="3"/>
  <c r="AF23" i="3"/>
  <c r="AE24" i="3"/>
  <c r="AF24" i="3"/>
  <c r="AE25" i="3"/>
  <c r="AF25" i="3"/>
  <c r="AE26" i="3"/>
  <c r="AF26" i="3"/>
  <c r="AE27" i="3"/>
  <c r="AF27" i="3"/>
  <c r="AE28" i="3"/>
  <c r="AF28" i="3"/>
  <c r="AE29" i="3"/>
  <c r="AF29" i="3"/>
  <c r="AE30" i="3"/>
  <c r="AF30" i="3"/>
  <c r="AE31" i="3"/>
  <c r="AF31" i="3"/>
  <c r="AE32" i="3"/>
  <c r="AF32" i="3"/>
  <c r="AE33" i="3"/>
  <c r="AF33" i="3"/>
  <c r="AE34" i="3"/>
  <c r="AF34" i="3"/>
  <c r="AE35" i="3"/>
  <c r="AF35" i="3"/>
  <c r="AE36" i="3"/>
  <c r="AF36" i="3"/>
  <c r="AE37" i="3"/>
  <c r="AF37" i="3"/>
  <c r="AE38" i="3"/>
  <c r="AF38" i="3"/>
  <c r="AE39" i="3"/>
  <c r="AF39" i="3"/>
  <c r="AE40" i="3"/>
  <c r="AF40" i="3"/>
  <c r="AE41" i="3"/>
  <c r="AF41" i="3"/>
  <c r="AE42" i="3"/>
  <c r="AF42" i="3"/>
  <c r="AE43" i="3"/>
  <c r="AF43" i="3"/>
  <c r="AE44" i="3"/>
  <c r="AF44" i="3"/>
  <c r="AE45" i="3"/>
  <c r="AF45" i="3"/>
  <c r="AE46" i="3"/>
  <c r="AF46" i="3"/>
  <c r="AE47" i="3"/>
  <c r="AF47" i="3"/>
  <c r="AE48" i="3"/>
  <c r="AF48" i="3"/>
  <c r="AE49" i="3"/>
  <c r="AF49" i="3"/>
  <c r="AE50" i="3"/>
  <c r="AF50" i="3"/>
  <c r="AE51" i="3"/>
  <c r="AF51" i="3"/>
  <c r="AD2" i="3"/>
  <c r="AD3" i="3"/>
  <c r="AD4" i="3"/>
  <c r="AD5" i="3"/>
  <c r="AD6" i="3"/>
  <c r="AD7" i="3"/>
  <c r="AD8" i="3"/>
  <c r="AD9" i="3"/>
  <c r="AD10" i="3"/>
  <c r="AD11" i="3"/>
  <c r="AD12" i="3"/>
  <c r="AD13" i="3"/>
  <c r="AD14" i="3"/>
  <c r="AD15" i="3"/>
  <c r="AD16"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D46" i="3"/>
  <c r="AD47" i="3"/>
  <c r="AD48" i="3"/>
  <c r="AD49" i="3"/>
  <c r="AD50" i="3"/>
  <c r="AD51" i="3"/>
  <c r="AA2" i="3"/>
  <c r="AB2" i="3"/>
  <c r="AC2" i="3"/>
  <c r="AA3" i="3"/>
  <c r="AB3" i="3"/>
  <c r="AC3" i="3"/>
  <c r="AA4" i="3"/>
  <c r="AB4" i="3"/>
  <c r="AC4" i="3"/>
  <c r="AA5" i="3"/>
  <c r="AB5" i="3"/>
  <c r="AC5" i="3"/>
  <c r="AA6" i="3"/>
  <c r="AB6" i="3"/>
  <c r="AC6" i="3"/>
  <c r="AA7" i="3"/>
  <c r="AB7" i="3"/>
  <c r="AC7" i="3"/>
  <c r="AA8" i="3"/>
  <c r="AB8" i="3"/>
  <c r="AC8" i="3"/>
  <c r="AA9" i="3"/>
  <c r="AB9" i="3"/>
  <c r="AC9" i="3"/>
  <c r="AA10" i="3"/>
  <c r="AB10" i="3"/>
  <c r="AC10" i="3"/>
  <c r="AA11" i="3"/>
  <c r="AB11" i="3"/>
  <c r="AC11" i="3"/>
  <c r="AA12" i="3"/>
  <c r="AB12" i="3"/>
  <c r="AC12" i="3"/>
  <c r="AA13" i="3"/>
  <c r="AB13" i="3"/>
  <c r="AC13" i="3"/>
  <c r="AA14" i="3"/>
  <c r="AB14" i="3"/>
  <c r="AC14" i="3"/>
  <c r="AA15" i="3"/>
  <c r="AB15" i="3"/>
  <c r="AC15" i="3"/>
  <c r="AA16" i="3"/>
  <c r="AB16" i="3"/>
  <c r="AC16" i="3"/>
  <c r="AA17" i="3"/>
  <c r="AB17" i="3"/>
  <c r="AC17" i="3"/>
  <c r="AA18" i="3"/>
  <c r="AB18" i="3"/>
  <c r="AC18" i="3"/>
  <c r="AA19" i="3"/>
  <c r="AB19" i="3"/>
  <c r="AC19" i="3"/>
  <c r="AA20" i="3"/>
  <c r="AB20" i="3"/>
  <c r="AC20" i="3"/>
  <c r="AA21" i="3"/>
  <c r="AB21" i="3"/>
  <c r="AC21" i="3"/>
  <c r="AA22" i="3"/>
  <c r="AB22" i="3"/>
  <c r="AC22" i="3"/>
  <c r="AA23" i="3"/>
  <c r="AB23" i="3"/>
  <c r="AC23" i="3"/>
  <c r="AA24" i="3"/>
  <c r="AB24" i="3"/>
  <c r="AC24" i="3"/>
  <c r="AA25" i="3"/>
  <c r="AB25" i="3"/>
  <c r="AC25" i="3"/>
  <c r="AA26" i="3"/>
  <c r="AB26" i="3"/>
  <c r="AC26" i="3"/>
  <c r="AA27" i="3"/>
  <c r="AB27" i="3"/>
  <c r="AC27" i="3"/>
  <c r="AA28" i="3"/>
  <c r="AB28" i="3"/>
  <c r="AC28" i="3"/>
  <c r="AA29" i="3"/>
  <c r="AB29" i="3"/>
  <c r="AC29" i="3"/>
  <c r="AA30" i="3"/>
  <c r="AB30" i="3"/>
  <c r="AC30" i="3"/>
  <c r="AA31" i="3"/>
  <c r="AB31" i="3"/>
  <c r="AC31" i="3"/>
  <c r="AA32" i="3"/>
  <c r="AB32" i="3"/>
  <c r="AC32" i="3"/>
  <c r="AA33" i="3"/>
  <c r="AB33" i="3"/>
  <c r="AC33" i="3"/>
  <c r="AA34" i="3"/>
  <c r="AB34" i="3"/>
  <c r="AC34" i="3"/>
  <c r="AA35" i="3"/>
  <c r="AB35" i="3"/>
  <c r="AC35" i="3"/>
  <c r="AA36" i="3"/>
  <c r="AB36" i="3"/>
  <c r="AC36" i="3"/>
  <c r="AA37" i="3"/>
  <c r="AB37" i="3"/>
  <c r="AC37" i="3"/>
  <c r="AA38" i="3"/>
  <c r="AB38" i="3"/>
  <c r="AC38" i="3"/>
  <c r="AA39" i="3"/>
  <c r="AB39" i="3"/>
  <c r="AC39" i="3"/>
  <c r="AA40" i="3"/>
  <c r="AB40" i="3"/>
  <c r="AC40" i="3"/>
  <c r="AA41" i="3"/>
  <c r="AB41" i="3"/>
  <c r="AC41" i="3"/>
  <c r="AA42" i="3"/>
  <c r="AB42" i="3"/>
  <c r="AC42" i="3"/>
  <c r="AA43" i="3"/>
  <c r="AB43" i="3"/>
  <c r="AC43" i="3"/>
  <c r="AA44" i="3"/>
  <c r="AB44" i="3"/>
  <c r="AC44" i="3"/>
  <c r="AA45" i="3"/>
  <c r="AB45" i="3"/>
  <c r="AC45" i="3"/>
  <c r="AA46" i="3"/>
  <c r="AB46" i="3"/>
  <c r="AC46" i="3"/>
  <c r="AA47" i="3"/>
  <c r="AB47" i="3"/>
  <c r="AC47" i="3"/>
  <c r="AA48" i="3"/>
  <c r="AB48" i="3"/>
  <c r="AC48" i="3"/>
  <c r="AA49" i="3"/>
  <c r="AB49" i="3"/>
  <c r="AC49" i="3"/>
  <c r="AA50" i="3"/>
  <c r="AB50" i="3"/>
  <c r="AC50" i="3"/>
  <c r="AA51" i="3"/>
  <c r="AB51" i="3"/>
  <c r="AC51" i="3"/>
  <c r="Z2" i="3"/>
  <c r="Z3" i="3"/>
  <c r="Z4" i="3"/>
  <c r="Z5" i="3"/>
  <c r="Z6" i="3"/>
  <c r="Z7" i="3"/>
  <c r="Z8" i="3"/>
  <c r="Z9" i="3"/>
  <c r="Z10" i="3"/>
  <c r="Z11" i="3"/>
  <c r="Z12" i="3"/>
  <c r="Z13" i="3"/>
  <c r="Z14" i="3"/>
  <c r="Z15" i="3"/>
  <c r="Z16" i="3"/>
  <c r="Z17" i="3"/>
  <c r="Z18" i="3"/>
  <c r="Z19" i="3"/>
  <c r="Z20" i="3"/>
  <c r="Z21" i="3"/>
  <c r="Z22" i="3"/>
  <c r="Z23" i="3"/>
  <c r="Z24" i="3"/>
  <c r="Z25" i="3"/>
  <c r="Z26" i="3"/>
  <c r="Z27" i="3"/>
  <c r="Z28" i="3"/>
  <c r="Z29" i="3"/>
  <c r="Z30" i="3"/>
  <c r="Z31" i="3"/>
  <c r="Z32" i="3"/>
  <c r="Z33" i="3"/>
  <c r="Z34" i="3"/>
  <c r="Z35" i="3"/>
  <c r="Z36" i="3"/>
  <c r="Z37" i="3"/>
  <c r="Z38" i="3"/>
  <c r="Z39" i="3"/>
  <c r="Z40" i="3"/>
  <c r="Z41" i="3"/>
  <c r="Z42" i="3"/>
  <c r="Z43" i="3"/>
  <c r="Z44" i="3"/>
  <c r="Z45" i="3"/>
  <c r="Z46" i="3"/>
  <c r="Z47" i="3"/>
  <c r="Z48" i="3"/>
  <c r="Z49" i="3"/>
  <c r="Z50" i="3"/>
  <c r="Z51" i="3"/>
  <c r="Y2" i="3"/>
  <c r="Y3" i="3"/>
  <c r="Y4" i="3"/>
  <c r="Y5" i="3"/>
  <c r="Y6" i="3"/>
  <c r="Y7" i="3"/>
  <c r="Y8" i="3"/>
  <c r="Y9" i="3"/>
  <c r="Y10" i="3"/>
  <c r="Y11" i="3"/>
  <c r="Y12" i="3"/>
  <c r="Y13" i="3"/>
  <c r="Y14" i="3"/>
  <c r="Y15" i="3"/>
  <c r="Y16" i="3"/>
  <c r="Y17" i="3"/>
  <c r="Y18" i="3"/>
  <c r="Y19" i="3"/>
  <c r="Y20" i="3"/>
  <c r="Y21" i="3"/>
  <c r="Y22" i="3"/>
  <c r="Y23" i="3"/>
  <c r="Y24" i="3"/>
  <c r="Y25" i="3"/>
  <c r="Y26" i="3"/>
  <c r="Y27" i="3"/>
  <c r="Y28" i="3"/>
  <c r="Y29" i="3"/>
  <c r="Y30" i="3"/>
  <c r="Y31" i="3"/>
  <c r="Y32" i="3"/>
  <c r="Y33" i="3"/>
  <c r="Y34" i="3"/>
  <c r="Y35" i="3"/>
  <c r="Y36" i="3"/>
  <c r="Y37" i="3"/>
  <c r="Y38" i="3"/>
  <c r="Y39" i="3"/>
  <c r="Y40" i="3"/>
  <c r="Y41" i="3"/>
  <c r="Y42" i="3"/>
  <c r="Y43" i="3"/>
  <c r="Y44" i="3"/>
  <c r="Y45" i="3"/>
  <c r="Y46" i="3"/>
  <c r="Y47" i="3"/>
  <c r="Y48" i="3"/>
  <c r="Y49" i="3"/>
  <c r="Y50" i="3"/>
  <c r="Y51" i="3"/>
  <c r="X2" i="3"/>
  <c r="X3" i="3"/>
  <c r="X4" i="3"/>
  <c r="X5" i="3"/>
  <c r="X6" i="3"/>
  <c r="X7" i="3"/>
  <c r="X8" i="3"/>
  <c r="X9" i="3"/>
  <c r="X10" i="3"/>
  <c r="X11" i="3"/>
  <c r="X12" i="3"/>
  <c r="X13" i="3"/>
  <c r="X14" i="3"/>
  <c r="X15" i="3"/>
  <c r="X16" i="3"/>
  <c r="X17" i="3"/>
  <c r="X18" i="3"/>
  <c r="X19" i="3"/>
  <c r="X20" i="3"/>
  <c r="X21" i="3"/>
  <c r="X22" i="3"/>
  <c r="X23" i="3"/>
  <c r="X24" i="3"/>
  <c r="X25" i="3"/>
  <c r="X26" i="3"/>
  <c r="X27" i="3"/>
  <c r="X28" i="3"/>
  <c r="X29" i="3"/>
  <c r="X30" i="3"/>
  <c r="X31" i="3"/>
  <c r="X32" i="3"/>
  <c r="X33" i="3"/>
  <c r="X34" i="3"/>
  <c r="X35" i="3"/>
  <c r="X36" i="3"/>
  <c r="X37" i="3"/>
  <c r="X38" i="3"/>
  <c r="X39" i="3"/>
  <c r="X40" i="3"/>
  <c r="X41" i="3"/>
  <c r="X42" i="3"/>
  <c r="X43" i="3"/>
  <c r="X44" i="3"/>
  <c r="X45" i="3"/>
  <c r="X46" i="3"/>
  <c r="X47" i="3"/>
  <c r="X48" i="3"/>
  <c r="X49" i="3"/>
  <c r="X50" i="3"/>
  <c r="X51" i="3"/>
  <c r="W2" i="3"/>
  <c r="W3" i="3"/>
  <c r="W4" i="3"/>
  <c r="W5" i="3"/>
  <c r="W6" i="3"/>
  <c r="W7" i="3"/>
  <c r="W8" i="3"/>
  <c r="W9" i="3"/>
  <c r="W10" i="3"/>
  <c r="W11" i="3"/>
  <c r="W12" i="3"/>
  <c r="W13" i="3"/>
  <c r="W14" i="3"/>
  <c r="W15" i="3"/>
  <c r="W16" i="3"/>
  <c r="W17" i="3"/>
  <c r="W18" i="3"/>
  <c r="W19" i="3"/>
  <c r="W20" i="3"/>
  <c r="W21" i="3"/>
  <c r="W22" i="3"/>
  <c r="W23" i="3"/>
  <c r="W24" i="3"/>
  <c r="W25" i="3"/>
  <c r="W26" i="3"/>
  <c r="W27" i="3"/>
  <c r="W28" i="3"/>
  <c r="W29" i="3"/>
  <c r="W30" i="3"/>
  <c r="W31" i="3"/>
  <c r="W32" i="3"/>
  <c r="W33" i="3"/>
  <c r="W34" i="3"/>
  <c r="W35" i="3"/>
  <c r="W36" i="3"/>
  <c r="W37" i="3"/>
  <c r="W38" i="3"/>
  <c r="W39" i="3"/>
  <c r="W40" i="3"/>
  <c r="W41" i="3"/>
  <c r="W42" i="3"/>
  <c r="W43" i="3"/>
  <c r="W44" i="3"/>
  <c r="W45" i="3"/>
  <c r="W46" i="3"/>
  <c r="W47" i="3"/>
  <c r="W48" i="3"/>
  <c r="W49" i="3"/>
  <c r="W50" i="3"/>
  <c r="W51" i="3"/>
  <c r="J2" i="3"/>
  <c r="K2" i="3"/>
  <c r="L2" i="3"/>
  <c r="M2" i="3"/>
  <c r="N2" i="3"/>
  <c r="O2" i="3"/>
  <c r="P2" i="3"/>
  <c r="Q2" i="3"/>
  <c r="R2" i="3"/>
  <c r="S2" i="3"/>
  <c r="T2" i="3"/>
  <c r="U2" i="3"/>
  <c r="J3" i="3"/>
  <c r="K3" i="3"/>
  <c r="L3" i="3"/>
  <c r="M3" i="3"/>
  <c r="N3" i="3"/>
  <c r="O3" i="3"/>
  <c r="P3" i="3"/>
  <c r="Q3" i="3"/>
  <c r="R3" i="3"/>
  <c r="S3" i="3"/>
  <c r="T3" i="3"/>
  <c r="U3" i="3"/>
  <c r="J4" i="3"/>
  <c r="K4" i="3"/>
  <c r="L4" i="3"/>
  <c r="M4" i="3"/>
  <c r="N4" i="3"/>
  <c r="O4" i="3"/>
  <c r="P4" i="3"/>
  <c r="Q4" i="3"/>
  <c r="R4" i="3"/>
  <c r="S4" i="3"/>
  <c r="T4" i="3"/>
  <c r="U4" i="3"/>
  <c r="J5" i="3"/>
  <c r="K5" i="3"/>
  <c r="L5" i="3"/>
  <c r="M5" i="3"/>
  <c r="N5" i="3"/>
  <c r="O5" i="3"/>
  <c r="P5" i="3"/>
  <c r="Q5" i="3"/>
  <c r="R5" i="3"/>
  <c r="S5" i="3"/>
  <c r="T5" i="3"/>
  <c r="U5" i="3"/>
  <c r="J6" i="3"/>
  <c r="K6" i="3"/>
  <c r="L6" i="3"/>
  <c r="M6" i="3"/>
  <c r="N6" i="3"/>
  <c r="O6" i="3"/>
  <c r="P6" i="3"/>
  <c r="Q6" i="3"/>
  <c r="R6" i="3"/>
  <c r="S6" i="3"/>
  <c r="T6" i="3"/>
  <c r="U6" i="3"/>
  <c r="J7" i="3"/>
  <c r="K7" i="3"/>
  <c r="L7" i="3"/>
  <c r="M7" i="3"/>
  <c r="N7" i="3"/>
  <c r="O7" i="3"/>
  <c r="P7" i="3"/>
  <c r="Q7" i="3"/>
  <c r="R7" i="3"/>
  <c r="S7" i="3"/>
  <c r="T7" i="3"/>
  <c r="U7" i="3"/>
  <c r="J8" i="3"/>
  <c r="K8" i="3"/>
  <c r="L8" i="3"/>
  <c r="M8" i="3"/>
  <c r="N8" i="3"/>
  <c r="O8" i="3"/>
  <c r="P8" i="3"/>
  <c r="Q8" i="3"/>
  <c r="R8" i="3"/>
  <c r="S8" i="3"/>
  <c r="T8" i="3"/>
  <c r="U8" i="3"/>
  <c r="J9" i="3"/>
  <c r="K9" i="3"/>
  <c r="L9" i="3"/>
  <c r="M9" i="3"/>
  <c r="N9" i="3"/>
  <c r="O9" i="3"/>
  <c r="P9" i="3"/>
  <c r="Q9" i="3"/>
  <c r="R9" i="3"/>
  <c r="S9" i="3"/>
  <c r="T9" i="3"/>
  <c r="U9" i="3"/>
  <c r="J10" i="3"/>
  <c r="K10" i="3"/>
  <c r="L10" i="3"/>
  <c r="M10" i="3"/>
  <c r="N10" i="3"/>
  <c r="O10" i="3"/>
  <c r="P10" i="3"/>
  <c r="Q10" i="3"/>
  <c r="R10" i="3"/>
  <c r="S10" i="3"/>
  <c r="T10" i="3"/>
  <c r="U10" i="3"/>
  <c r="J11" i="3"/>
  <c r="K11" i="3"/>
  <c r="L11" i="3"/>
  <c r="M11" i="3"/>
  <c r="N11" i="3"/>
  <c r="O11" i="3"/>
  <c r="P11" i="3"/>
  <c r="Q11" i="3"/>
  <c r="R11" i="3"/>
  <c r="S11" i="3"/>
  <c r="T11" i="3"/>
  <c r="U11" i="3"/>
  <c r="J12" i="3"/>
  <c r="K12" i="3"/>
  <c r="L12" i="3"/>
  <c r="M12" i="3"/>
  <c r="N12" i="3"/>
  <c r="O12" i="3"/>
  <c r="P12" i="3"/>
  <c r="Q12" i="3"/>
  <c r="R12" i="3"/>
  <c r="S12" i="3"/>
  <c r="T12" i="3"/>
  <c r="U12" i="3"/>
  <c r="J13" i="3"/>
  <c r="K13" i="3"/>
  <c r="L13" i="3"/>
  <c r="M13" i="3"/>
  <c r="N13" i="3"/>
  <c r="O13" i="3"/>
  <c r="P13" i="3"/>
  <c r="Q13" i="3"/>
  <c r="R13" i="3"/>
  <c r="S13" i="3"/>
  <c r="T13" i="3"/>
  <c r="U13" i="3"/>
  <c r="J14" i="3"/>
  <c r="K14" i="3"/>
  <c r="L14" i="3"/>
  <c r="M14" i="3"/>
  <c r="N14" i="3"/>
  <c r="O14" i="3"/>
  <c r="P14" i="3"/>
  <c r="Q14" i="3"/>
  <c r="R14" i="3"/>
  <c r="S14" i="3"/>
  <c r="T14" i="3"/>
  <c r="U14" i="3"/>
  <c r="J15" i="3"/>
  <c r="K15" i="3"/>
  <c r="L15" i="3"/>
  <c r="M15" i="3"/>
  <c r="N15" i="3"/>
  <c r="O15" i="3"/>
  <c r="P15" i="3"/>
  <c r="Q15" i="3"/>
  <c r="R15" i="3"/>
  <c r="S15" i="3"/>
  <c r="T15" i="3"/>
  <c r="U15" i="3"/>
  <c r="J16" i="3"/>
  <c r="K16" i="3"/>
  <c r="L16" i="3"/>
  <c r="M16" i="3"/>
  <c r="N16" i="3"/>
  <c r="O16" i="3"/>
  <c r="P16" i="3"/>
  <c r="Q16" i="3"/>
  <c r="R16" i="3"/>
  <c r="S16" i="3"/>
  <c r="T16" i="3"/>
  <c r="U16" i="3"/>
  <c r="J17" i="3"/>
  <c r="K17" i="3"/>
  <c r="L17" i="3"/>
  <c r="M17" i="3"/>
  <c r="N17" i="3"/>
  <c r="O17" i="3"/>
  <c r="P17" i="3"/>
  <c r="Q17" i="3"/>
  <c r="R17" i="3"/>
  <c r="S17" i="3"/>
  <c r="T17" i="3"/>
  <c r="U17" i="3"/>
  <c r="J18" i="3"/>
  <c r="K18" i="3"/>
  <c r="L18" i="3"/>
  <c r="M18" i="3"/>
  <c r="N18" i="3"/>
  <c r="O18" i="3"/>
  <c r="P18" i="3"/>
  <c r="Q18" i="3"/>
  <c r="R18" i="3"/>
  <c r="S18" i="3"/>
  <c r="T18" i="3"/>
  <c r="U18" i="3"/>
  <c r="J19" i="3"/>
  <c r="K19" i="3"/>
  <c r="L19" i="3"/>
  <c r="M19" i="3"/>
  <c r="N19" i="3"/>
  <c r="O19" i="3"/>
  <c r="P19" i="3"/>
  <c r="Q19" i="3"/>
  <c r="R19" i="3"/>
  <c r="S19" i="3"/>
  <c r="T19" i="3"/>
  <c r="U19" i="3"/>
  <c r="J20" i="3"/>
  <c r="K20" i="3"/>
  <c r="L20" i="3"/>
  <c r="M20" i="3"/>
  <c r="N20" i="3"/>
  <c r="O20" i="3"/>
  <c r="P20" i="3"/>
  <c r="Q20" i="3"/>
  <c r="R20" i="3"/>
  <c r="S20" i="3"/>
  <c r="T20" i="3"/>
  <c r="U20" i="3"/>
  <c r="J21" i="3"/>
  <c r="K21" i="3"/>
  <c r="L21" i="3"/>
  <c r="M21" i="3"/>
  <c r="N21" i="3"/>
  <c r="O21" i="3"/>
  <c r="P21" i="3"/>
  <c r="Q21" i="3"/>
  <c r="R21" i="3"/>
  <c r="S21" i="3"/>
  <c r="T21" i="3"/>
  <c r="U21" i="3"/>
  <c r="J22" i="3"/>
  <c r="K22" i="3"/>
  <c r="L22" i="3"/>
  <c r="M22" i="3"/>
  <c r="N22" i="3"/>
  <c r="O22" i="3"/>
  <c r="P22" i="3"/>
  <c r="Q22" i="3"/>
  <c r="R22" i="3"/>
  <c r="S22" i="3"/>
  <c r="T22" i="3"/>
  <c r="U22" i="3"/>
  <c r="J23" i="3"/>
  <c r="K23" i="3"/>
  <c r="L23" i="3"/>
  <c r="M23" i="3"/>
  <c r="N23" i="3"/>
  <c r="O23" i="3"/>
  <c r="P23" i="3"/>
  <c r="Q23" i="3"/>
  <c r="R23" i="3"/>
  <c r="S23" i="3"/>
  <c r="T23" i="3"/>
  <c r="U23" i="3"/>
  <c r="J24" i="3"/>
  <c r="K24" i="3"/>
  <c r="L24" i="3"/>
  <c r="M24" i="3"/>
  <c r="N24" i="3"/>
  <c r="O24" i="3"/>
  <c r="P24" i="3"/>
  <c r="Q24" i="3"/>
  <c r="R24" i="3"/>
  <c r="S24" i="3"/>
  <c r="T24" i="3"/>
  <c r="U24" i="3"/>
  <c r="J25" i="3"/>
  <c r="K25" i="3"/>
  <c r="L25" i="3"/>
  <c r="M25" i="3"/>
  <c r="N25" i="3"/>
  <c r="O25" i="3"/>
  <c r="P25" i="3"/>
  <c r="Q25" i="3"/>
  <c r="R25" i="3"/>
  <c r="S25" i="3"/>
  <c r="T25" i="3"/>
  <c r="U25" i="3"/>
  <c r="J26" i="3"/>
  <c r="K26" i="3"/>
  <c r="L26" i="3"/>
  <c r="M26" i="3"/>
  <c r="N26" i="3"/>
  <c r="O26" i="3"/>
  <c r="P26" i="3"/>
  <c r="Q26" i="3"/>
  <c r="R26" i="3"/>
  <c r="S26" i="3"/>
  <c r="T26" i="3"/>
  <c r="U26" i="3"/>
  <c r="J27" i="3"/>
  <c r="K27" i="3"/>
  <c r="L27" i="3"/>
  <c r="M27" i="3"/>
  <c r="N27" i="3"/>
  <c r="O27" i="3"/>
  <c r="P27" i="3"/>
  <c r="Q27" i="3"/>
  <c r="R27" i="3"/>
  <c r="S27" i="3"/>
  <c r="T27" i="3"/>
  <c r="U27" i="3"/>
  <c r="J28" i="3"/>
  <c r="K28" i="3"/>
  <c r="L28" i="3"/>
  <c r="M28" i="3"/>
  <c r="N28" i="3"/>
  <c r="O28" i="3"/>
  <c r="P28" i="3"/>
  <c r="Q28" i="3"/>
  <c r="R28" i="3"/>
  <c r="S28" i="3"/>
  <c r="T28" i="3"/>
  <c r="U28" i="3"/>
  <c r="J29" i="3"/>
  <c r="K29" i="3"/>
  <c r="L29" i="3"/>
  <c r="M29" i="3"/>
  <c r="N29" i="3"/>
  <c r="O29" i="3"/>
  <c r="P29" i="3"/>
  <c r="Q29" i="3"/>
  <c r="R29" i="3"/>
  <c r="S29" i="3"/>
  <c r="T29" i="3"/>
  <c r="U29" i="3"/>
  <c r="J30" i="3"/>
  <c r="K30" i="3"/>
  <c r="L30" i="3"/>
  <c r="M30" i="3"/>
  <c r="N30" i="3"/>
  <c r="O30" i="3"/>
  <c r="P30" i="3"/>
  <c r="Q30" i="3"/>
  <c r="R30" i="3"/>
  <c r="S30" i="3"/>
  <c r="T30" i="3"/>
  <c r="U30" i="3"/>
  <c r="J31" i="3"/>
  <c r="K31" i="3"/>
  <c r="L31" i="3"/>
  <c r="M31" i="3"/>
  <c r="N31" i="3"/>
  <c r="O31" i="3"/>
  <c r="P31" i="3"/>
  <c r="Q31" i="3"/>
  <c r="R31" i="3"/>
  <c r="S31" i="3"/>
  <c r="T31" i="3"/>
  <c r="U31" i="3"/>
  <c r="J32" i="3"/>
  <c r="K32" i="3"/>
  <c r="L32" i="3"/>
  <c r="M32" i="3"/>
  <c r="N32" i="3"/>
  <c r="O32" i="3"/>
  <c r="P32" i="3"/>
  <c r="Q32" i="3"/>
  <c r="R32" i="3"/>
  <c r="S32" i="3"/>
  <c r="T32" i="3"/>
  <c r="U32" i="3"/>
  <c r="J33" i="3"/>
  <c r="K33" i="3"/>
  <c r="L33" i="3"/>
  <c r="M33" i="3"/>
  <c r="N33" i="3"/>
  <c r="O33" i="3"/>
  <c r="P33" i="3"/>
  <c r="Q33" i="3"/>
  <c r="R33" i="3"/>
  <c r="S33" i="3"/>
  <c r="T33" i="3"/>
  <c r="U33" i="3"/>
  <c r="J34" i="3"/>
  <c r="K34" i="3"/>
  <c r="L34" i="3"/>
  <c r="M34" i="3"/>
  <c r="N34" i="3"/>
  <c r="O34" i="3"/>
  <c r="P34" i="3"/>
  <c r="Q34" i="3"/>
  <c r="R34" i="3"/>
  <c r="S34" i="3"/>
  <c r="T34" i="3"/>
  <c r="U34" i="3"/>
  <c r="J35" i="3"/>
  <c r="K35" i="3"/>
  <c r="L35" i="3"/>
  <c r="M35" i="3"/>
  <c r="N35" i="3"/>
  <c r="O35" i="3"/>
  <c r="P35" i="3"/>
  <c r="Q35" i="3"/>
  <c r="R35" i="3"/>
  <c r="S35" i="3"/>
  <c r="T35" i="3"/>
  <c r="U35" i="3"/>
  <c r="J36" i="3"/>
  <c r="K36" i="3"/>
  <c r="L36" i="3"/>
  <c r="M36" i="3"/>
  <c r="N36" i="3"/>
  <c r="O36" i="3"/>
  <c r="P36" i="3"/>
  <c r="Q36" i="3"/>
  <c r="R36" i="3"/>
  <c r="S36" i="3"/>
  <c r="T36" i="3"/>
  <c r="U36" i="3"/>
  <c r="J37" i="3"/>
  <c r="K37" i="3"/>
  <c r="L37" i="3"/>
  <c r="M37" i="3"/>
  <c r="N37" i="3"/>
  <c r="O37" i="3"/>
  <c r="P37" i="3"/>
  <c r="Q37" i="3"/>
  <c r="R37" i="3"/>
  <c r="S37" i="3"/>
  <c r="T37" i="3"/>
  <c r="U37" i="3"/>
  <c r="J38" i="3"/>
  <c r="K38" i="3"/>
  <c r="L38" i="3"/>
  <c r="M38" i="3"/>
  <c r="N38" i="3"/>
  <c r="O38" i="3"/>
  <c r="P38" i="3"/>
  <c r="Q38" i="3"/>
  <c r="R38" i="3"/>
  <c r="S38" i="3"/>
  <c r="T38" i="3"/>
  <c r="U38" i="3"/>
  <c r="J39" i="3"/>
  <c r="K39" i="3"/>
  <c r="L39" i="3"/>
  <c r="M39" i="3"/>
  <c r="N39" i="3"/>
  <c r="O39" i="3"/>
  <c r="P39" i="3"/>
  <c r="Q39" i="3"/>
  <c r="R39" i="3"/>
  <c r="S39" i="3"/>
  <c r="T39" i="3"/>
  <c r="U39" i="3"/>
  <c r="J40" i="3"/>
  <c r="K40" i="3"/>
  <c r="L40" i="3"/>
  <c r="M40" i="3"/>
  <c r="N40" i="3"/>
  <c r="O40" i="3"/>
  <c r="P40" i="3"/>
  <c r="Q40" i="3"/>
  <c r="R40" i="3"/>
  <c r="S40" i="3"/>
  <c r="T40" i="3"/>
  <c r="U40" i="3"/>
  <c r="J41" i="3"/>
  <c r="K41" i="3"/>
  <c r="L41" i="3"/>
  <c r="M41" i="3"/>
  <c r="N41" i="3"/>
  <c r="O41" i="3"/>
  <c r="P41" i="3"/>
  <c r="Q41" i="3"/>
  <c r="R41" i="3"/>
  <c r="S41" i="3"/>
  <c r="T41" i="3"/>
  <c r="U41" i="3"/>
  <c r="J42" i="3"/>
  <c r="K42" i="3"/>
  <c r="L42" i="3"/>
  <c r="M42" i="3"/>
  <c r="N42" i="3"/>
  <c r="O42" i="3"/>
  <c r="P42" i="3"/>
  <c r="Q42" i="3"/>
  <c r="R42" i="3"/>
  <c r="S42" i="3"/>
  <c r="T42" i="3"/>
  <c r="U42" i="3"/>
  <c r="J43" i="3"/>
  <c r="K43" i="3"/>
  <c r="L43" i="3"/>
  <c r="M43" i="3"/>
  <c r="N43" i="3"/>
  <c r="O43" i="3"/>
  <c r="P43" i="3"/>
  <c r="Q43" i="3"/>
  <c r="R43" i="3"/>
  <c r="S43" i="3"/>
  <c r="T43" i="3"/>
  <c r="U43" i="3"/>
  <c r="J44" i="3"/>
  <c r="K44" i="3"/>
  <c r="L44" i="3"/>
  <c r="M44" i="3"/>
  <c r="N44" i="3"/>
  <c r="O44" i="3"/>
  <c r="P44" i="3"/>
  <c r="Q44" i="3"/>
  <c r="R44" i="3"/>
  <c r="S44" i="3"/>
  <c r="T44" i="3"/>
  <c r="U44" i="3"/>
  <c r="J45" i="3"/>
  <c r="K45" i="3"/>
  <c r="L45" i="3"/>
  <c r="M45" i="3"/>
  <c r="N45" i="3"/>
  <c r="O45" i="3"/>
  <c r="P45" i="3"/>
  <c r="Q45" i="3"/>
  <c r="R45" i="3"/>
  <c r="S45" i="3"/>
  <c r="T45" i="3"/>
  <c r="U45" i="3"/>
  <c r="J46" i="3"/>
  <c r="K46" i="3"/>
  <c r="L46" i="3"/>
  <c r="M46" i="3"/>
  <c r="N46" i="3"/>
  <c r="O46" i="3"/>
  <c r="P46" i="3"/>
  <c r="Q46" i="3"/>
  <c r="R46" i="3"/>
  <c r="S46" i="3"/>
  <c r="T46" i="3"/>
  <c r="U46" i="3"/>
  <c r="J47" i="3"/>
  <c r="K47" i="3"/>
  <c r="L47" i="3"/>
  <c r="M47" i="3"/>
  <c r="N47" i="3"/>
  <c r="O47" i="3"/>
  <c r="P47" i="3"/>
  <c r="Q47" i="3"/>
  <c r="R47" i="3"/>
  <c r="S47" i="3"/>
  <c r="T47" i="3"/>
  <c r="U47" i="3"/>
  <c r="J48" i="3"/>
  <c r="K48" i="3"/>
  <c r="L48" i="3"/>
  <c r="M48" i="3"/>
  <c r="N48" i="3"/>
  <c r="O48" i="3"/>
  <c r="P48" i="3"/>
  <c r="Q48" i="3"/>
  <c r="R48" i="3"/>
  <c r="S48" i="3"/>
  <c r="T48" i="3"/>
  <c r="U48" i="3"/>
  <c r="J49" i="3"/>
  <c r="K49" i="3"/>
  <c r="L49" i="3"/>
  <c r="M49" i="3"/>
  <c r="N49" i="3"/>
  <c r="O49" i="3"/>
  <c r="P49" i="3"/>
  <c r="Q49" i="3"/>
  <c r="R49" i="3"/>
  <c r="S49" i="3"/>
  <c r="T49" i="3"/>
  <c r="U49" i="3"/>
  <c r="J50" i="3"/>
  <c r="K50" i="3"/>
  <c r="L50" i="3"/>
  <c r="M50" i="3"/>
  <c r="N50" i="3"/>
  <c r="O50" i="3"/>
  <c r="P50" i="3"/>
  <c r="Q50" i="3"/>
  <c r="R50" i="3"/>
  <c r="S50" i="3"/>
  <c r="T50" i="3"/>
  <c r="U50" i="3"/>
  <c r="J51" i="3"/>
  <c r="K51" i="3"/>
  <c r="L51" i="3"/>
  <c r="M51" i="3"/>
  <c r="N51" i="3"/>
  <c r="O51" i="3"/>
  <c r="P51" i="3"/>
  <c r="Q51" i="3"/>
  <c r="R51" i="3"/>
  <c r="S51" i="3"/>
  <c r="T51" i="3"/>
  <c r="U51" i="3"/>
  <c r="V2" i="3"/>
  <c r="V3" i="3"/>
  <c r="V4" i="3"/>
  <c r="V5" i="3"/>
  <c r="V6" i="3"/>
  <c r="V7" i="3"/>
  <c r="V8" i="3"/>
  <c r="V9" i="3"/>
  <c r="V10" i="3"/>
  <c r="V11" i="3"/>
  <c r="V12" i="3"/>
  <c r="V13" i="3"/>
  <c r="V14" i="3"/>
  <c r="V15" i="3"/>
  <c r="V16" i="3"/>
  <c r="V17" i="3"/>
  <c r="V18" i="3"/>
  <c r="V19" i="3"/>
  <c r="V20" i="3"/>
  <c r="V21" i="3"/>
  <c r="V22" i="3"/>
  <c r="V23" i="3"/>
  <c r="V24" i="3"/>
  <c r="V25" i="3"/>
  <c r="V26" i="3"/>
  <c r="V27" i="3"/>
  <c r="V28" i="3"/>
  <c r="V29" i="3"/>
  <c r="V30" i="3"/>
  <c r="V31" i="3"/>
  <c r="V32" i="3"/>
  <c r="V33" i="3"/>
  <c r="V34" i="3"/>
  <c r="V35" i="3"/>
  <c r="V36" i="3"/>
  <c r="V37" i="3"/>
  <c r="V38" i="3"/>
  <c r="V39" i="3"/>
  <c r="V40" i="3"/>
  <c r="V41" i="3"/>
  <c r="V42" i="3"/>
  <c r="V43" i="3"/>
  <c r="V44" i="3"/>
  <c r="V45" i="3"/>
  <c r="V46" i="3"/>
  <c r="V47" i="3"/>
  <c r="V48" i="3"/>
  <c r="V49" i="3"/>
  <c r="V50" i="3"/>
  <c r="V51" i="3"/>
  <c r="H2" i="3"/>
  <c r="H3" i="3"/>
  <c r="H4" i="3"/>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50" i="3"/>
  <c r="H51" i="3"/>
  <c r="E34" i="3"/>
  <c r="F34" i="3"/>
  <c r="G34" i="3"/>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5" i="3"/>
  <c r="G36" i="3"/>
  <c r="G37" i="3"/>
  <c r="G38" i="3"/>
  <c r="G39" i="3"/>
  <c r="G40" i="3"/>
  <c r="G41" i="3"/>
  <c r="G42" i="3"/>
  <c r="G43" i="3"/>
  <c r="G44" i="3"/>
  <c r="G45" i="3"/>
  <c r="G46" i="3"/>
  <c r="G47" i="3"/>
  <c r="G48" i="3"/>
  <c r="G49" i="3"/>
  <c r="G50" i="3"/>
  <c r="G51" i="3"/>
  <c r="F2" i="3"/>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5" i="3"/>
  <c r="F36" i="3"/>
  <c r="F37" i="3"/>
  <c r="F38" i="3"/>
  <c r="F39" i="3"/>
  <c r="F40" i="3"/>
  <c r="F41" i="3"/>
  <c r="F42" i="3"/>
  <c r="F43" i="3"/>
  <c r="F44" i="3"/>
  <c r="F45" i="3"/>
  <c r="F46" i="3"/>
  <c r="F47" i="3"/>
  <c r="F48" i="3"/>
  <c r="F49" i="3"/>
  <c r="F50" i="3"/>
  <c r="F51" i="3"/>
  <c r="E2" i="3"/>
  <c r="E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5" i="3"/>
  <c r="E36" i="3"/>
  <c r="E37" i="3"/>
  <c r="E38" i="3"/>
  <c r="E39" i="3"/>
  <c r="E40" i="3"/>
  <c r="E41" i="3"/>
  <c r="E42" i="3"/>
  <c r="E43" i="3"/>
  <c r="E44" i="3"/>
  <c r="E45" i="3"/>
  <c r="E46" i="3"/>
  <c r="E47" i="3"/>
  <c r="E48" i="3"/>
  <c r="E49" i="3"/>
  <c r="E50" i="3"/>
  <c r="E51" i="3"/>
  <c r="I39" i="6" l="1"/>
  <c r="I27" i="6"/>
  <c r="I15" i="6"/>
  <c r="I3" i="6"/>
  <c r="I37" i="6"/>
  <c r="I25" i="6"/>
  <c r="I36" i="6"/>
  <c r="I35" i="6"/>
  <c r="I31" i="6"/>
  <c r="I19" i="6"/>
  <c r="I43" i="6"/>
  <c r="I2" i="6"/>
  <c r="I41" i="6"/>
  <c r="I29" i="6"/>
  <c r="I17" i="6"/>
  <c r="I5" i="6"/>
  <c r="I40" i="6"/>
  <c r="I28" i="6"/>
  <c r="I16" i="6"/>
  <c r="I4" i="6"/>
  <c r="I24" i="6"/>
  <c r="I12" i="6"/>
  <c r="I32" i="6"/>
  <c r="I20" i="6"/>
  <c r="I8" i="6"/>
  <c r="I7" i="6"/>
  <c r="I38" i="6"/>
  <c r="I26" i="6"/>
  <c r="I14" i="6"/>
  <c r="I13" i="6"/>
  <c r="I23" i="6"/>
  <c r="I11" i="6"/>
  <c r="I34" i="6"/>
  <c r="I22" i="6"/>
  <c r="I10" i="6"/>
  <c r="I33" i="6"/>
  <c r="I21" i="6"/>
  <c r="I9" i="6"/>
  <c r="I42" i="6"/>
  <c r="I30" i="6"/>
  <c r="I18" i="6"/>
  <c r="I6" i="6"/>
</calcChain>
</file>

<file path=xl/sharedStrings.xml><?xml version="1.0" encoding="utf-8"?>
<sst xmlns="http://schemas.openxmlformats.org/spreadsheetml/2006/main" count="47911" uniqueCount="6259">
  <si>
    <t>Pet_ID</t>
  </si>
  <si>
    <t>Rescue_ID</t>
  </si>
  <si>
    <t>Name</t>
  </si>
  <si>
    <t>Status</t>
  </si>
  <si>
    <t>Date_Added</t>
  </si>
  <si>
    <t>Date_Adopted</t>
  </si>
  <si>
    <t>Species</t>
  </si>
  <si>
    <t>Primary_Breed</t>
  </si>
  <si>
    <t>Secondary_Breed</t>
  </si>
  <si>
    <t>Color</t>
  </si>
  <si>
    <t>Sex</t>
  </si>
  <si>
    <t>Age</t>
  </si>
  <si>
    <t>Size</t>
  </si>
  <si>
    <t>Coat</t>
  </si>
  <si>
    <t>Mixed</t>
  </si>
  <si>
    <t>Altered</t>
  </si>
  <si>
    <t>Shots_Current</t>
  </si>
  <si>
    <t>Housebroken</t>
  </si>
  <si>
    <t>Declawed</t>
  </si>
  <si>
    <t>Special_Needs</t>
  </si>
  <si>
    <t>OK_With_Kids</t>
  </si>
  <si>
    <t>OK_With_Dogs</t>
  </si>
  <si>
    <t>OK_With_Cats</t>
  </si>
  <si>
    <t>Description</t>
  </si>
  <si>
    <t>Video_URL</t>
  </si>
  <si>
    <t>Microchip_Number</t>
  </si>
  <si>
    <t>Microchip_Vendor</t>
  </si>
  <si>
    <t>Photo_1_URL</t>
  </si>
  <si>
    <t>Photo_2_URL</t>
  </si>
  <si>
    <t>Photo_3_URL</t>
  </si>
  <si>
    <t>Photo_4_URL</t>
  </si>
  <si>
    <t>Jackie [Barn Cat]</t>
  </si>
  <si>
    <t>available</t>
  </si>
  <si>
    <t>cat</t>
  </si>
  <si>
    <t>Domestic Shorthair</t>
  </si>
  <si>
    <t>Tortoiseshell</t>
  </si>
  <si>
    <t>female</t>
  </si>
  <si>
    <t>young</t>
  </si>
  <si>
    <t>short</t>
  </si>
  <si>
    <t>Yes</t>
  </si>
  <si>
    <t>Unknown</t>
  </si>
  <si>
    <t>No</t>
  </si>
  <si>
    <t>https://pet-uploads.adoptapet.com/6/6/f/1243928269.jpg</t>
  </si>
  <si>
    <t>A0055524062</t>
  </si>
  <si>
    <t>Cameron [Foster Home]</t>
  </si>
  <si>
    <t>dog</t>
  </si>
  <si>
    <t>American Pit Bull Terrier</t>
  </si>
  <si>
    <t>Tan/Yellow/Fawn</t>
  </si>
  <si>
    <t>male</t>
  </si>
  <si>
    <t>adult</t>
  </si>
  <si>
    <t>Med. 26-60 lbs (12-27 kg)</t>
  </si>
  <si>
    <t>A0055990071</t>
  </si>
  <si>
    <t>Mimir</t>
  </si>
  <si>
    <t>American Staffordshire Terrier</t>
  </si>
  <si>
    <t>Gray/Silver/Salt &amp; Pepper - with White</t>
  </si>
  <si>
    <t>https://pet-uploads.adoptapet.com/2/6/b/1172954276.jpg</t>
  </si>
  <si>
    <t>https://pet-uploads.adoptapet.com/b/7/c/1172954285.jpg</t>
  </si>
  <si>
    <t>A0056684348</t>
  </si>
  <si>
    <t>Chucky [Foster Home]</t>
  </si>
  <si>
    <t>American Bulldog</t>
  </si>
  <si>
    <t>Brown/Chocolate - with White</t>
  </si>
  <si>
    <t>https://pet-uploads.adoptapet.com/a/d/5/1177618449.jpg</t>
  </si>
  <si>
    <t>https://pet-uploads.adoptapet.com/0/d/0/1177618458.jpg</t>
  </si>
  <si>
    <t>A0054055054</t>
  </si>
  <si>
    <t>Cleopatra</t>
  </si>
  <si>
    <t>White - with Black</t>
  </si>
  <si>
    <t>A0057060359</t>
  </si>
  <si>
    <t>Fonzie</t>
  </si>
  <si>
    <t>Boxer</t>
  </si>
  <si>
    <t>Brindle - with White</t>
  </si>
  <si>
    <t>A0057142369</t>
  </si>
  <si>
    <t>Sebastian</t>
  </si>
  <si>
    <t>Rottweiler</t>
  </si>
  <si>
    <t>Black - with Brown, Red, Golden, Orange or Chestnut</t>
  </si>
  <si>
    <t>Large 61-100 lbs (28-45 kg)</t>
  </si>
  <si>
    <t>https://pet-uploads.adoptapet.com/2/8/4/1203248747.jpg</t>
  </si>
  <si>
    <t>https://pet-uploads.adoptapet.com/2/5/4/1203248770.jpg</t>
  </si>
  <si>
    <t>https://pet-uploads.adoptapet.com/9/d/7/1203248789.jpg</t>
  </si>
  <si>
    <t>A0057330368</t>
  </si>
  <si>
    <t>Lloyd [Foster Home]</t>
  </si>
  <si>
    <t>Shepherd (Unknown Type)</t>
  </si>
  <si>
    <t>Terrier (Unknown Type, Medium)</t>
  </si>
  <si>
    <t>Gray/Blue/Silver/Salt &amp; Pepper</t>
  </si>
  <si>
    <t>https://pet-uploads.adoptapet.com/6/9/f/1208211648.jpg</t>
  </si>
  <si>
    <t>https://pet-uploads.adoptapet.com/a/7/8/1208211657.jpg</t>
  </si>
  <si>
    <t>https://pet-uploads.adoptapet.com/b/2/b/1234763731.jpg</t>
  </si>
  <si>
    <t>https://pet-uploads.adoptapet.com/9/2/c/1234763737.jpg</t>
  </si>
  <si>
    <t>A0057890580</t>
  </si>
  <si>
    <t>Myrtle</t>
  </si>
  <si>
    <t>Weimaraner</t>
  </si>
  <si>
    <t>Labrador Retriever</t>
  </si>
  <si>
    <t>https://pet-uploads.adoptapet.com/a/3/d/1220244548.jpg</t>
  </si>
  <si>
    <t>https://pet-uploads.adoptapet.com/9/8/8/1220244557.jpg</t>
  </si>
  <si>
    <t>https://pet-uploads.adoptapet.com/4/5/8/1220244576.jpg</t>
  </si>
  <si>
    <t>A0058055574</t>
  </si>
  <si>
    <t>Kimmie</t>
  </si>
  <si>
    <t>Hound (Unknown Type)</t>
  </si>
  <si>
    <t>Husky</t>
  </si>
  <si>
    <t>Tan/Yellow/Fawn - with Black</t>
  </si>
  <si>
    <t>A0057829377</t>
  </si>
  <si>
    <t>Woodstock</t>
  </si>
  <si>
    <t>https://pet-uploads.adoptapet.com/f/d/b/1223883636.jpg</t>
  </si>
  <si>
    <t>https://pet-uploads.adoptapet.com/1/3/7/1223883653.jpg</t>
  </si>
  <si>
    <t>https://pet-uploads.adoptapet.com/6/2/f/1223883659.jpg</t>
  </si>
  <si>
    <t>A0058233547</t>
  </si>
  <si>
    <t>Plott Hound</t>
  </si>
  <si>
    <t>https://pet-uploads.adoptapet.com/3/6/f/1223893234.jpg</t>
  </si>
  <si>
    <t>Black &amp; White or Tuxedo</t>
  </si>
  <si>
    <t>https://pet-uploads.adoptapet.com/0/7/9/1225002239.jpg</t>
  </si>
  <si>
    <t>A0057718939</t>
  </si>
  <si>
    <t>Goose</t>
  </si>
  <si>
    <t>Bullmastiff</t>
  </si>
  <si>
    <t>Brindle</t>
  </si>
  <si>
    <t>https://pet-uploads.adoptapet.com/7/a/7/1234092789.jpg</t>
  </si>
  <si>
    <t>https://pet-uploads.adoptapet.com/b/5/4/1234092804.jpg</t>
  </si>
  <si>
    <t>A0058345913</t>
  </si>
  <si>
    <t>Grasshopper [Foster Home]</t>
  </si>
  <si>
    <t>White - with Tan, Yellow or Fawn</t>
  </si>
  <si>
    <t>https://pet-uploads.adoptapet.com/a/7/6/1253057182.jpg</t>
  </si>
  <si>
    <t>https://pet-uploads.adoptapet.com/b/f/0/1253057712.jpg</t>
  </si>
  <si>
    <t>A0058240635</t>
  </si>
  <si>
    <t>Jacob</t>
  </si>
  <si>
    <t>American Eskimo Dog</t>
  </si>
  <si>
    <t>Tan/Yellow/Fawn - with White</t>
  </si>
  <si>
    <t>https://pet-uploads.adoptapet.com/b/6/c/1234073964.jpg</t>
  </si>
  <si>
    <t>https://pet-uploads.adoptapet.com/2/d/2/1234073973.jpg</t>
  </si>
  <si>
    <t>https://pet-uploads.adoptapet.com/8/0/7/1234073979.jpg</t>
  </si>
  <si>
    <t>A0058481134</t>
  </si>
  <si>
    <t>Kira</t>
  </si>
  <si>
    <t>A0058276398</t>
  </si>
  <si>
    <t>Koko</t>
  </si>
  <si>
    <t>A0058297139</t>
  </si>
  <si>
    <t>Retriever (Unknown Type)</t>
  </si>
  <si>
    <t>Red/Golden/Orange/Chestnut - with White</t>
  </si>
  <si>
    <t>https://pet-uploads.adoptapet.com/5/9/2/1234117693.jpg</t>
  </si>
  <si>
    <t>https://pet-uploads.adoptapet.com/5/3/8/1234118011.jpg</t>
  </si>
  <si>
    <t>https://pet-uploads.adoptapet.com/e/e/2/1234118172.jpg</t>
  </si>
  <si>
    <t>https://pet-uploads.adoptapet.com/0/2/6/1234118386.jpg</t>
  </si>
  <si>
    <t>Black</t>
  </si>
  <si>
    <t>A0058557091</t>
  </si>
  <si>
    <t>Miss White [Foster Home]</t>
  </si>
  <si>
    <t>https://pet-uploads.adoptapet.com/0/d/7/1234167019.jpg</t>
  </si>
  <si>
    <t>https://pet-uploads.adoptapet.com/e/f/d/1234167037.jpg</t>
  </si>
  <si>
    <t>https://pet-uploads.adoptapet.com/e/f/1/1234167043.jpg</t>
  </si>
  <si>
    <t>A0058540854</t>
  </si>
  <si>
    <t>Nash</t>
  </si>
  <si>
    <t>Brown/Chocolate</t>
  </si>
  <si>
    <t>https://pet-uploads.adoptapet.com/8/5/f/1234161773.jpg</t>
  </si>
  <si>
    <t>https://pet-uploads.adoptapet.com/2/3/f/1234161881.jpg</t>
  </si>
  <si>
    <t>https://pet-uploads.adoptapet.com/0/e/c/1234161971.jpg</t>
  </si>
  <si>
    <t>https://pet-uploads.adoptapet.com/9/f/a/1234162169.jpg</t>
  </si>
  <si>
    <t>A0058089692</t>
  </si>
  <si>
    <t>Rajah</t>
  </si>
  <si>
    <t>Boston Terrier</t>
  </si>
  <si>
    <t>Black - with White</t>
  </si>
  <si>
    <t>A0053756095</t>
  </si>
  <si>
    <t>A0058018080</t>
  </si>
  <si>
    <t>Zorua [Foster Home]</t>
  </si>
  <si>
    <t>https://pet-uploads.adoptapet.com/d/0/5/1234093258.jpg</t>
  </si>
  <si>
    <t>https://pet-uploads.adoptapet.com/f/a/c/1234093267.jpg</t>
  </si>
  <si>
    <t>https://pet-uploads.adoptapet.com/9/3/6/1234093282.jpg</t>
  </si>
  <si>
    <t>https://pet-uploads.adoptapet.com/4/d/1/1234093299.jpg</t>
  </si>
  <si>
    <t>A0058345452</t>
  </si>
  <si>
    <t>Kat [Foster Home]</t>
  </si>
  <si>
    <t>kitten</t>
  </si>
  <si>
    <t>https://pet-uploads.adoptapet.com/4/4/f/1235405095.jpg</t>
  </si>
  <si>
    <t>https://pet-uploads.adoptapet.com/a/e/9/1235405104.jpg</t>
  </si>
  <si>
    <t>A0058345457</t>
  </si>
  <si>
    <t>Kevin [Foster Home]</t>
  </si>
  <si>
    <t>https://pet-uploads.adoptapet.com/6/7/6/1235404924.jpg</t>
  </si>
  <si>
    <t>https://pet-uploads.adoptapet.com/9/7/b/1235404933.jpg</t>
  </si>
  <si>
    <t>A0058719090</t>
  </si>
  <si>
    <t>Ava Grace</t>
  </si>
  <si>
    <t>Cane Corso</t>
  </si>
  <si>
    <t>https://pet-uploads.adoptapet.com/a/f/5/1239691721.jpg</t>
  </si>
  <si>
    <t>https://pet-uploads.adoptapet.com/b/f/1/1239691730.jpg</t>
  </si>
  <si>
    <t>https://pet-uploads.adoptapet.com/a/9/0/1239691736.jpg</t>
  </si>
  <si>
    <t>https://pet-uploads.adoptapet.com/5/3/a/1239691742.jpg</t>
  </si>
  <si>
    <t>A0058705427</t>
  </si>
  <si>
    <t>Cole [Foster Home]</t>
  </si>
  <si>
    <t>https://pet-uploads.adoptapet.com/0/3/1/1239691476.jpg</t>
  </si>
  <si>
    <t>https://pet-uploads.adoptapet.com/8/f/4/1239691485.jpg</t>
  </si>
  <si>
    <t>https://pet-uploads.adoptapet.com/9/e/a/1239691491.jpg</t>
  </si>
  <si>
    <t>A0058762939</t>
  </si>
  <si>
    <t>Everlee</t>
  </si>
  <si>
    <t>A0058688400</t>
  </si>
  <si>
    <t>Julian</t>
  </si>
  <si>
    <t>https://pet-uploads.adoptapet.com/b/9/1/1239690916.jpg</t>
  </si>
  <si>
    <t>https://pet-uploads.adoptapet.com/3/8/f/1239690925.jpg</t>
  </si>
  <si>
    <t>https://pet-uploads.adoptapet.com/f/7/3/1239690931.jpg</t>
  </si>
  <si>
    <t>A0058748347</t>
  </si>
  <si>
    <t>Karma [Foster Home]</t>
  </si>
  <si>
    <t>A0058730783</t>
  </si>
  <si>
    <t>Kim</t>
  </si>
  <si>
    <t>https://pet-uploads.adoptapet.com/0/5/2/1239692686.jpg</t>
  </si>
  <si>
    <t>https://pet-uploads.adoptapet.com/6/9/5/1239692695.jpg</t>
  </si>
  <si>
    <t>https://pet-uploads.adoptapet.com/9/1/1/1239692701.jpg</t>
  </si>
  <si>
    <t>https://pet-uploads.adoptapet.com/9/9/5/1239692707.jpg</t>
  </si>
  <si>
    <t>A0058282132</t>
  </si>
  <si>
    <t>Radar</t>
  </si>
  <si>
    <t>Black and Tan Coonhound</t>
  </si>
  <si>
    <t>A0058280488</t>
  </si>
  <si>
    <t>Odin [Foster Home]</t>
  </si>
  <si>
    <t>Black - with Tan, Yellow or Fawn</t>
  </si>
  <si>
    <t>https://pet-uploads.adoptapet.com/3/d/d/1240045985.jpg</t>
  </si>
  <si>
    <t>https://pet-uploads.adoptapet.com/1/a/e/1240045994.jpg</t>
  </si>
  <si>
    <t>https://pet-uploads.adoptapet.com/9/b/2/1240046000.jpg</t>
  </si>
  <si>
    <t>https://pet-uploads.adoptapet.com/2/e/d/1240046006.jpg</t>
  </si>
  <si>
    <t>A0058436912</t>
  </si>
  <si>
    <t>Dexter</t>
  </si>
  <si>
    <t>Tabby</t>
  </si>
  <si>
    <t>Gray, Blue or Silver Tabby</t>
  </si>
  <si>
    <t>https://pet-uploads.adoptapet.com/3/f/9/1242433312.jpg</t>
  </si>
  <si>
    <t>A0058815537</t>
  </si>
  <si>
    <t>Brownie [Foster Home]</t>
  </si>
  <si>
    <t>This is Brownie.  She's about 5 months old and weighs 29 lbs. She's a curious, playful puppy who likes fetch and running around the yard.  She's great on a leash and loves playing with toys and her foster brother. She's working on potty and crate training and is very treat motivated. Come meet Brownie today!</t>
  </si>
  <si>
    <t>https://pet-uploads.adoptapet.com/f/c/f/1243249368.jpg</t>
  </si>
  <si>
    <t>https://pet-uploads.adoptapet.com/a/4/7/1243249380.jpg</t>
  </si>
  <si>
    <t>https://pet-uploads.adoptapet.com/4/4/d/1246505925.jpg</t>
  </si>
  <si>
    <t>https://pet-uploads.adoptapet.com/1/2/c/1246505931.jpg</t>
  </si>
  <si>
    <t>A0058435777</t>
  </si>
  <si>
    <t>Jojo</t>
  </si>
  <si>
    <t>Brown Tabby</t>
  </si>
  <si>
    <t>A0058436930</t>
  </si>
  <si>
    <t>Phillip</t>
  </si>
  <si>
    <t>White (Mostly)</t>
  </si>
  <si>
    <t>https://pet-uploads.adoptapet.com/9/f/b/1243269146.jpg</t>
  </si>
  <si>
    <t>https://pet-uploads.adoptapet.com/8/5/b/1243269155.jpg</t>
  </si>
  <si>
    <t>A0058760517</t>
  </si>
  <si>
    <t>Tanya</t>
  </si>
  <si>
    <t>senior</t>
  </si>
  <si>
    <t>https://pet-uploads.adoptapet.com/6/8/a/1243258499.jpg</t>
  </si>
  <si>
    <t>https://pet-uploads.adoptapet.com/2/0/4/1243258526.jpg</t>
  </si>
  <si>
    <t>https://pet-uploads.adoptapet.com/7/8/4/1243258541.jpg</t>
  </si>
  <si>
    <t>All Black</t>
  </si>
  <si>
    <t>medium</t>
  </si>
  <si>
    <t>Spotted Tabby/Leopard Spotted</t>
  </si>
  <si>
    <t>A0055486470</t>
  </si>
  <si>
    <t>Mafia [Barn Cat]</t>
  </si>
  <si>
    <t>https://pet-uploads.adoptapet.com/0/2/a/1243925992.jpg</t>
  </si>
  <si>
    <t>A0058224570</t>
  </si>
  <si>
    <t>Midge [Barn Cat]</t>
  </si>
  <si>
    <t>Domestic Mediumhair</t>
  </si>
  <si>
    <t>https://pet-uploads.adoptapet.com/d/5/3/1243925156.jpg</t>
  </si>
  <si>
    <t>A0058760498</t>
  </si>
  <si>
    <t>A0058873126</t>
  </si>
  <si>
    <t>https://pet-uploads.adoptapet.com/6/7/2/1246035495.jpg</t>
  </si>
  <si>
    <t>https://pet-uploads.adoptapet.com/f/0/8/1246035521.jpg</t>
  </si>
  <si>
    <t>https://pet-uploads.adoptapet.com/0/a/4/1246035536.jpg</t>
  </si>
  <si>
    <t>https://pet-uploads.adoptapet.com/8/8/3/1246035551.jpg</t>
  </si>
  <si>
    <t>A0058881642</t>
  </si>
  <si>
    <t>Journey [Foster Home]</t>
  </si>
  <si>
    <t>Treeing Walker Coonhound</t>
  </si>
  <si>
    <t>Foxhound</t>
  </si>
  <si>
    <t>Tricolor (Tan/Brown &amp; Black &amp; White)</t>
  </si>
  <si>
    <t>https://pet-uploads.adoptapet.com/e/2/c/1246034809.jpg</t>
  </si>
  <si>
    <t>https://pet-uploads.adoptapet.com/0/5/7/1246034818.jpg</t>
  </si>
  <si>
    <t>https://pet-uploads.adoptapet.com/4/3/c/1246034824.jpg</t>
  </si>
  <si>
    <t>A0058760472</t>
  </si>
  <si>
    <t>Kirby</t>
  </si>
  <si>
    <t>https://pet-uploads.adoptapet.com/8/3/2/1246029683.jpg</t>
  </si>
  <si>
    <t>https://pet-uploads.adoptapet.com/6/9/1/1246029701.jpg</t>
  </si>
  <si>
    <t>https://pet-uploads.adoptapet.com/8/f/6/1246029747.jpg</t>
  </si>
  <si>
    <t>A0058922485</t>
  </si>
  <si>
    <t>Landon</t>
  </si>
  <si>
    <t>https://pet-uploads.adoptapet.com/4/e/f/1246038538.jpg</t>
  </si>
  <si>
    <t>https://pet-uploads.adoptapet.com/1/8/8/1246038547.jpg</t>
  </si>
  <si>
    <t>https://pet-uploads.adoptapet.com/3/7/8/1246038561.jpg</t>
  </si>
  <si>
    <t>https://pet-uploads.adoptapet.com/6/6/b/1246038583.jpg</t>
  </si>
  <si>
    <t>A0051746637</t>
  </si>
  <si>
    <t>Ralph</t>
  </si>
  <si>
    <t>Pointer</t>
  </si>
  <si>
    <t>A0058760527</t>
  </si>
  <si>
    <t>Twister</t>
  </si>
  <si>
    <t>https://pet-uploads.adoptapet.com/1/5/0/1246032751.jpg</t>
  </si>
  <si>
    <t>https://pet-uploads.adoptapet.com/9/c/3/1246032760.jpg</t>
  </si>
  <si>
    <t>https://pet-uploads.adoptapet.com/1/1/f/1246032766.jpg</t>
  </si>
  <si>
    <t>https://pet-uploads.adoptapet.com/5/a/2/1246032772.jpg</t>
  </si>
  <si>
    <t>A0058904337</t>
  </si>
  <si>
    <t>Yukiko [Foster Home]</t>
  </si>
  <si>
    <t>https://pet-uploads.adoptapet.com/d/3/7/1246038754.jpg</t>
  </si>
  <si>
    <t>https://pet-uploads.adoptapet.com/5/9/3/1246038763.jpg</t>
  </si>
  <si>
    <t>https://pet-uploads.adoptapet.com/2/7/8/1246038769.jpg</t>
  </si>
  <si>
    <t>A0058801624</t>
  </si>
  <si>
    <t>Peyton [Foster Home]</t>
  </si>
  <si>
    <t>Corgi</t>
  </si>
  <si>
    <t>White</t>
  </si>
  <si>
    <t>A0059040305</t>
  </si>
  <si>
    <t>Auggie</t>
  </si>
  <si>
    <t>Small 25 lbs (11 kg) or less</t>
  </si>
  <si>
    <t>A0059040308</t>
  </si>
  <si>
    <t>Denali</t>
  </si>
  <si>
    <t>A0059026516</t>
  </si>
  <si>
    <t>Lotus</t>
  </si>
  <si>
    <t>https://pet-uploads.adoptapet.com/3/e/d/1248917122.jpg</t>
  </si>
  <si>
    <t>https://pet-uploads.adoptapet.com/9/b/6/1248917135.jpg</t>
  </si>
  <si>
    <t>https://pet-uploads.adoptapet.com/c/0/4/1248917146.jpg</t>
  </si>
  <si>
    <t>https://pet-uploads.adoptapet.com/4/6/b/1248917152.jpg</t>
  </si>
  <si>
    <t>A0058640772</t>
  </si>
  <si>
    <t>Sushi</t>
  </si>
  <si>
    <t>https://pet-uploads.adoptapet.com/5/b/9/1249180711.jpg</t>
  </si>
  <si>
    <t>A0058640805</t>
  </si>
  <si>
    <t>Trout</t>
  </si>
  <si>
    <t>Orange or Red</t>
  </si>
  <si>
    <t>https://pet-uploads.adoptapet.com/8/e/9/1249180370.jpg</t>
  </si>
  <si>
    <t>A0054707397</t>
  </si>
  <si>
    <t>Artemis</t>
  </si>
  <si>
    <t>White - with Gray or Silver</t>
  </si>
  <si>
    <t>https://pet-uploads.adoptapet.com/0/e/1/1252382431.jpg</t>
  </si>
  <si>
    <t>https://pet-uploads.adoptapet.com/c/d/3/1252382440.jpg</t>
  </si>
  <si>
    <t>https://pet-uploads.adoptapet.com/5/5/6/1252382446.jpg</t>
  </si>
  <si>
    <t>A0059021778</t>
  </si>
  <si>
    <t>Craig</t>
  </si>
  <si>
    <t>https://pet-uploads.adoptapet.com/d/0/d/1252382980.jpg</t>
  </si>
  <si>
    <t>https://pet-uploads.adoptapet.com/c/4/2/1252383006.jpg</t>
  </si>
  <si>
    <t>https://pet-uploads.adoptapet.com/9/a/e/1252383012.jpg</t>
  </si>
  <si>
    <t>A0059031537</t>
  </si>
  <si>
    <t>Dingo [Foster Home]</t>
  </si>
  <si>
    <t>https://pet-uploads.adoptapet.com/d/f/9/1252385716.jpg</t>
  </si>
  <si>
    <t>https://pet-uploads.adoptapet.com/2/b/6/1252385725.jpg</t>
  </si>
  <si>
    <t>https://pet-uploads.adoptapet.com/1/6/a/1252385731.jpg</t>
  </si>
  <si>
    <t>A0059058634</t>
  </si>
  <si>
    <t>Elliott</t>
  </si>
  <si>
    <t>https://pet-uploads.adoptapet.com/5/9/3/1252385988.jpg</t>
  </si>
  <si>
    <t>https://pet-uploads.adoptapet.com/f/5/5/1252386011.jpg</t>
  </si>
  <si>
    <t>https://pet-uploads.adoptapet.com/8/8/c/1252386031.jpg</t>
  </si>
  <si>
    <t>https://pet-uploads.adoptapet.com/2/3/7/1252386037.jpg</t>
  </si>
  <si>
    <t>A0059197919</t>
  </si>
  <si>
    <t>Emmett</t>
  </si>
  <si>
    <t>https://pet-uploads.adoptapet.com/7/6/1/1252386822.jpg</t>
  </si>
  <si>
    <t>https://pet-uploads.adoptapet.com/4/7/a/1252386852.jpg</t>
  </si>
  <si>
    <t>https://pet-uploads.adoptapet.com/6/f/0/1252386858.jpg</t>
  </si>
  <si>
    <t>https://pet-uploads.adoptapet.com/9/b/7/1252386864.jpg</t>
  </si>
  <si>
    <t>A0059218846</t>
  </si>
  <si>
    <t>Feta</t>
  </si>
  <si>
    <t>Bull Terrier</t>
  </si>
  <si>
    <t>Carolina Dog</t>
  </si>
  <si>
    <t>https://pet-uploads.adoptapet.com/2/e/4/1252387056.jpg</t>
  </si>
  <si>
    <t>https://pet-uploads.adoptapet.com/8/a/9/1252387065.jpg</t>
  </si>
  <si>
    <t>https://pet-uploads.adoptapet.com/1/d/2/1252387071.jpg</t>
  </si>
  <si>
    <t>https://pet-uploads.adoptapet.com/f/3/a/1252387077.jpg</t>
  </si>
  <si>
    <t>Australian Shepherd</t>
  </si>
  <si>
    <t>Red/Golden/Orange/Chestnut</t>
  </si>
  <si>
    <t>A0058620547</t>
  </si>
  <si>
    <t>Judd [Foster Home]</t>
  </si>
  <si>
    <t>Judd lives in a foster home with [3] dogs and [1] cat and loves his fur siblings. He especially has became good friends with his cat foster sibling. Judd enjoys laying around and being apart of your day, as well as enjoying sunbathing on the screened in porch.</t>
  </si>
  <si>
    <t>https://pet-uploads.adoptapet.com/a/4/b/1252472959.jpg</t>
  </si>
  <si>
    <t>https://pet-uploads.adoptapet.com/a/c/a/1252472968.jpg</t>
  </si>
  <si>
    <t>https://pet-uploads.adoptapet.com/1/f/f/1252472974.jpg</t>
  </si>
  <si>
    <t>https://pet-uploads.adoptapet.com/f/c/0/1252472993.jpg</t>
  </si>
  <si>
    <t>Jack Russell Terrier</t>
  </si>
  <si>
    <t>A0059211510</t>
  </si>
  <si>
    <t>Pocahontas</t>
  </si>
  <si>
    <t>A0059197970</t>
  </si>
  <si>
    <t>Roux</t>
  </si>
  <si>
    <t>A0059072755</t>
  </si>
  <si>
    <t>Royal</t>
  </si>
  <si>
    <t>https://pet-uploads.adoptapet.com/0/e/b/1252389499.jpg</t>
  </si>
  <si>
    <t>https://pet-uploads.adoptapet.com/b/6/8/1252389521.jpg</t>
  </si>
  <si>
    <t>https://pet-uploads.adoptapet.com/1/6/d/1252389551.jpg</t>
  </si>
  <si>
    <t>https://pet-uploads.adoptapet.com/d/a/f/1252389558.jpg</t>
  </si>
  <si>
    <t>A0059040345</t>
  </si>
  <si>
    <t>Deebo</t>
  </si>
  <si>
    <t>A0059232843</t>
  </si>
  <si>
    <t>Hash</t>
  </si>
  <si>
    <t>A0059309535</t>
  </si>
  <si>
    <t>Baby Doll</t>
  </si>
  <si>
    <t>A0059233187</t>
  </si>
  <si>
    <t>Captain Crunch [Foster Home]</t>
  </si>
  <si>
    <t>Golden Retriever</t>
  </si>
  <si>
    <t>A0059240393</t>
  </si>
  <si>
    <t>Cheech</t>
  </si>
  <si>
    <t>Black Mouth Cur</t>
  </si>
  <si>
    <t>https://pet-uploads.adoptapet.com/0/0/d/1257120938.jpg</t>
  </si>
  <si>
    <t>https://pet-uploads.adoptapet.com/2/9/8/1257120947.jpg</t>
  </si>
  <si>
    <t>https://pet-uploads.adoptapet.com/c/0/7/1257120953.jpg</t>
  </si>
  <si>
    <t>https://pet-uploads.adoptapet.com/6/6/4/1257120959.jpg</t>
  </si>
  <si>
    <t>A0059193976</t>
  </si>
  <si>
    <t>Claudia</t>
  </si>
  <si>
    <t>https://pet-uploads.adoptapet.com/d/b/4/1257072866.jpg</t>
  </si>
  <si>
    <t>https://pet-uploads.adoptapet.com/e/e/9/1257072875.jpg</t>
  </si>
  <si>
    <t>https://pet-uploads.adoptapet.com/6/2/e/1257072887.jpg</t>
  </si>
  <si>
    <t>https://pet-uploads.adoptapet.com/1/0/9/1257072901.jpg</t>
  </si>
  <si>
    <t>A0059350629</t>
  </si>
  <si>
    <t>Homer</t>
  </si>
  <si>
    <t>Rhodesian Ridgeback</t>
  </si>
  <si>
    <t>puppy</t>
  </si>
  <si>
    <t>A0058928950</t>
  </si>
  <si>
    <t>Jovi</t>
  </si>
  <si>
    <t>https://pet-uploads.adoptapet.com/1/d/2/1257072204.jpg</t>
  </si>
  <si>
    <t>https://pet-uploads.adoptapet.com/f/e/9/1257072213.jpg</t>
  </si>
  <si>
    <t>https://pet-uploads.adoptapet.com/d/2/8/1257072219.jpg</t>
  </si>
  <si>
    <t>https://pet-uploads.adoptapet.com/5/2/f/1257072225.jpg</t>
  </si>
  <si>
    <t>A0059290499</t>
  </si>
  <si>
    <t>Kombucha</t>
  </si>
  <si>
    <t>A0058872904</t>
  </si>
  <si>
    <t>Luca [Foster Home]</t>
  </si>
  <si>
    <t>Australian Cattle Dog</t>
  </si>
  <si>
    <t>Blue Heeler</t>
  </si>
  <si>
    <t>https://pet-uploads.adoptapet.com/8/6/c/1257099046.jpg</t>
  </si>
  <si>
    <t>A0059262241</t>
  </si>
  <si>
    <t>A0059350618</t>
  </si>
  <si>
    <t>Marge</t>
  </si>
  <si>
    <t>A0059250430</t>
  </si>
  <si>
    <t>Mary</t>
  </si>
  <si>
    <t>https://pet-uploads.adoptapet.com/a/c/c/1257103503.jpg</t>
  </si>
  <si>
    <t>A0058929883</t>
  </si>
  <si>
    <t>Max</t>
  </si>
  <si>
    <t>https://pet-uploads.adoptapet.com/8/7/7/1257072384.jpg</t>
  </si>
  <si>
    <t>https://pet-uploads.adoptapet.com/d/7/6/1257072393.jpg</t>
  </si>
  <si>
    <t>https://pet-uploads.adoptapet.com/5/5/7/1257072423.jpg</t>
  </si>
  <si>
    <t>https://pet-uploads.adoptapet.com/3/1/0/1257072440.jpg</t>
  </si>
  <si>
    <t>A0059250424</t>
  </si>
  <si>
    <t>Maya</t>
  </si>
  <si>
    <t>A0059318148</t>
  </si>
  <si>
    <t>Rooster</t>
  </si>
  <si>
    <t>https://pet-uploads.adoptapet.com/2/e/f/1257114724.jpg</t>
  </si>
  <si>
    <t>https://pet-uploads.adoptapet.com/0/0/6/1257114733.jpg</t>
  </si>
  <si>
    <t>https://pet-uploads.adoptapet.com/3/9/5/1257114739.jpg</t>
  </si>
  <si>
    <t>https://pet-uploads.adoptapet.com/8/5/8/1257114745.jpg</t>
  </si>
  <si>
    <t>A0059290520</t>
  </si>
  <si>
    <t>Sauerkraut</t>
  </si>
  <si>
    <t>A0059258024</t>
  </si>
  <si>
    <t>https://pet-uploads.adoptapet.com/5/3/6/1257104418.jpg</t>
  </si>
  <si>
    <t>https://pet-uploads.adoptapet.com/4/f/f/1257104427.jpg</t>
  </si>
  <si>
    <t>https://pet-uploads.adoptapet.com/0/5/6/1257104433.jpg</t>
  </si>
  <si>
    <t>https://pet-uploads.adoptapet.com/7/1/5/1257104439.jpg</t>
  </si>
  <si>
    <t>A0059350455</t>
  </si>
  <si>
    <t>Star</t>
  </si>
  <si>
    <t>Catahoula Leopard Dog</t>
  </si>
  <si>
    <t>A0059200388</t>
  </si>
  <si>
    <t>Tramp</t>
  </si>
  <si>
    <t>https://pet-uploads.adoptapet.com/b/0/a/1257074160.jpg</t>
  </si>
  <si>
    <t>https://pet-uploads.adoptapet.com/0/f/3/1257074188.jpg</t>
  </si>
  <si>
    <t>https://pet-uploads.adoptapet.com/2/b/1/1257074194.jpg</t>
  </si>
  <si>
    <t>A0059055232</t>
  </si>
  <si>
    <t>Vanna</t>
  </si>
  <si>
    <t>Whippet</t>
  </si>
  <si>
    <t>https://pet-uploads.adoptapet.com/3/3/1/1257073113.jpg</t>
  </si>
  <si>
    <t>https://pet-uploads.adoptapet.com/8/e/6/1257073122.jpg</t>
  </si>
  <si>
    <t>https://pet-uploads.adoptapet.com/9/3/1/1257073142.jpg</t>
  </si>
  <si>
    <t>https://pet-uploads.adoptapet.com/3/0/e/1257073149.jpg</t>
  </si>
  <si>
    <t>Photo</t>
  </si>
  <si>
    <t>Cat</t>
  </si>
  <si>
    <t>Dog</t>
  </si>
  <si>
    <t>AdoptionTrial</t>
  </si>
  <si>
    <t>Foster home</t>
  </si>
  <si>
    <t>982091071833720</t>
  </si>
  <si>
    <t>Brown</t>
  </si>
  <si>
    <t>Female</t>
  </si>
  <si>
    <t>Phoebe (J. McLeroy)</t>
  </si>
  <si>
    <t>Terrier, American Pit Bull</t>
  </si>
  <si>
    <t>Foster to Adopt</t>
  </si>
  <si>
    <t>Active</t>
  </si>
  <si>
    <t>A0050342883</t>
  </si>
  <si>
    <t/>
  </si>
  <si>
    <t>HW-</t>
  </si>
  <si>
    <t>10</t>
  </si>
  <si>
    <t>Adoption Kennels</t>
  </si>
  <si>
    <t>Male</t>
  </si>
  <si>
    <t>Retriever, Labrador</t>
  </si>
  <si>
    <t>Available</t>
  </si>
  <si>
    <t>Catio Free Roaming</t>
  </si>
  <si>
    <t>Catio</t>
  </si>
  <si>
    <t>982091070185820</t>
  </si>
  <si>
    <t>A0052239691</t>
  </si>
  <si>
    <t>HW -</t>
  </si>
  <si>
    <t>9</t>
  </si>
  <si>
    <t>Terrier, Pit Bull</t>
  </si>
  <si>
    <t>Equipment Storage Area</t>
  </si>
  <si>
    <t>Pending Behavior Assessment</t>
  </si>
  <si>
    <t>HW-3</t>
  </si>
  <si>
    <t>7</t>
  </si>
  <si>
    <t>941000028840680</t>
  </si>
  <si>
    <t>Blue</t>
  </si>
  <si>
    <t>Run 1</t>
  </si>
  <si>
    <t>941000028841335</t>
  </si>
  <si>
    <t>Grey</t>
  </si>
  <si>
    <t>Slate [Barn Cat]</t>
  </si>
  <si>
    <t>A0054750803</t>
  </si>
  <si>
    <t>941000028853363</t>
  </si>
  <si>
    <t>HW- 3</t>
  </si>
  <si>
    <t>AdoptAmbassador</t>
  </si>
  <si>
    <t>941000028853270</t>
  </si>
  <si>
    <t>Rust</t>
  </si>
  <si>
    <t>Cameron (E. Wilson)</t>
  </si>
  <si>
    <t>941000028852735</t>
  </si>
  <si>
    <t>Gabber [Barn Cat]</t>
  </si>
  <si>
    <t>A0055525300</t>
  </si>
  <si>
    <t>Mixed Breed, Large (over 44 lbs fully grown)</t>
  </si>
  <si>
    <t>Pre-adopted</t>
  </si>
  <si>
    <t>5</t>
  </si>
  <si>
    <t>Holding Kennel</t>
  </si>
  <si>
    <t>982091074516862</t>
  </si>
  <si>
    <t>Pending Surgery</t>
  </si>
  <si>
    <t>8</t>
  </si>
  <si>
    <t>Medical Cat Cages</t>
  </si>
  <si>
    <t>941000029786880</t>
  </si>
  <si>
    <t>Faye</t>
  </si>
  <si>
    <t>Medical Treatment</t>
  </si>
  <si>
    <t>A0056059524</t>
  </si>
  <si>
    <t>Pop up cage - no #</t>
  </si>
  <si>
    <t>New building 1</t>
  </si>
  <si>
    <t>941000031683466</t>
  </si>
  <si>
    <t>Orange</t>
  </si>
  <si>
    <t>A0056472536</t>
  </si>
  <si>
    <t>941000029787399</t>
  </si>
  <si>
    <t>Chucky (J. Maher)</t>
  </si>
  <si>
    <t>HWTrx</t>
  </si>
  <si>
    <t>13</t>
  </si>
  <si>
    <t>Terrier</t>
  </si>
  <si>
    <t>HW+</t>
  </si>
  <si>
    <t>19</t>
  </si>
  <si>
    <t>941000031749603</t>
  </si>
  <si>
    <t>HWTX</t>
  </si>
  <si>
    <t>982091074517107</t>
  </si>
  <si>
    <t>Lloyd (S. Miller)</t>
  </si>
  <si>
    <t>982091074519645</t>
  </si>
  <si>
    <t>Kathy (A. Flynt)</t>
  </si>
  <si>
    <t>A0057637575</t>
  </si>
  <si>
    <t>HW +</t>
  </si>
  <si>
    <t>1</t>
  </si>
  <si>
    <t>982091074435993</t>
  </si>
  <si>
    <t>11</t>
  </si>
  <si>
    <t>941000030951283</t>
  </si>
  <si>
    <t>3</t>
  </si>
  <si>
    <t>982091074347787</t>
  </si>
  <si>
    <t>941000031749716</t>
  </si>
  <si>
    <t>Zorua (C. Lester)</t>
  </si>
  <si>
    <t>Mixed Breed, Medium (up to 44 lbs fully grown)</t>
  </si>
  <si>
    <t>4</t>
  </si>
  <si>
    <t>Medical Kennel</t>
  </si>
  <si>
    <t>Bite Quarantine</t>
  </si>
  <si>
    <t>941000030971791</t>
  </si>
  <si>
    <t>941000030951287</t>
  </si>
  <si>
    <t>Hound</t>
  </si>
  <si>
    <t>941000030972568</t>
  </si>
  <si>
    <t>Tan</t>
  </si>
  <si>
    <t>Odin (C. Bucknam)</t>
  </si>
  <si>
    <t>12</t>
  </si>
  <si>
    <t>HWtxr</t>
  </si>
  <si>
    <t>941000031684008</t>
  </si>
  <si>
    <t>941000030951091</t>
  </si>
  <si>
    <t>Kat (L. Hautmaki)</t>
  </si>
  <si>
    <t>941000030976414</t>
  </si>
  <si>
    <t>Kevin (L. Hautmaki)</t>
  </si>
  <si>
    <t>941000030971951</t>
  </si>
  <si>
    <t>Leah [Barn Cat]</t>
  </si>
  <si>
    <t>Domestic Medium Hair</t>
  </si>
  <si>
    <t>A0058345817</t>
  </si>
  <si>
    <t>941000030951402</t>
  </si>
  <si>
    <t>Grasshopper (E. Beam)</t>
  </si>
  <si>
    <t>A0058353818</t>
  </si>
  <si>
    <t>Edith [Barn Cat]</t>
  </si>
  <si>
    <t>A0058368673</t>
  </si>
  <si>
    <t>A0058415737</t>
  </si>
  <si>
    <t>A0058420918</t>
  </si>
  <si>
    <t>Cat Adoption</t>
  </si>
  <si>
    <t>Run 4</t>
  </si>
  <si>
    <t>Bee [Barn Cat]</t>
  </si>
  <si>
    <t>A0058422062</t>
  </si>
  <si>
    <t>Bank 4 Cage 2</t>
  </si>
  <si>
    <t>941000031683613</t>
  </si>
  <si>
    <t>941000031683713</t>
  </si>
  <si>
    <t>941000031684380</t>
  </si>
  <si>
    <t>Stable 6</t>
  </si>
  <si>
    <t>Stable area</t>
  </si>
  <si>
    <t>River pig-M</t>
  </si>
  <si>
    <t>Domestic Pig</t>
  </si>
  <si>
    <t>Pig</t>
  </si>
  <si>
    <t>Protective Custody</t>
  </si>
  <si>
    <t>A0058442099</t>
  </si>
  <si>
    <t>A0058442105</t>
  </si>
  <si>
    <t>A0058442112</t>
  </si>
  <si>
    <t>A0058442115</t>
  </si>
  <si>
    <t>A0058442118</t>
  </si>
  <si>
    <t>A0058442122</t>
  </si>
  <si>
    <t>River pig-D</t>
  </si>
  <si>
    <t>A0058442130</t>
  </si>
  <si>
    <t>River pig-B</t>
  </si>
  <si>
    <t>A0058442142</t>
  </si>
  <si>
    <t>A0058442143</t>
  </si>
  <si>
    <t>A0058478761</t>
  </si>
  <si>
    <t>941000030976620</t>
  </si>
  <si>
    <t>(Y Peterson)</t>
  </si>
  <si>
    <t>Pending Surgery Foster to Adopt</t>
  </si>
  <si>
    <t>A0058490000</t>
  </si>
  <si>
    <t>941000031749599</t>
  </si>
  <si>
    <t>Mini</t>
  </si>
  <si>
    <t>A0058532674</t>
  </si>
  <si>
    <t>Bank 2 Cage 2</t>
  </si>
  <si>
    <t>Bowie</t>
  </si>
  <si>
    <t>A0058532682</t>
  </si>
  <si>
    <t>Abbott (A. Flynt)</t>
  </si>
  <si>
    <t>A0058532782</t>
  </si>
  <si>
    <t>941000031749670</t>
  </si>
  <si>
    <t>Rain</t>
  </si>
  <si>
    <t>A0058532837</t>
  </si>
  <si>
    <t>941000030972352</t>
  </si>
  <si>
    <t>941000031749636</t>
  </si>
  <si>
    <t>Cat Intake</t>
  </si>
  <si>
    <t>Sweets</t>
  </si>
  <si>
    <t>A0058590008</t>
  </si>
  <si>
    <t>941000031749682</t>
  </si>
  <si>
    <t>Judd (K. Michaux)</t>
  </si>
  <si>
    <t>Cookie (A. Gardner)</t>
  </si>
  <si>
    <t>Bulldog, French</t>
  </si>
  <si>
    <t>A0058640092</t>
  </si>
  <si>
    <t>Bank 2 Cage 6</t>
  </si>
  <si>
    <t>Zuko [Barn Cat]</t>
  </si>
  <si>
    <t>A0058640822</t>
  </si>
  <si>
    <t>941000028840619</t>
  </si>
  <si>
    <t>Bessie</t>
  </si>
  <si>
    <t>A0058657655</t>
  </si>
  <si>
    <t>Smudge (Q Morris)</t>
  </si>
  <si>
    <t>A0058657785</t>
  </si>
  <si>
    <t>Biscuit (Q Morris)</t>
  </si>
  <si>
    <t>A0058657796</t>
  </si>
  <si>
    <t>Pending Surgery PreAdopt</t>
  </si>
  <si>
    <t>Tia [Barn Cat]</t>
  </si>
  <si>
    <t>A0058669176</t>
  </si>
  <si>
    <t>941000031684313</t>
  </si>
  <si>
    <t>Tilly (A. Watson)</t>
  </si>
  <si>
    <t>A0058670555</t>
  </si>
  <si>
    <t>20</t>
  </si>
  <si>
    <t>A0058673677</t>
  </si>
  <si>
    <t>941000031683512</t>
  </si>
  <si>
    <t>Trinity</t>
  </si>
  <si>
    <t>A0058679788</t>
  </si>
  <si>
    <t>HWT</t>
  </si>
  <si>
    <t>2</t>
  </si>
  <si>
    <t>941000031683707</t>
  </si>
  <si>
    <t>Shepherd</t>
  </si>
  <si>
    <t>German Shepherd</t>
  </si>
  <si>
    <t>941000031683783</t>
  </si>
  <si>
    <t>Cole (K. Vogel)</t>
  </si>
  <si>
    <t>14</t>
  </si>
  <si>
    <t>941000030951410</t>
  </si>
  <si>
    <t>Terrier, American Staffordshire</t>
  </si>
  <si>
    <t>New building 2</t>
  </si>
  <si>
    <t>Pistol</t>
  </si>
  <si>
    <t>A0058726011</t>
  </si>
  <si>
    <t>941000030975999</t>
  </si>
  <si>
    <t>HW Trx</t>
  </si>
  <si>
    <t>941000031750068</t>
  </si>
  <si>
    <t>Teen Pens</t>
  </si>
  <si>
    <t>941000031683941</t>
  </si>
  <si>
    <t>941000031749827</t>
  </si>
  <si>
    <t>Bank 1 Cage 6</t>
  </si>
  <si>
    <t>Mixed Breed, Small (under 24 lbs fully grown)</t>
  </si>
  <si>
    <t>Hw+</t>
  </si>
  <si>
    <t>941000030975929</t>
  </si>
  <si>
    <t>Khonsu (D. House)</t>
  </si>
  <si>
    <t>A0058812660</t>
  </si>
  <si>
    <t>941000031683595</t>
  </si>
  <si>
    <t>Brownie (K. Maurer)</t>
  </si>
  <si>
    <t>Gronk</t>
  </si>
  <si>
    <t>A0058823615</t>
  </si>
  <si>
    <t>18</t>
  </si>
  <si>
    <t>Bubby</t>
  </si>
  <si>
    <t>A0058855958</t>
  </si>
  <si>
    <t>941000030972197</t>
  </si>
  <si>
    <t>Red</t>
  </si>
  <si>
    <t>Luca (J. Bowers)</t>
  </si>
  <si>
    <t>American Red Heeler</t>
  </si>
  <si>
    <t>941000031683715</t>
  </si>
  <si>
    <t>Gretchen</t>
  </si>
  <si>
    <t>Victor [Barn Cat]</t>
  </si>
  <si>
    <t>A0058874559</t>
  </si>
  <si>
    <t>941000031683518</t>
  </si>
  <si>
    <t>Journey (S. Nutter)</t>
  </si>
  <si>
    <t>FoCCAS House</t>
  </si>
  <si>
    <t>[Barn Cat]</t>
  </si>
  <si>
    <t>A0058882239</t>
  </si>
  <si>
    <t>941000031683973</t>
  </si>
  <si>
    <t>Yukiko (L. Clark)</t>
  </si>
  <si>
    <t>15</t>
  </si>
  <si>
    <t>982091074519787</t>
  </si>
  <si>
    <t>Bronze</t>
  </si>
  <si>
    <t>HW-4</t>
  </si>
  <si>
    <t>Pen 1</t>
  </si>
  <si>
    <t>Pit Pens</t>
  </si>
  <si>
    <t>Pending Medical Assessment</t>
  </si>
  <si>
    <t>Larry [Barn Cat]</t>
  </si>
  <si>
    <t>A0058966537</t>
  </si>
  <si>
    <t>Spoc (A. Flynt)</t>
  </si>
  <si>
    <t>A0058974302</t>
  </si>
  <si>
    <t>Kirk (A. Flynt)</t>
  </si>
  <si>
    <t>A0058974308</t>
  </si>
  <si>
    <t>941000031683620</t>
  </si>
  <si>
    <t>A0058991001</t>
  </si>
  <si>
    <t>6</t>
  </si>
  <si>
    <t>Bandit</t>
  </si>
  <si>
    <t>A0059018179</t>
  </si>
  <si>
    <t>Cypress (Q Morris)</t>
  </si>
  <si>
    <t>A0059020393</t>
  </si>
  <si>
    <t>Magnolia (Q Morris)</t>
  </si>
  <si>
    <t>A0059020403</t>
  </si>
  <si>
    <t>16</t>
  </si>
  <si>
    <t>941000031684331</t>
  </si>
  <si>
    <t>Cage 2</t>
  </si>
  <si>
    <t>A0059026177</t>
  </si>
  <si>
    <t>941000031684004</t>
  </si>
  <si>
    <t>Lotus ( E Campbell)</t>
  </si>
  <si>
    <t>985113008707018</t>
  </si>
  <si>
    <t>Dingo (A. Cox)</t>
  </si>
  <si>
    <t>941000031683746</t>
  </si>
  <si>
    <t>Rocky (A. Flynt)</t>
  </si>
  <si>
    <t>A0059041716</t>
  </si>
  <si>
    <t>941000031735652</t>
  </si>
  <si>
    <t>Hellga (N. Skala)</t>
  </si>
  <si>
    <t>A0059048748</t>
  </si>
  <si>
    <t>Reno</t>
  </si>
  <si>
    <t>A0059055106</t>
  </si>
  <si>
    <t>Una</t>
  </si>
  <si>
    <t>A0059055142</t>
  </si>
  <si>
    <t>HW+4</t>
  </si>
  <si>
    <t>Lola</t>
  </si>
  <si>
    <t>A0059055262</t>
  </si>
  <si>
    <t>Lovey</t>
  </si>
  <si>
    <t>A0059055318</t>
  </si>
  <si>
    <t>June</t>
  </si>
  <si>
    <t>A0059055443</t>
  </si>
  <si>
    <t>941000031684376</t>
  </si>
  <si>
    <t>Run 2</t>
  </si>
  <si>
    <t>Mary Jane [Barn Cat]</t>
  </si>
  <si>
    <t>A0059066282</t>
  </si>
  <si>
    <t>17</t>
  </si>
  <si>
    <t>985141007345971</t>
  </si>
  <si>
    <t>Leo</t>
  </si>
  <si>
    <t>A0059085846</t>
  </si>
  <si>
    <t>Pending Surgery NeoNate</t>
  </si>
  <si>
    <t>A0059189718</t>
  </si>
  <si>
    <t>Trixie (B. Harmon)</t>
  </si>
  <si>
    <t>A0059190623</t>
  </si>
  <si>
    <t>HW+3</t>
  </si>
  <si>
    <t>941000031684296</t>
  </si>
  <si>
    <t>Medical Lobby Cages</t>
  </si>
  <si>
    <t>941000031683509</t>
  </si>
  <si>
    <t>Oreo (W. Aquino)</t>
  </si>
  <si>
    <t>A0059214054</t>
  </si>
  <si>
    <t>941000031684325</t>
  </si>
  <si>
    <t>Yellow</t>
  </si>
  <si>
    <t>A0059220015</t>
  </si>
  <si>
    <t>Golden</t>
  </si>
  <si>
    <t>Captain Crunch (M. Fichera)</t>
  </si>
  <si>
    <t>Retriever, Golden</t>
  </si>
  <si>
    <t>P1-1</t>
  </si>
  <si>
    <t>Stable 1</t>
  </si>
  <si>
    <t>5 day Stray hold</t>
  </si>
  <si>
    <t>A0059255963</t>
  </si>
  <si>
    <t>P1-2</t>
  </si>
  <si>
    <t>A0059255976</t>
  </si>
  <si>
    <t>P1-3</t>
  </si>
  <si>
    <t>p1-3</t>
  </si>
  <si>
    <t>A0059255979</t>
  </si>
  <si>
    <t>P1-5</t>
  </si>
  <si>
    <t>A0059255980</t>
  </si>
  <si>
    <t>P1-4</t>
  </si>
  <si>
    <t>A0059255987</t>
  </si>
  <si>
    <t>Stable 2</t>
  </si>
  <si>
    <t>Hw-</t>
  </si>
  <si>
    <t>Shells (P Frank)</t>
  </si>
  <si>
    <t>941000031683861</t>
  </si>
  <si>
    <t>Shadow (L. Notaro)</t>
  </si>
  <si>
    <t>A0059259601</t>
  </si>
  <si>
    <t>Madre (K. Czupek)</t>
  </si>
  <si>
    <t>Lainey</t>
  </si>
  <si>
    <t>A0059288140</t>
  </si>
  <si>
    <t>Shadow (J. Plunkett)</t>
  </si>
  <si>
    <t>A0059294662</t>
  </si>
  <si>
    <t>Johnny [Barn Cat]</t>
  </si>
  <si>
    <t>On Hold</t>
  </si>
  <si>
    <t>A0059297671</t>
  </si>
  <si>
    <t>Gunner</t>
  </si>
  <si>
    <t>A0059304713</t>
  </si>
  <si>
    <t>A0059317055</t>
  </si>
  <si>
    <t>A0059317070</t>
  </si>
  <si>
    <t>Upper Condo</t>
  </si>
  <si>
    <t>941000031735637</t>
  </si>
  <si>
    <t>Ryn (C Stanfield)</t>
  </si>
  <si>
    <t>A0059317645</t>
  </si>
  <si>
    <t>Clove</t>
  </si>
  <si>
    <t>A0059318212</t>
  </si>
  <si>
    <t>A0059318502</t>
  </si>
  <si>
    <t>Toast (J. Neal)</t>
  </si>
  <si>
    <t>A0059319379</t>
  </si>
  <si>
    <t>Jam (J. Neal)</t>
  </si>
  <si>
    <t>A0059319390</t>
  </si>
  <si>
    <t>A0059324403</t>
  </si>
  <si>
    <t>A0059324409</t>
  </si>
  <si>
    <t>Moana</t>
  </si>
  <si>
    <t>A0059340484</t>
  </si>
  <si>
    <t>A0059341245</t>
  </si>
  <si>
    <t>Griswold (S. Gilroy)</t>
  </si>
  <si>
    <t>A0059341621</t>
  </si>
  <si>
    <t>A0059348394</t>
  </si>
  <si>
    <t>A0059348409</t>
  </si>
  <si>
    <t>Java</t>
  </si>
  <si>
    <t>A0059354378</t>
  </si>
  <si>
    <t>A0059358291</t>
  </si>
  <si>
    <t>A0059358304</t>
  </si>
  <si>
    <t>A0059362072</t>
  </si>
  <si>
    <t>A0059363288</t>
  </si>
  <si>
    <t>A0059363522</t>
  </si>
  <si>
    <t>Casey</t>
  </si>
  <si>
    <t>A0059364421</t>
  </si>
  <si>
    <t>Tatum</t>
  </si>
  <si>
    <t>A0059364446</t>
  </si>
  <si>
    <t>A0059364482</t>
  </si>
  <si>
    <t>Billy</t>
  </si>
  <si>
    <t>A0059364485</t>
  </si>
  <si>
    <t>Dewey</t>
  </si>
  <si>
    <t>A0059364488</t>
  </si>
  <si>
    <t>A0059366976</t>
  </si>
  <si>
    <t>A0059366978</t>
  </si>
  <si>
    <t>A0059366979</t>
  </si>
  <si>
    <t>A0059366988</t>
  </si>
  <si>
    <t>A0059366991</t>
  </si>
  <si>
    <t>Boo (H. Pearce)</t>
  </si>
  <si>
    <t>A0059371437</t>
  </si>
  <si>
    <t>941000031735778</t>
  </si>
  <si>
    <t>Prince (A Peterson)</t>
  </si>
  <si>
    <t>A0059387936</t>
  </si>
  <si>
    <t>Pen 3</t>
  </si>
  <si>
    <t>A0059391437</t>
  </si>
  <si>
    <t>Harry</t>
  </si>
  <si>
    <t>A0059395399</t>
  </si>
  <si>
    <t>Isa (C Black)</t>
  </si>
  <si>
    <t>A0059398093</t>
  </si>
  <si>
    <t>A0059398109</t>
  </si>
  <si>
    <t>Run 3</t>
  </si>
  <si>
    <t>Pawtio</t>
  </si>
  <si>
    <t>Rocky</t>
  </si>
  <si>
    <t>A0059406803</t>
  </si>
  <si>
    <t>Bruno</t>
  </si>
  <si>
    <t>A0059407357</t>
  </si>
  <si>
    <t>941000031784874</t>
  </si>
  <si>
    <t>A0059409313</t>
  </si>
  <si>
    <t>A0059409833</t>
  </si>
  <si>
    <t>Lorelai</t>
  </si>
  <si>
    <t>A0059419683</t>
  </si>
  <si>
    <t>Gomez</t>
  </si>
  <si>
    <t>A0059431975</t>
  </si>
  <si>
    <t>A0059438447</t>
  </si>
  <si>
    <t>A0059438453</t>
  </si>
  <si>
    <t>Bedon (H. Pearce)</t>
  </si>
  <si>
    <t>A0059438661</t>
  </si>
  <si>
    <t>Deeno</t>
  </si>
  <si>
    <t>A0059445995</t>
  </si>
  <si>
    <t>Pumba</t>
  </si>
  <si>
    <t>A0059456833</t>
  </si>
  <si>
    <t>10 day stray hold</t>
  </si>
  <si>
    <t>A0059458893</t>
  </si>
  <si>
    <t>Fern</t>
  </si>
  <si>
    <t>A0059459081</t>
  </si>
  <si>
    <t>Everest</t>
  </si>
  <si>
    <t>Alaskan Malamute</t>
  </si>
  <si>
    <t>A0059462158</t>
  </si>
  <si>
    <t>Marla (M. Girardeau)</t>
  </si>
  <si>
    <t>A0059465919</t>
  </si>
  <si>
    <t>A0059530164</t>
  </si>
  <si>
    <t>Pen 2</t>
  </si>
  <si>
    <t>A0059530178</t>
  </si>
  <si>
    <t>Rufus</t>
  </si>
  <si>
    <t>A0059531197</t>
  </si>
  <si>
    <t>Earl</t>
  </si>
  <si>
    <t>A0059531269</t>
  </si>
  <si>
    <t>Randy</t>
  </si>
  <si>
    <t>A0059533783</t>
  </si>
  <si>
    <t>A0059533784</t>
  </si>
  <si>
    <t>Joy</t>
  </si>
  <si>
    <t>A0059533786</t>
  </si>
  <si>
    <t>A0059533915</t>
  </si>
  <si>
    <t>Reference ID</t>
  </si>
  <si>
    <t>Sublocation</t>
  </si>
  <si>
    <t>Location</t>
  </si>
  <si>
    <t>Microchip</t>
  </si>
  <si>
    <t>Primary Color</t>
  </si>
  <si>
    <t>Spay/Neuter</t>
  </si>
  <si>
    <t>Primary Breed</t>
  </si>
  <si>
    <t>Stage</t>
  </si>
  <si>
    <t>Animal ID</t>
  </si>
  <si>
    <t>34.80 pound</t>
  </si>
  <si>
    <t>N</t>
  </si>
  <si>
    <t>Mix</t>
  </si>
  <si>
    <t>F</t>
  </si>
  <si>
    <t>Stray/ACO Pickup / Drop Off</t>
  </si>
  <si>
    <t>Tan/White</t>
  </si>
  <si>
    <t xml:space="preserve">  Teen Pens</t>
  </si>
  <si>
    <t>M</t>
  </si>
  <si>
    <t>64.00 pound</t>
  </si>
  <si>
    <t>Y</t>
  </si>
  <si>
    <t>Seized/Court Order</t>
  </si>
  <si>
    <t>Grey/</t>
  </si>
  <si>
    <t>71.00 pound</t>
  </si>
  <si>
    <t>Seized/Cruelty</t>
  </si>
  <si>
    <t>Black/</t>
  </si>
  <si>
    <t>66.00 pound</t>
  </si>
  <si>
    <t>Tan/Black</t>
  </si>
  <si>
    <t>84.40 pound</t>
  </si>
  <si>
    <t>Spotted/</t>
  </si>
  <si>
    <t>Transfer In/Coalition Partner</t>
  </si>
  <si>
    <t>Black/White</t>
  </si>
  <si>
    <t>58.00 pound</t>
  </si>
  <si>
    <t>48.00 pound</t>
  </si>
  <si>
    <t>Grey/Tan</t>
  </si>
  <si>
    <t>Black/Brown</t>
  </si>
  <si>
    <t xml:space="preserve">  Pit Pens</t>
  </si>
  <si>
    <t>30.00 pound</t>
  </si>
  <si>
    <t>Brown/</t>
  </si>
  <si>
    <t>U</t>
  </si>
  <si>
    <t>Seized/Inadequate Housing</t>
  </si>
  <si>
    <t>N/A</t>
  </si>
  <si>
    <t>75.00 pound</t>
  </si>
  <si>
    <t>60.00 pound</t>
  </si>
  <si>
    <t>40.00 pound</t>
  </si>
  <si>
    <t>Brown/White</t>
  </si>
  <si>
    <t xml:space="preserve">  Pawtio</t>
  </si>
  <si>
    <t>44.00 pound</t>
  </si>
  <si>
    <t>Black/Tan</t>
  </si>
  <si>
    <t>33.00 pound</t>
  </si>
  <si>
    <t>Stray/Public Drop Off</t>
  </si>
  <si>
    <t>White/Black</t>
  </si>
  <si>
    <t xml:space="preserve">  Medical Lobby Cages</t>
  </si>
  <si>
    <t>32.00 pound</t>
  </si>
  <si>
    <t>45.90 pound</t>
  </si>
  <si>
    <t>44.10 pound</t>
  </si>
  <si>
    <t>55.00 pound</t>
  </si>
  <si>
    <t>46.50 pound</t>
  </si>
  <si>
    <t xml:space="preserve">  Medical Kennel</t>
  </si>
  <si>
    <t>25.00 pound</t>
  </si>
  <si>
    <t>Brindle/</t>
  </si>
  <si>
    <t>46.00 pound</t>
  </si>
  <si>
    <t>24.60 pound</t>
  </si>
  <si>
    <t>White/</t>
  </si>
  <si>
    <t>43.00 pound</t>
  </si>
  <si>
    <t>Owner/Guardian Surrender/Surrendered for Adoption</t>
  </si>
  <si>
    <t>Bicolor/Bicolor</t>
  </si>
  <si>
    <t>Stray/Abandoned</t>
  </si>
  <si>
    <t>45.00 pound</t>
  </si>
  <si>
    <t>16.00 pound</t>
  </si>
  <si>
    <t>17.00 pound</t>
  </si>
  <si>
    <t>49.00 pound</t>
  </si>
  <si>
    <t>69.00 pound</t>
  </si>
  <si>
    <t>53.00 pound</t>
  </si>
  <si>
    <t xml:space="preserve">  Holding Kennel</t>
  </si>
  <si>
    <t>57.00 pound</t>
  </si>
  <si>
    <t>White/Brown</t>
  </si>
  <si>
    <t>47.00 pound</t>
  </si>
  <si>
    <t>Bicolor/</t>
  </si>
  <si>
    <t>Blue/White</t>
  </si>
  <si>
    <t>Yellow/White</t>
  </si>
  <si>
    <t>37.00 pound</t>
  </si>
  <si>
    <t>56.00 pound</t>
  </si>
  <si>
    <t>88.00 pound</t>
  </si>
  <si>
    <t>Return/Returned Adoption</t>
  </si>
  <si>
    <t>44.80 pound</t>
  </si>
  <si>
    <t>Black/Brown/White</t>
  </si>
  <si>
    <t>48.20 pound</t>
  </si>
  <si>
    <t>52.00 pound</t>
  </si>
  <si>
    <t>Bronze/White</t>
  </si>
  <si>
    <t>81.00 pound</t>
  </si>
  <si>
    <t>Stray/Police Pickup / Drop Off</t>
  </si>
  <si>
    <t>Brown/Black</t>
  </si>
  <si>
    <t>62.00 pound</t>
  </si>
  <si>
    <t>44.20 pound</t>
  </si>
  <si>
    <t xml:space="preserve">  Foster home</t>
  </si>
  <si>
    <t>15.00 pound</t>
  </si>
  <si>
    <t>Tricolor/</t>
  </si>
  <si>
    <t>26.80 pound</t>
  </si>
  <si>
    <t>20.00 pound</t>
  </si>
  <si>
    <t>34.40 pound</t>
  </si>
  <si>
    <t>Black/Brindle</t>
  </si>
  <si>
    <t>22.80 pound</t>
  </si>
  <si>
    <t>53.30 pound</t>
  </si>
  <si>
    <t>7.00 pound</t>
  </si>
  <si>
    <t>Golden/</t>
  </si>
  <si>
    <t>46.40 pound</t>
  </si>
  <si>
    <t>75.60 pound</t>
  </si>
  <si>
    <t>Red/White</t>
  </si>
  <si>
    <t>23.00 pound</t>
  </si>
  <si>
    <t>39.10 pound</t>
  </si>
  <si>
    <t>White/Tan</t>
  </si>
  <si>
    <t>60.50 pound</t>
  </si>
  <si>
    <t>Rust/</t>
  </si>
  <si>
    <t>100.00 pound</t>
  </si>
  <si>
    <t xml:space="preserve">  Equipment Storage Area</t>
  </si>
  <si>
    <t>59.00 pound</t>
  </si>
  <si>
    <t>86.00 pound</t>
  </si>
  <si>
    <t>Returned foster</t>
  </si>
  <si>
    <t xml:space="preserve">  Adoption Kennels</t>
  </si>
  <si>
    <t>53.40 pound</t>
  </si>
  <si>
    <t>Owner/Guardian Surrender/Euthanasia Request</t>
  </si>
  <si>
    <t>61.00 pound</t>
  </si>
  <si>
    <t>28.00 pound</t>
  </si>
  <si>
    <t>51.00 pound</t>
  </si>
  <si>
    <t>50.00 pound</t>
  </si>
  <si>
    <t>84.00 pound</t>
  </si>
  <si>
    <t>78.00 pound</t>
  </si>
  <si>
    <t>Total_Animals</t>
  </si>
  <si>
    <t>HoldPlacedBy</t>
  </si>
  <si>
    <t>HoldStartDate</t>
  </si>
  <si>
    <t>HorForName</t>
  </si>
  <si>
    <t>HoldReason</t>
  </si>
  <si>
    <t>Videos</t>
  </si>
  <si>
    <t>NumberOfPictures</t>
  </si>
  <si>
    <t>DangerType</t>
  </si>
  <si>
    <t>Danger</t>
  </si>
  <si>
    <t>AnimalWeight</t>
  </si>
  <si>
    <t>SubLocation</t>
  </si>
  <si>
    <t>StageChangeReason</t>
  </si>
  <si>
    <t>LOSInDays</t>
  </si>
  <si>
    <t>IntakeDateTime</t>
  </si>
  <si>
    <t>SpayedNeutered</t>
  </si>
  <si>
    <t>EmancipationDate</t>
  </si>
  <si>
    <t>ColorPattern</t>
  </si>
  <si>
    <t>DateOfBirth</t>
  </si>
  <si>
    <t>SecondaryBreed</t>
  </si>
  <si>
    <t>ChipNumber</t>
  </si>
  <si>
    <t>ARN</t>
  </si>
  <si>
    <t>IntakeType</t>
  </si>
  <si>
    <t>PreAltered</t>
  </si>
  <si>
    <t>PrimaryBreed</t>
  </si>
  <si>
    <t>AnimalType</t>
  </si>
  <si>
    <t>AnimalName</t>
  </si>
  <si>
    <t>AnimalNumber</t>
  </si>
  <si>
    <t>Distinct_Animals</t>
  </si>
  <si>
    <t>AVG_LOS</t>
  </si>
  <si>
    <t>Location_1</t>
  </si>
  <si>
    <t>All</t>
  </si>
  <si>
    <t>SubLocation - Alphabetical</t>
  </si>
  <si>
    <t>Video</t>
  </si>
  <si>
    <t>Show_Photo</t>
  </si>
  <si>
    <t>Pre_Altered</t>
  </si>
  <si>
    <t>Review_Date_To</t>
  </si>
  <si>
    <t>Intake_Date_To</t>
  </si>
  <si>
    <t>Review_Date_From</t>
  </si>
  <si>
    <t>Intake_Date_From</t>
  </si>
  <si>
    <t>Sort_By</t>
  </si>
  <si>
    <t>Location_</t>
  </si>
  <si>
    <t>Stage_</t>
  </si>
  <si>
    <t>SpayNeutered</t>
  </si>
  <si>
    <t>Species_</t>
  </si>
  <si>
    <t>Breed</t>
  </si>
  <si>
    <t>Emancipation_Date_End</t>
  </si>
  <si>
    <t>Site</t>
  </si>
  <si>
    <t>Emancipation_Date_Start</t>
  </si>
  <si>
    <t>Print_Date</t>
  </si>
  <si>
    <t>Name - AdoptAPet</t>
  </si>
  <si>
    <t>Name-PetPoint</t>
  </si>
  <si>
    <t>Name-Inventory</t>
  </si>
  <si>
    <t>Pre-Treatment Description</t>
  </si>
  <si>
    <t>Intake Type</t>
  </si>
  <si>
    <t>Data Check</t>
  </si>
  <si>
    <t>Treatment/Control</t>
  </si>
  <si>
    <t>Data Change Note</t>
  </si>
  <si>
    <t>Pre-Experiment LOS</t>
  </si>
  <si>
    <t>Outcome</t>
  </si>
  <si>
    <t>Treatment Description</t>
  </si>
  <si>
    <t>Colleton County Animal Shelter</t>
  </si>
  <si>
    <t>Dog Bio Experiment</t>
  </si>
  <si>
    <t>Total number of animals in Petpoint</t>
  </si>
  <si>
    <t>Animals in Adopt A Pet</t>
  </si>
  <si>
    <t>Animals Included in Experiment</t>
  </si>
  <si>
    <t>Note: Only Dogs w/out pre-teatment bios will be included</t>
  </si>
  <si>
    <t>Current Inventory of Shelter - Summary</t>
  </si>
  <si>
    <t>PetPoint - Dog Summary</t>
  </si>
  <si>
    <t>PetPoint</t>
  </si>
  <si>
    <t>Column1</t>
  </si>
  <si>
    <t>(All)</t>
  </si>
  <si>
    <t>Row Labels</t>
  </si>
  <si>
    <t>Grand Total</t>
  </si>
  <si>
    <t>Count of Animal ID</t>
  </si>
  <si>
    <t>Adopt A Pet - Dog Summary</t>
  </si>
  <si>
    <t>Adopt A Pet</t>
  </si>
  <si>
    <t>Count of Rescue_ID</t>
  </si>
  <si>
    <t>Dog Count</t>
  </si>
  <si>
    <t>(blank)</t>
  </si>
  <si>
    <t>Date Adopted</t>
  </si>
  <si>
    <t>Experiment - Dog Summary</t>
  </si>
  <si>
    <t>LOS Days</t>
  </si>
  <si>
    <t>Shells [Foster Home]</t>
  </si>
  <si>
    <t>Madre [Foster Home]</t>
  </si>
  <si>
    <t>Gracie Mae [Foster Home]</t>
  </si>
  <si>
    <t>Zane [Foster Home]</t>
  </si>
  <si>
    <t>check</t>
  </si>
  <si>
    <t>A0059555933</t>
  </si>
  <si>
    <t>A0059555922</t>
  </si>
  <si>
    <t>Admin Office</t>
  </si>
  <si>
    <t>A0059549368</t>
  </si>
  <si>
    <t>A0059548989</t>
  </si>
  <si>
    <t>Coonhound, Black and Tan</t>
  </si>
  <si>
    <t>985113010196005</t>
  </si>
  <si>
    <t>Hades</t>
  </si>
  <si>
    <t>Hershey</t>
  </si>
  <si>
    <t>*Difference between Total Dogs in Adopt A Pet and Total Dogs in Experiment is as follows: We start with total dogs in Adopt A Pet,  dogs are removed before the experiment if there is an adopted date included, dogs are removed if it was not identified in PetPoint, dogs are removed if they are "pre-adopt" or "rescue commit" before the experiment, and dogs are removed if they have bios in Adopt A Pet before the experiment begins</t>
  </si>
  <si>
    <t>35.00 pound</t>
  </si>
  <si>
    <t>Breed Group</t>
  </si>
  <si>
    <t>Group</t>
  </si>
  <si>
    <t>Stigma</t>
  </si>
  <si>
    <t>Non-Stigma</t>
  </si>
  <si>
    <t>Source:</t>
  </si>
  <si>
    <t>https://www.forbes.com/advisor/homeowners-insurance/banned-dog-breed-lists/</t>
  </si>
  <si>
    <t>1899-12-31</t>
  </si>
  <si>
    <t>Record Match</t>
  </si>
  <si>
    <t>NA</t>
  </si>
  <si>
    <t>treatment</t>
  </si>
  <si>
    <t>A0059622660</t>
  </si>
  <si>
    <t>A0059622576</t>
  </si>
  <si>
    <t>A0059620670</t>
  </si>
  <si>
    <t>0y 1m 0d</t>
  </si>
  <si>
    <t>A0059615841</t>
  </si>
  <si>
    <t>A0059615830</t>
  </si>
  <si>
    <t>A0059614471</t>
  </si>
  <si>
    <t>A0059614464</t>
  </si>
  <si>
    <t>A0059608793</t>
  </si>
  <si>
    <t>Maggie</t>
  </si>
  <si>
    <t>A0059607181</t>
  </si>
  <si>
    <t>2y 0m 3d</t>
  </si>
  <si>
    <t>A0059606920</t>
  </si>
  <si>
    <t>A0059598685</t>
  </si>
  <si>
    <t>Lei</t>
  </si>
  <si>
    <t>A0059598047</t>
  </si>
  <si>
    <t>A0059592906</t>
  </si>
  <si>
    <t>A0059588552</t>
  </si>
  <si>
    <t>Nemo</t>
  </si>
  <si>
    <t>A0059588551</t>
  </si>
  <si>
    <t>Dory</t>
  </si>
  <si>
    <t>A0059581347</t>
  </si>
  <si>
    <t>Mara</t>
  </si>
  <si>
    <t>A0059578792</t>
  </si>
  <si>
    <t>A0059578750</t>
  </si>
  <si>
    <t>A0059578742</t>
  </si>
  <si>
    <t>A0059578738</t>
  </si>
  <si>
    <t>A0059578703</t>
  </si>
  <si>
    <t>Niki</t>
  </si>
  <si>
    <t>A0059578687</t>
  </si>
  <si>
    <t>Prada</t>
  </si>
  <si>
    <t>A0059578674</t>
  </si>
  <si>
    <t>A0059571918</t>
  </si>
  <si>
    <t>Chihuahua, Short Coat</t>
  </si>
  <si>
    <t>A0059565495</t>
  </si>
  <si>
    <t>Starla</t>
  </si>
  <si>
    <t>0y 3m 10d</t>
  </si>
  <si>
    <t>A0059565478</t>
  </si>
  <si>
    <t>Sparks</t>
  </si>
  <si>
    <t>A0059565456</t>
  </si>
  <si>
    <t>A0059565351</t>
  </si>
  <si>
    <t>Freckles</t>
  </si>
  <si>
    <t>A0059565303</t>
  </si>
  <si>
    <t>Tilly</t>
  </si>
  <si>
    <t>A0059565213</t>
  </si>
  <si>
    <t>Fufu</t>
  </si>
  <si>
    <t>A0059563722</t>
  </si>
  <si>
    <t>A0059563713</t>
  </si>
  <si>
    <t>A0059563711</t>
  </si>
  <si>
    <t>A0059563700</t>
  </si>
  <si>
    <t>Beagle</t>
  </si>
  <si>
    <t>A0059561541</t>
  </si>
  <si>
    <t>Mastiff</t>
  </si>
  <si>
    <t>Thor (C Fletcher)</t>
  </si>
  <si>
    <t>Lucy (J Wigger)</t>
  </si>
  <si>
    <t>Nana</t>
  </si>
  <si>
    <t>Zuko (M. Fichera)</t>
  </si>
  <si>
    <t>Willow</t>
  </si>
  <si>
    <t>Aspen</t>
  </si>
  <si>
    <t>A0059409842</t>
  </si>
  <si>
    <t>Sprite</t>
  </si>
  <si>
    <t>Cage 6</t>
  </si>
  <si>
    <t>Oscar</t>
  </si>
  <si>
    <t>Tommy [Barn Cat]</t>
  </si>
  <si>
    <t>Cage 1</t>
  </si>
  <si>
    <t>Bear</t>
  </si>
  <si>
    <t>Toes (C. Demers)</t>
  </si>
  <si>
    <t>Cali (C. Demers)</t>
  </si>
  <si>
    <t>Ranger (C. Seward)</t>
  </si>
  <si>
    <t>941000031684328</t>
  </si>
  <si>
    <t>Cap (C. Seward)</t>
  </si>
  <si>
    <t>941000031683643</t>
  </si>
  <si>
    <t>Shy</t>
  </si>
  <si>
    <t>Evie</t>
  </si>
  <si>
    <t>Morgan</t>
  </si>
  <si>
    <t>941000031683727</t>
  </si>
  <si>
    <t>Danny Meowvito (A. Flynt)</t>
  </si>
  <si>
    <t>Meowlle Pfeiffer  (A. Flynt)</t>
  </si>
  <si>
    <t>Mary (V. Rosenberger)</t>
  </si>
  <si>
    <t>Maya (S. Rafferty)</t>
  </si>
  <si>
    <t>941000031684407</t>
  </si>
  <si>
    <t>Pocahontas (M. Kniffen)</t>
  </si>
  <si>
    <t>941000031684377</t>
  </si>
  <si>
    <t>941000031735587</t>
  </si>
  <si>
    <t>941000031735724</t>
  </si>
  <si>
    <t>941000031683913</t>
  </si>
  <si>
    <t>Cage 5</t>
  </si>
  <si>
    <t>A0058764342</t>
  </si>
  <si>
    <t>Jessup (A. Raymond)</t>
  </si>
  <si>
    <t>Scoops</t>
  </si>
  <si>
    <t>Smudge</t>
  </si>
  <si>
    <t>Wilson</t>
  </si>
  <si>
    <t>0y 6m 20d</t>
  </si>
  <si>
    <t>Luke (M. Arnold)</t>
  </si>
  <si>
    <t>Zane (L. Creech)</t>
  </si>
  <si>
    <t>Tan/Brown/White</t>
  </si>
  <si>
    <t>52.50 pound</t>
  </si>
  <si>
    <t>43.30 pound</t>
  </si>
  <si>
    <t>34.00 pound</t>
  </si>
  <si>
    <t>41.30 pound</t>
  </si>
  <si>
    <t>11.00 pound</t>
  </si>
  <si>
    <t>113.00 pound</t>
  </si>
  <si>
    <t>38.60 pound</t>
  </si>
  <si>
    <t>Red/</t>
  </si>
  <si>
    <t>2y 4d</t>
  </si>
  <si>
    <t>White/Brindle</t>
  </si>
  <si>
    <t>14.00 pound</t>
  </si>
  <si>
    <t>13.00 pound</t>
  </si>
  <si>
    <t>Grey/Yellow</t>
  </si>
  <si>
    <t>75.80 pound</t>
  </si>
  <si>
    <t>38.00 pound</t>
  </si>
  <si>
    <t>39.00 pound</t>
  </si>
  <si>
    <t>White/Brown/Black</t>
  </si>
  <si>
    <t>Gus [Foster Home]</t>
  </si>
  <si>
    <t>Luke [Foster Home]</t>
  </si>
  <si>
    <t>Taz [Foster Home]</t>
  </si>
  <si>
    <t>Shy but curious. Shies away from touch, but not hissy or anything. Probably wouldn't thrive with young kids/a loud house. Loves toys and Churu! Can definitely entertain himself. Does well with other cats, especially Phillip (cage-mate), and is curious and reaching out to play with other cats while they're out. Would do best with a confident feline friend - took Phillip's lead and interacted with us more once he was. Going to be a big cat! Only 5-6 months old and is the size of the average teen/adult cat already.</t>
  </si>
  <si>
    <t>https://pet-uploads.adoptapet.com/d/e/2/1260187838.jpg</t>
  </si>
  <si>
    <t>https://pet-uploads.adoptapet.com/6/4/5/1260187844.jpg</t>
  </si>
  <si>
    <t>Curious - shy but braver than cage mate Dexter. Shies away from touch at first. Loves toys and Churu! Does well with other cats, especially Dexter (cage-mate), and is curious and reaching out to play with other cats while they're out. Going to be a big cat! Only 5-6 months old and is the size of the average teen/adult cat already. Wonderful thick fur - short haired but fluffy!</t>
  </si>
  <si>
    <t>https://pet-uploads.adoptapet.com/c/f/d/1260188045.jpg</t>
  </si>
  <si>
    <t>https://pet-uploads.adoptapet.com/8/b/1/1260188051.jpg</t>
  </si>
  <si>
    <t>Lotus [Foster Home]</t>
  </si>
  <si>
    <t>https://pet-uploads.adoptapet.com/e/2/4/1260195465.jpg</t>
  </si>
  <si>
    <t>https://pet-uploads.adoptapet.com/4/3/b/1260195789.jpg</t>
  </si>
  <si>
    <t>Pocahontas [Foster To Adopt]</t>
  </si>
  <si>
    <t>Mary [Foster Home]</t>
  </si>
  <si>
    <t>Maya [Foster To Adopt]</t>
  </si>
  <si>
    <t>Domestic Longhair</t>
  </si>
  <si>
    <t>long</t>
  </si>
  <si>
    <t>https://pet-uploads.adoptapet.com/e/a/c/1260188652.jpg</t>
  </si>
  <si>
    <t>https://pet-uploads.adoptapet.com/6/0/a/1260211327.jpg</t>
  </si>
  <si>
    <t>https://pet-uploads.adoptapet.com/3/4/c/1260193343.jpg</t>
  </si>
  <si>
    <t>https://pet-uploads.adoptapet.com/2/e/6/1260193373.jpg</t>
  </si>
  <si>
    <t>https://pet-uploads.adoptapet.com/b/a/7/1260193385.jpg</t>
  </si>
  <si>
    <t>https://pet-uploads.adoptapet.com/4/b/6/1260193391.jpg</t>
  </si>
  <si>
    <t>https://pet-uploads.adoptapet.com/5/5/c/1260195914.jpg</t>
  </si>
  <si>
    <t>Gray or Blue (Mostly)</t>
  </si>
  <si>
    <t>https://pet-uploads.adoptapet.com/c/d/b/1260195309.jpg</t>
  </si>
  <si>
    <t>https://pet-uploads.adoptapet.com/b/8/5/1260196088.jpg</t>
  </si>
  <si>
    <t>What an interesting little owl. Such huge eyes! He's a very distinguished gentleman and is less amused by silly tricks than the kittens are. I definitely need to spend more time with him! Came from a home with many animals, and doesn't seem annoyed by the other cats. He's curious about his surroundings and isn't shut down, but also wasn't overly eager to interact beyond sniffing me.</t>
  </si>
  <si>
    <t>https://pet-uploads.adoptapet.com/2/1/e/1260194810.jpg</t>
  </si>
  <si>
    <t>https://pet-uploads.adoptapet.com/f/e/e/1260194819.jpg</t>
  </si>
  <si>
    <t>https://pet-uploads.adoptapet.com/2/f/4/1260194835.jpg</t>
  </si>
  <si>
    <t>https://pet-uploads.adoptapet.com/1/9/6/1260194841.jpg</t>
  </si>
  <si>
    <t>https://pet-uploads.adoptapet.com/e/d/8/1260209478.jpg</t>
  </si>
  <si>
    <t>Tan or Fawn (Mostly)</t>
  </si>
  <si>
    <t>https://pet-uploads.adoptapet.com/f/b/6/1260193498.jpg</t>
  </si>
  <si>
    <t>https://pet-uploads.adoptapet.com/d/1/7/1260193507.jpg</t>
  </si>
  <si>
    <t>https://pet-uploads.adoptapet.com/e/5/a/1260193513.jpg</t>
  </si>
  <si>
    <t>https://pet-uploads.adoptapet.com/8/d/4/1260194394.jpg</t>
  </si>
  <si>
    <t>https://pet-uploads.adoptapet.com/c/6/8/1260194403.jpg</t>
  </si>
  <si>
    <t>https://pet-uploads.adoptapet.com/d/a/8/1260194409.jpg</t>
  </si>
  <si>
    <t>Tan or Fawn</t>
  </si>
  <si>
    <t>https://pet-uploads.adoptapet.com/4/c/c/1260210703.jpg</t>
  </si>
  <si>
    <t>ID</t>
  </si>
  <si>
    <t>Reason</t>
  </si>
  <si>
    <t>Adopted Pre Test</t>
  </si>
  <si>
    <t>Pre-test Description</t>
  </si>
  <si>
    <t>treatment_10_18_25</t>
  </si>
  <si>
    <t>2.4%</t>
  </si>
  <si>
    <t>1.2%</t>
  </si>
  <si>
    <t>24</t>
  </si>
  <si>
    <t>0.9%</t>
  </si>
  <si>
    <t>176</t>
  </si>
  <si>
    <t>52</t>
  </si>
  <si>
    <t>3.1%</t>
  </si>
  <si>
    <t>37</t>
  </si>
  <si>
    <t>193</t>
  </si>
  <si>
    <t>5.8%</t>
  </si>
  <si>
    <t>35</t>
  </si>
  <si>
    <t>384</t>
  </si>
  <si>
    <t>225</t>
  </si>
  <si>
    <t>2.7%</t>
  </si>
  <si>
    <t>31</t>
  </si>
  <si>
    <t>1.3%</t>
  </si>
  <si>
    <t>44</t>
  </si>
  <si>
    <t>313</t>
  </si>
  <si>
    <t>748</t>
  </si>
  <si>
    <t>478</t>
  </si>
  <si>
    <t>1.5%</t>
  </si>
  <si>
    <t>29</t>
  </si>
  <si>
    <t>5.1%</t>
  </si>
  <si>
    <t>0.4%</t>
  </si>
  <si>
    <t>173</t>
  </si>
  <si>
    <t>846</t>
  </si>
  <si>
    <t>495</t>
  </si>
  <si>
    <t>0.7%</t>
  </si>
  <si>
    <t>81</t>
  </si>
  <si>
    <t>30</t>
  </si>
  <si>
    <t>43</t>
  </si>
  <si>
    <t>4.8%</t>
  </si>
  <si>
    <t>23</t>
  </si>
  <si>
    <t>63</t>
  </si>
  <si>
    <t>1,218</t>
  </si>
  <si>
    <t>83</t>
  </si>
  <si>
    <t>28</t>
  </si>
  <si>
    <t>3.3%</t>
  </si>
  <si>
    <t>69</t>
  </si>
  <si>
    <t>417</t>
  </si>
  <si>
    <t>2.3%</t>
  </si>
  <si>
    <t>257</t>
  </si>
  <si>
    <t>180</t>
  </si>
  <si>
    <t>304</t>
  </si>
  <si>
    <t>96</t>
  </si>
  <si>
    <t>22</t>
  </si>
  <si>
    <t>400</t>
  </si>
  <si>
    <t>3.2%</t>
  </si>
  <si>
    <t>220</t>
  </si>
  <si>
    <t>64</t>
  </si>
  <si>
    <t>930</t>
  </si>
  <si>
    <t>0.6%</t>
  </si>
  <si>
    <t>3.5%</t>
  </si>
  <si>
    <t>154</t>
  </si>
  <si>
    <t>47</t>
  </si>
  <si>
    <t>76</t>
  </si>
  <si>
    <t>1,596</t>
  </si>
  <si>
    <t>39</t>
  </si>
  <si>
    <t>191</t>
  </si>
  <si>
    <t>26</t>
  </si>
  <si>
    <t>233</t>
  </si>
  <si>
    <t>3.9%</t>
  </si>
  <si>
    <t>336</t>
  </si>
  <si>
    <t>311</t>
  </si>
  <si>
    <t>5.3%</t>
  </si>
  <si>
    <t>71</t>
  </si>
  <si>
    <t>212</t>
  </si>
  <si>
    <t>2.2%</t>
  </si>
  <si>
    <t>54</t>
  </si>
  <si>
    <t>456</t>
  </si>
  <si>
    <t>90</t>
  </si>
  <si>
    <t>888</t>
  </si>
  <si>
    <t>4.0%</t>
  </si>
  <si>
    <t>593</t>
  </si>
  <si>
    <t>162</t>
  </si>
  <si>
    <t>60</t>
  </si>
  <si>
    <t>25</t>
  </si>
  <si>
    <t>21</t>
  </si>
  <si>
    <t>1,625</t>
  </si>
  <si>
    <t>6.6%</t>
  </si>
  <si>
    <t>347</t>
  </si>
  <si>
    <t>197</t>
  </si>
  <si>
    <t>397</t>
  </si>
  <si>
    <t>542</t>
  </si>
  <si>
    <t>483</t>
  </si>
  <si>
    <t xml:space="preserve">Jackie </t>
  </si>
  <si>
    <t xml:space="preserve">Gus </t>
  </si>
  <si>
    <t>305</t>
  </si>
  <si>
    <t>87</t>
  </si>
  <si>
    <t>99</t>
  </si>
  <si>
    <t>0.5%</t>
  </si>
  <si>
    <t>303</t>
  </si>
  <si>
    <t>394</t>
  </si>
  <si>
    <t>46</t>
  </si>
  <si>
    <t>32</t>
  </si>
  <si>
    <t>1.6%</t>
  </si>
  <si>
    <t>970</t>
  </si>
  <si>
    <t>33</t>
  </si>
  <si>
    <t>533</t>
  </si>
  <si>
    <t>274</t>
  </si>
  <si>
    <t>0.8%</t>
  </si>
  <si>
    <t>4.1%</t>
  </si>
  <si>
    <t>51</t>
  </si>
  <si>
    <t>5.6%</t>
  </si>
  <si>
    <t>269</t>
  </si>
  <si>
    <t>944</t>
  </si>
  <si>
    <t>500</t>
  </si>
  <si>
    <t>260</t>
  </si>
  <si>
    <t>167</t>
  </si>
  <si>
    <t>98</t>
  </si>
  <si>
    <t>77</t>
  </si>
  <si>
    <t>284</t>
  </si>
  <si>
    <t>843</t>
  </si>
  <si>
    <t>433</t>
  </si>
  <si>
    <t>261</t>
  </si>
  <si>
    <t>1.0%</t>
  </si>
  <si>
    <t>27</t>
  </si>
  <si>
    <t>67</t>
  </si>
  <si>
    <t>3.4%</t>
  </si>
  <si>
    <t>223</t>
  </si>
  <si>
    <t>270</t>
  </si>
  <si>
    <t>248</t>
  </si>
  <si>
    <t>72</t>
  </si>
  <si>
    <t>38</t>
  </si>
  <si>
    <t>5.4%</t>
  </si>
  <si>
    <t>48</t>
  </si>
  <si>
    <t>333</t>
  </si>
  <si>
    <t>Click_through_7Days</t>
  </si>
  <si>
    <t>Details_Opened_2008</t>
  </si>
  <si>
    <t>Details_Opened_30Days</t>
  </si>
  <si>
    <t>Details_Opened_7Days</t>
  </si>
  <si>
    <t>Seen_SearchResults_2008</t>
  </si>
  <si>
    <t>Seen_SearchResults_30Days</t>
  </si>
  <si>
    <t>Seen_SearchResults_7Days</t>
  </si>
  <si>
    <t>PreTreat- Seen_SearchResults_7Days</t>
  </si>
  <si>
    <t>PreTreat- Seen_SearchResults_30Days</t>
  </si>
  <si>
    <t>PreTreat- Seen_SearchResults_2008</t>
  </si>
  <si>
    <t>PreTreat- Details_Opened_7Days</t>
  </si>
  <si>
    <t>PreTreat- Details_Opened_30Days</t>
  </si>
  <si>
    <t>PreTreat- Details_Opened_2008</t>
  </si>
  <si>
    <t>PreTreat- Click_through_7Days</t>
  </si>
  <si>
    <t>Date Bio Added</t>
  </si>
  <si>
    <t>Who is looking for their next copper best friend? Look no further! Cameron is YOUR GUY. This sweet boy landed in doggie jail in March after being found as a stray with no owner reclaim. He is young, with some beautiful white teeth and THRIVES outside of his kennel space. He absolutely loves getting all the attention &amp; playing with every toy in the play yard. His tail wouldn‚Äôt stop wagging. The unfortunate part ‚Äî those moments are few &amp; far between. He needs stimulation &amp; enrichment time and the time he just doesn‚Äôt get in the shelter. Cameron went on a #PPPW and at first, was really pulling on the leash. We quickly found out, once he walks in front of the pack, he walks perfectly on leash. He rode well in the car to &amp; from and really enjoyed his time out of the shelter with his shelter best friends. Cameron hasn‚Äôt met a face he doesn‚Äôt love. Who‚Äôs ready to add this beautiful boy to their forever home? Adoption fee is $90.00 which includes a microchip, spay/neuter, heart worm test, rabies, vaccinations, and boosters.</t>
  </si>
  <si>
    <t>Meet Lloyd!    Lloyd is an affectionate dog who's ready to settle into his forever home. He‚Äôs house trained and crate trained, and his easygoing nature makes him a total joy to have around. Whether he‚Äôs curled up on the couch or out for a casual afternoon walk, Lloyd is just happy to be with his people.    Lloyd is a quick learner and already getting a grasp of basic commands, and he‚Äôs doing great with his leash training and is working on his off the leash recall. His gentle temperament makes him a good fit for an owner with kids other dogs and even cats.         With his loving personality and eagerness to please, Lloyd is on track to be a turnkey companion, ideal for a first-time dog owner or a family looking for a loving, low-maintenance addition.    If you're looking for a loyal, easygoing buddy who‚Äôs always down to snuggle or stroll, Lloyd‚Äôs your guy.</t>
  </si>
  <si>
    <t>Meet Myrtle! üêæ‚òÄÔ∏è  Myrtle is a total love bug who‚Äôs ready to steal your heart! She‚Äôs great in her crate and knows how to be calm and comfortable when it‚Äôs downtime.    Friendly with other dogs and loves kids, Myrtle enjoys spending time outside, soaking up the sunshine on walks or just relaxing in the fresh air. She‚Äôs indifferent to cats, so she could likely do well in a home with feline friends.    This sweet girl is ready to find a family all her own‚Äîone where she can share her love, loyalty, and sunny spirit every day. If you‚Äôre looking for a gentle, loving companion who‚Äôll brighten your life, Myrtle is waiting to meet you!</t>
  </si>
  <si>
    <t>Meet Zane! üê∂üí®  Zane is a joyful, high-spirited pup with a zest for life that‚Äôs simply contagious! He‚Äôs the kind of dog who brings a smile to your face with his goofy zoomies, happy tail wags, and playful personality.    This all-around good boy is dog, cat, and kid friendly, making him a great fit for families of all shapes and sizes. Zane shines in playgroups, where he loves romping around with his canine pals and spreading good vibes to everyone around him.    Whether he's racing around the yard or snuggling up after a good play session, Zane is happiest when he's surrounded by love, laughter, and adventure.    If you're looking for a pup who‚Äôs always ready to have fun and share joy, Zane is your guy! üêæüíô</t>
  </si>
  <si>
    <t>Grasshopper is a sweet, expressive lovebug full of personality and heart. While we don‚Äôt know much about his background, what we do know is that he‚Äôs incredibly loving and eager to bond. He has bursts of playful energy and would do best in a home with another dog buddy to play with.    He‚Äôs crate trained, walks beautifully on a leash (though he might get excited if he spots a squirrel!), and is learning his basic commands. Grasshopper is gentle and patient with kids, and he‚Äôs also cat-friendly. When he‚Äôs feeling expressive he can be vocal, adding to his charm.    This lovable boy is ready for a home where he can continue to blossom and share his affection,and maybe a few zoomies, with a family of his own.</t>
  </si>
  <si>
    <t>Meet Jacob! üêæ‚ö°  Jacob is a high-energy, fun-loving dog who‚Äôs ready to bring excitement and adventure into your life! He thrives in a fast-paced lifestyle and would be happiest with someone who loves to stay busy and keep moving.    Jacob LOVES being the center of attention, especially when there are toys involved. He‚Äôs a fetch fanatic who‚Äôs always ready to chase a ball or tug a rope, and he‚Äôs eager to learn new tricks and be trained.    Whether it‚Äôs splashing in the water, going for long walks, or just hanging out as your loyal pal, Jacob‚Äôs enthusiasm is contagious. If you‚Äôre looking for a lively companion who‚Äôs up for anything, Jacob is your guy!</t>
  </si>
  <si>
    <t>Meet Luke! üêæüéæ  Luke is a true dog‚Äôs dog‚Äîsocial, playful, and always ready for a good time! He absolutely loves playing with other dogs and shines in group play sessions. If there‚Äôs a game of fetch going on, you can bet Luke is in the middle of it, chasing down the ball with joy and enthusiasm.    This athletic and outgoing pup is also an excellent adventure buddy who would love to explore trails, parks, or just cruise around the neighborhood with his favorite person. He‚Äôs loyal, fun, and always up for the next adventure.    Luke prefers a home without cats, but he makes up for it with his big heart and even bigger personality. If you're looking for an energetic, dog-loving companion to join you on life‚Äôs journeys, Luke is your guy!</t>
  </si>
  <si>
    <t>Ms White is a very sweet, loving and gentle girl living in an apartment with her foster, another dog and two cats. She loves being with people and will take all the opportunities she can to be as close as possible to her person. If you want a velcro dog that loves you above everything else she‚Äôs the one! She goes to the dog park every day - she is friendly with all dogs and love to play chase! Ms White relaxes quietly  in her crate when her foster is not home. She is fully potty trained and walks well on leash. Her foster brings here everywhere and she always behaves well and relaxed in all situations she has been - on busy streets, stores, around kids. Ms White would make an excellent family dog!Ms White is a very sweet, loving and gentle girl living in an apartment with her foster, another dog and two cats. She loves being with people and will take all the opportunities she can to be as close as possible to her person. If you want a velcro dog that loves you above everything else she‚Äôs the one! She goes to the dog park every day - she is friendly with all dogs and love to play chase! Ms White relaxes quietly  in her crate when her foster is not home. She is fully potty trained and walks well on leash. Her foster brings here everywhere and she always behaves well and relaxed in all situations she has been - on busy streets, stores, around kids. Ms White would make an excellent family dog!</t>
  </si>
  <si>
    <t>Meet Nash! üêæ  Looking for a loyal, playful, and loving companion? Nash might just be your perfect match!    This sweet boy is full of personality and charm. He loves other dogs and thrives in playgroups, where he gets to run, wrestle, and show off his playful side. Whether he's chasing toys in the play yard or splashing around in a kiddie pool, Nash knows how to have a good time.    Nash is more than just fun‚Äîhe‚Äôs also an incredibly loyal dog who‚Äôs ready to bond deeply with a family of his own. He‚Äôll stick by your side through all of life‚Äôs adventures, offering companionship, joy, and a whole lot of tail wags.    Nash would do best in a home without cats, but with his big heart and happy spirit, he‚Äôs ready to be someone‚Äôs very best friend.    Come meet Nash‚Äîyou‚Äôll fall in love with his playful energy and loyal soul! üíô</t>
  </si>
  <si>
    <t>Meet Julian! üåçüêæ  If you're looking for a four-legged best friend to share life‚Äôs adventures, Julian is your guy!    This easygoing, happy pup is dog, cat, and kid friendly, and truly never has a bad day. With his sunny personality and love for people, Julian brings joy wherever he goes. He‚Äôs the kind of dog who just wants to be by your side‚Äîwhether you‚Äôre exploring the great outdoors or relaxing at home.    Julian is super adventurous and would thrive with an active person or family who‚Äôs ready to show him the world. He‚Äôs always up for a hike, a road trip, or just a walk around the neighborhood‚Äîas long as he gets to do it with you.    Friendly, loyal, and full of life, Julian is ready to be your ultimate adventure buddy and forever friend. Come meet him and start your next great journey together! üíô</t>
  </si>
  <si>
    <t>Hi all, meet sweet Odin boy! Odin is a goofy, playful, and affectionate ham, who thrives  around other dogs. He would be the perfect doggy sibling, as Odin‚Äôs favorite activity is  convincing his foster sister that playtime is what life is all about. He loves walks, being  outside, and exploring all the smells, and he is the king of treats‚Äîpig ears are his  favorite, but peanut butter cups hold a close second place. Odin is fully crate and potty  trained, knows how to sit and stay, and is just days away from mastering a few other  commands.  Odin loves everyone he meets and always wants to be part of the fun‚Äîhe brightens  every room with his endearing personality and zest for cuddles, head scratches, and  toys. He would be an adorable and exciting addition to any family, and he‚Äôs ready to  bring his rich love and cuteness to his forever home! Adopt Odin today!</t>
  </si>
  <si>
    <t>Hi, my name is Sushi! I love to be loved. My human foster brother was 6 and carried me around like a baby. If you want a kitten who purrs like an engine, I‚Äôm your girl. If I‚Äôm not busy making biscuits on my bed, I‚Äôm sleeping on it. I‚Äôm a low-key kitten who is happiest curled up on my cat tower or next to you. I love my brother Trout, but it‚Äôs not required that I go home with him!</t>
  </si>
  <si>
    <t>Hi, my name is Trout! If you‚Äôre looking for an entertaining kitten to keep you smiling all day with my antics, I‚Äôm your guy. I‚Äôm curious, I love to explore, and I love rolling around at your feet to get your attention. I‚Äôll tolerate being held, but I‚Äôll lie next to you and on your lap for as long as you allow it, purring away. In typical orange cat fashion, I will keep you entertained and laughing! I love my sister Sushi, but it‚Äôs not required that I go home with her!</t>
  </si>
  <si>
    <t>Meet Artemis ‚Äì A Loyal Heart Looking for Home Again üêæ  Artemis is the kind of dog that leaves paw prints on your heart. This dog, kid, and cat friendly sweetheart once knew the comfort of a loving home‚Äîbut through no fault of her own, she‚Äôs back at the shelter, and she‚Äôs having a tough time understanding why.    Artemis is gentle, loyal, and deeply loving. She bonds closely with her people and other dogs, and truly misses being part of a family. She's confused and a little heartbroken in the shelter environment, but her sweet spirit still shines through.    She loves canine companions and would thrive in a home with other dogs. While she‚Äôs great with most animals, she prefers a home without livestock.    If you‚Äôre looking for a loyal companion who‚Äôs ready to give her whole heart, Artemis is ready to come home‚Äîand stay home‚Äîfor good this time</t>
  </si>
  <si>
    <t>https://pet-uploads.adoptapet.com/2/8/e/1262038000.jpg</t>
  </si>
  <si>
    <t>https://pet-uploads.adoptapet.com/a/1/2/1262038009.jpg</t>
  </si>
  <si>
    <t>https://pet-uploads.adoptapet.com/9/8/0/1262038015.jpg</t>
  </si>
  <si>
    <t>https://pet-uploads.adoptapet.com/c/b/9/1262038021.jpg</t>
  </si>
  <si>
    <t>German Shorthaired Pointer</t>
  </si>
  <si>
    <t>Bluetick Coonhound</t>
  </si>
  <si>
    <t>https://pet-uploads.adoptapet.com/b/3/f/1262041327.jpg</t>
  </si>
  <si>
    <t>https://pet-uploads.adoptapet.com/7/b/a/1262041377.jpg</t>
  </si>
  <si>
    <t>https://pet-uploads.adoptapet.com/b/c/4/1262041396.jpg</t>
  </si>
  <si>
    <t>https://pet-uploads.adoptapet.com/4/f/d/1262041402.jpg</t>
  </si>
  <si>
    <t>https://pet-uploads.adoptapet.com/b/f/2/1262042787.jpg</t>
  </si>
  <si>
    <t>https://pet-uploads.adoptapet.com/a/9/c/1262042812.jpg</t>
  </si>
  <si>
    <t>https://pet-uploads.adoptapet.com/7/c/6/1262042818.jpg</t>
  </si>
  <si>
    <t>https://pet-uploads.adoptapet.com/6/b/d/1262042824.jpg</t>
  </si>
  <si>
    <t>Brown/Chocolate - with Black</t>
  </si>
  <si>
    <t>Chow Chow</t>
  </si>
  <si>
    <t>White - with Red, Golden, Orange or Chestnut</t>
  </si>
  <si>
    <t>https://pet-uploads.adoptapet.com/3/e/f/1262033887.jpg</t>
  </si>
  <si>
    <t>https://pet-uploads.adoptapet.com/7/1/e/1262033896.jpg</t>
  </si>
  <si>
    <t>https://pet-uploads.adoptapet.com/b/3/5/1262033902.jpg</t>
  </si>
  <si>
    <t>Bulldog</t>
  </si>
  <si>
    <t>https://pet-uploads.adoptapet.com/0/4/a/1262046644.jpg</t>
  </si>
  <si>
    <t>https://pet-uploads.adoptapet.com/8/2/5/1262046653.jpg</t>
  </si>
  <si>
    <t>https://pet-uploads.adoptapet.com/f/e/f/1262046659.jpg</t>
  </si>
  <si>
    <t>https://pet-uploads.adoptapet.com/b/c/e/1262046665.jpg</t>
  </si>
  <si>
    <t>A0059636183</t>
  </si>
  <si>
    <t>A0059632659</t>
  </si>
  <si>
    <t>Chocolate</t>
  </si>
  <si>
    <t>1y 0m 3d</t>
  </si>
  <si>
    <t>Tyler (K. Hauler)</t>
  </si>
  <si>
    <t>Abby (K. Hauler)</t>
  </si>
  <si>
    <t>941000031684132</t>
  </si>
  <si>
    <t>3y 0m 12d</t>
  </si>
  <si>
    <t>0y 4m 13d</t>
  </si>
  <si>
    <t>0y 1m 24d</t>
  </si>
  <si>
    <t>941000031684077</t>
  </si>
  <si>
    <t>2y 0m 24d</t>
  </si>
  <si>
    <t>0y 2m 7d</t>
  </si>
  <si>
    <t>3y 0m 26d</t>
  </si>
  <si>
    <t>0y 2m 8d</t>
  </si>
  <si>
    <t>0y 2m 2d</t>
  </si>
  <si>
    <t>0y 1m 29d</t>
  </si>
  <si>
    <t>0y 2m 26d</t>
  </si>
  <si>
    <t>0y 2m 22d</t>
  </si>
  <si>
    <t>0y 2m 16d</t>
  </si>
  <si>
    <t>0y 3m 16d</t>
  </si>
  <si>
    <t>0y 4m 9d</t>
  </si>
  <si>
    <t>941000031684078</t>
  </si>
  <si>
    <t>941000031684057</t>
  </si>
  <si>
    <t>941000031684276</t>
  </si>
  <si>
    <t>3y 5m 21d</t>
  </si>
  <si>
    <t>3y 5m 7d</t>
  </si>
  <si>
    <t>2y 24d</t>
  </si>
  <si>
    <t>52.20 pound</t>
  </si>
  <si>
    <t>3y 26d</t>
  </si>
  <si>
    <t>4m 13d</t>
  </si>
  <si>
    <t>3y 12d</t>
  </si>
  <si>
    <t>Chocolate/White</t>
  </si>
  <si>
    <t>6m 20d</t>
  </si>
  <si>
    <t>2m 7d</t>
  </si>
  <si>
    <t>59.40 pound</t>
  </si>
  <si>
    <t>42.00 pound</t>
  </si>
  <si>
    <t>40.40 pound</t>
  </si>
  <si>
    <t>Include?</t>
  </si>
  <si>
    <t>316</t>
  </si>
  <si>
    <t>940</t>
  </si>
  <si>
    <t>1,502</t>
  </si>
  <si>
    <t>124</t>
  </si>
  <si>
    <t>7.0%</t>
  </si>
  <si>
    <t>198</t>
  </si>
  <si>
    <t>258</t>
  </si>
  <si>
    <t>2.5%</t>
  </si>
  <si>
    <t>334</t>
  </si>
  <si>
    <t>0</t>
  </si>
  <si>
    <t>0%</t>
  </si>
  <si>
    <t>458</t>
  </si>
  <si>
    <t>1,109</t>
  </si>
  <si>
    <t>341</t>
  </si>
  <si>
    <t>15.7%</t>
  </si>
  <si>
    <t>231</t>
  </si>
  <si>
    <t>571</t>
  </si>
  <si>
    <t>3,697</t>
  </si>
  <si>
    <t>905</t>
  </si>
  <si>
    <t>2,002</t>
  </si>
  <si>
    <t>627</t>
  </si>
  <si>
    <t>10.4%</t>
  </si>
  <si>
    <t>659</t>
  </si>
  <si>
    <t>738</t>
  </si>
  <si>
    <t>141</t>
  </si>
  <si>
    <t>6.1%</t>
  </si>
  <si>
    <t>285</t>
  </si>
  <si>
    <t>661</t>
  </si>
  <si>
    <t>1,051</t>
  </si>
  <si>
    <t>1.1%</t>
  </si>
  <si>
    <t>584</t>
  </si>
  <si>
    <t>714</t>
  </si>
  <si>
    <t>55</t>
  </si>
  <si>
    <t>3.0%</t>
  </si>
  <si>
    <t>236</t>
  </si>
  <si>
    <t>585</t>
  </si>
  <si>
    <t>1,147</t>
  </si>
  <si>
    <t>227</t>
  </si>
  <si>
    <t>2.1%</t>
  </si>
  <si>
    <t>290</t>
  </si>
  <si>
    <t>707</t>
  </si>
  <si>
    <t>788</t>
  </si>
  <si>
    <t>409</t>
  </si>
  <si>
    <t>911</t>
  </si>
  <si>
    <t>1,599</t>
  </si>
  <si>
    <t>36</t>
  </si>
  <si>
    <t>6.4%</t>
  </si>
  <si>
    <t>863</t>
  </si>
  <si>
    <t>401</t>
  </si>
  <si>
    <t>918</t>
  </si>
  <si>
    <t>5,946</t>
  </si>
  <si>
    <t>1,098</t>
  </si>
  <si>
    <t>630</t>
  </si>
  <si>
    <t>432</t>
  </si>
  <si>
    <t>972</t>
  </si>
  <si>
    <t>1.4%</t>
  </si>
  <si>
    <t>2,557</t>
  </si>
  <si>
    <t>447</t>
  </si>
  <si>
    <t>1,414</t>
  </si>
  <si>
    <t>3,037</t>
  </si>
  <si>
    <t>3,152</t>
  </si>
  <si>
    <t>73</t>
  </si>
  <si>
    <t>181</t>
  </si>
  <si>
    <t>235</t>
  </si>
  <si>
    <t>226</t>
  </si>
  <si>
    <t>531</t>
  </si>
  <si>
    <t>600</t>
  </si>
  <si>
    <t>118</t>
  </si>
  <si>
    <t>9.3%</t>
  </si>
  <si>
    <t>620</t>
  </si>
  <si>
    <t>4,451</t>
  </si>
  <si>
    <t>507</t>
  </si>
  <si>
    <t>174</t>
  </si>
  <si>
    <t>229</t>
  </si>
  <si>
    <t>277</t>
  </si>
  <si>
    <t>1,688</t>
  </si>
  <si>
    <t>3.6%</t>
  </si>
  <si>
    <t>715</t>
  </si>
  <si>
    <t>1,217</t>
  </si>
  <si>
    <t>134</t>
  </si>
  <si>
    <t>142</t>
  </si>
  <si>
    <t>924</t>
  </si>
  <si>
    <t>218</t>
  </si>
  <si>
    <t>2.8%</t>
  </si>
  <si>
    <t>287</t>
  </si>
  <si>
    <t>680</t>
  </si>
  <si>
    <t>2,024</t>
  </si>
  <si>
    <t>240</t>
  </si>
  <si>
    <t>3.8%</t>
  </si>
  <si>
    <t>844</t>
  </si>
  <si>
    <t>1,228</t>
  </si>
  <si>
    <t>127</t>
  </si>
  <si>
    <t>567</t>
  </si>
  <si>
    <t>625</t>
  </si>
  <si>
    <t>58</t>
  </si>
  <si>
    <t>279</t>
  </si>
  <si>
    <t>803</t>
  </si>
  <si>
    <t>1,574</t>
  </si>
  <si>
    <t>406</t>
  </si>
  <si>
    <t>18.3%</t>
  </si>
  <si>
    <t>428</t>
  </si>
  <si>
    <t>1,031</t>
  </si>
  <si>
    <t>151</t>
  </si>
  <si>
    <t>404</t>
  </si>
  <si>
    <t>999</t>
  </si>
  <si>
    <t>2,149</t>
  </si>
  <si>
    <t>194</t>
  </si>
  <si>
    <t>942</t>
  </si>
  <si>
    <t>1,061</t>
  </si>
  <si>
    <t>110</t>
  </si>
  <si>
    <t>302</t>
  </si>
  <si>
    <t>850</t>
  </si>
  <si>
    <t>2,140</t>
  </si>
  <si>
    <t>93</t>
  </si>
  <si>
    <t>1,100</t>
  </si>
  <si>
    <t>5.0%</t>
  </si>
  <si>
    <t>262</t>
  </si>
  <si>
    <t>613</t>
  </si>
  <si>
    <t>7,538</t>
  </si>
  <si>
    <t>566</t>
  </si>
  <si>
    <t>230</t>
  </si>
  <si>
    <t>1,235</t>
  </si>
  <si>
    <t>153</t>
  </si>
  <si>
    <t>1,172</t>
  </si>
  <si>
    <t>359</t>
  </si>
  <si>
    <t>10.3%</t>
  </si>
  <si>
    <t>413</t>
  </si>
  <si>
    <t>956</t>
  </si>
  <si>
    <t>1,749</t>
  </si>
  <si>
    <t>946</t>
  </si>
  <si>
    <t>2,092</t>
  </si>
  <si>
    <t>667</t>
  </si>
  <si>
    <t>1,085</t>
  </si>
  <si>
    <t>221</t>
  </si>
  <si>
    <t>992</t>
  </si>
  <si>
    <t>1,355</t>
  </si>
  <si>
    <t>92</t>
  </si>
  <si>
    <t>515</t>
  </si>
  <si>
    <t>1,265</t>
  </si>
  <si>
    <t>156</t>
  </si>
  <si>
    <t>1,283</t>
  </si>
  <si>
    <t>3,315</t>
  </si>
  <si>
    <t>3,544</t>
  </si>
  <si>
    <t>144</t>
  </si>
  <si>
    <t>288</t>
  </si>
  <si>
    <t>294</t>
  </si>
  <si>
    <t>831</t>
  </si>
  <si>
    <t>922</t>
  </si>
  <si>
    <t>2,001</t>
  </si>
  <si>
    <t>402</t>
  </si>
  <si>
    <t>2,081</t>
  </si>
  <si>
    <t>182</t>
  </si>
  <si>
    <t>1,446</t>
  </si>
  <si>
    <t>242</t>
  </si>
  <si>
    <t>455</t>
  </si>
  <si>
    <t>1,123</t>
  </si>
  <si>
    <t>166</t>
  </si>
  <si>
    <t>740</t>
  </si>
  <si>
    <t>2,723</t>
  </si>
  <si>
    <t>247</t>
  </si>
  <si>
    <t>521</t>
  </si>
  <si>
    <t>101</t>
  </si>
  <si>
    <t>4.9%</t>
  </si>
  <si>
    <t>1,094</t>
  </si>
  <si>
    <t>2.6%</t>
  </si>
  <si>
    <t>448</t>
  </si>
  <si>
    <t>1,075</t>
  </si>
  <si>
    <t>354</t>
  </si>
  <si>
    <t>838</t>
  </si>
  <si>
    <t>453</t>
  </si>
  <si>
    <t>1,209</t>
  </si>
  <si>
    <t>2,819</t>
  </si>
  <si>
    <t>65</t>
  </si>
  <si>
    <t>5.7%</t>
  </si>
  <si>
    <t>282</t>
  </si>
  <si>
    <t>718</t>
  </si>
  <si>
    <t>2,271</t>
  </si>
  <si>
    <t>232</t>
  </si>
  <si>
    <t>544</t>
  </si>
  <si>
    <t>1,163</t>
  </si>
  <si>
    <t>700</t>
  </si>
  <si>
    <t>94</t>
  </si>
  <si>
    <t>133</t>
  </si>
  <si>
    <t>7.4%</t>
  </si>
  <si>
    <t>8.3%</t>
  </si>
  <si>
    <t>1,391</t>
  </si>
  <si>
    <t>3,553</t>
  </si>
  <si>
    <t>3,996</t>
  </si>
  <si>
    <t>390</t>
  </si>
  <si>
    <t>983</t>
  </si>
  <si>
    <t>1,174</t>
  </si>
  <si>
    <t>3,185</t>
  </si>
  <si>
    <t>3,389</t>
  </si>
  <si>
    <t>399</t>
  </si>
  <si>
    <t>2,045</t>
  </si>
  <si>
    <t>1,104</t>
  </si>
  <si>
    <t>1,328</t>
  </si>
  <si>
    <t>241</t>
  </si>
  <si>
    <t>572</t>
  </si>
  <si>
    <t>943</t>
  </si>
  <si>
    <t>852</t>
  </si>
  <si>
    <t>2,319</t>
  </si>
  <si>
    <t>395</t>
  </si>
  <si>
    <t>2,263</t>
  </si>
  <si>
    <t>318</t>
  </si>
  <si>
    <t>470</t>
  </si>
  <si>
    <t>70</t>
  </si>
  <si>
    <t>385</t>
  </si>
  <si>
    <t>1,501</t>
  </si>
  <si>
    <t>84</t>
  </si>
  <si>
    <t>595</t>
  </si>
  <si>
    <t>1,309</t>
  </si>
  <si>
    <t>810</t>
  </si>
  <si>
    <t>589</t>
  </si>
  <si>
    <t>684</t>
  </si>
  <si>
    <t>1,455</t>
  </si>
  <si>
    <t>3,794</t>
  </si>
  <si>
    <t>6,492</t>
  </si>
  <si>
    <t>1,182</t>
  </si>
  <si>
    <t>393</t>
  </si>
  <si>
    <t>792</t>
  </si>
  <si>
    <t>45</t>
  </si>
  <si>
    <t>708</t>
  </si>
  <si>
    <t>1,142</t>
  </si>
  <si>
    <t>121</t>
  </si>
  <si>
    <t>211</t>
  </si>
  <si>
    <t>454</t>
  </si>
  <si>
    <t>5.2%</t>
  </si>
  <si>
    <t>648</t>
  </si>
  <si>
    <t>468</t>
  </si>
  <si>
    <t>1,059</t>
  </si>
  <si>
    <t>79</t>
  </si>
  <si>
    <t>1,517</t>
  </si>
  <si>
    <t>3,938</t>
  </si>
  <si>
    <t>4,587</t>
  </si>
  <si>
    <t>876</t>
  </si>
  <si>
    <t>963</t>
  </si>
  <si>
    <t>912</t>
  </si>
  <si>
    <t>1,947</t>
  </si>
  <si>
    <t>LOS</t>
  </si>
  <si>
    <t>PreTreat - No</t>
  </si>
  <si>
    <t>Initial T/C Find</t>
  </si>
  <si>
    <t>Kick Off Treatment/Control</t>
  </si>
  <si>
    <t>Kim is a playful sweetheart with a zest for life! This gorgeous black Lab/Pit mix loves to run, romp, and play—especially with her best friend, Taz. She’s friendly with everyone she meets and brings joy and laughter wherever she goes. Kim’s energetic spirit makes her the perfect companion for outdoor adventures, but she’s also happy to wind down with some cuddles once the fun is done. She has a big heart, a bright smile, and a tail that never stops wagging. If you’re looking for a loyal, loving dog who’s always up for playtime and companionship, Kim is ready to be your new best friend.</t>
  </si>
  <si>
    <t>Kirby is a gentle giant with a heart as big as his paws. This stunning gray-and-white Rottweiler/Cane Corso mix turns heads wherever he goes, but it’s his sweet, calm nature that truly stands out. Kirby is affectionate, well-mannered, and loves nothing more than being close to his people. Despite his impressive size, he’s gentle and kind—a big softie who just wants love and a comfy spot to rest. Whether he’s lounging at your feet or leaning in for pets, Kirby’s quiet presence brings warmth and peace to any home. If you’re looking for a loyal, loving companion with a heart of gold, Kirby is your guy.</t>
  </si>
  <si>
    <t>Cheech is a happy, playful pup who’s always ready for adventure! This tan-and-black Black Mouth Cur/Staffy mix is bursting with energy and joy. He loves walks, playtime, and exploring the world around him—his tail never stops wagging when he’s out and about. Cheech’s friendly, social nature makes him a hit with everyone he meets, and his sweet personality shines through in everything he does. He’s the perfect mix of fun and affection, always ready for a game or a good cuddle after a busy day. If you’re looking for a loyal, energetic companion who’ll keep you smiling and moving, Cheech is your guy!</t>
  </si>
  <si>
    <t>Deebo is a fun, friendly pup who lives for playtime and good company! This young brindle Pittie/Plott Hound mix loves running around with his best pals, Mimir and Koko, and is always up for a game or an adventure. His joyful energy and outgoing personality make him the life of the party, and his big heart shines through in every wag and smile. Deebo’s playful nature is balanced by his sweet, loving side—he’s as happy cuddling up after a long day as he is chasing his friends in the yard. If you’re looking for a loyal, energetic buddy who brings endless fun (and a few laughs) to every day, Deebo is your guy!</t>
  </si>
  <si>
    <t>Claudia is as beautiful as she is sweet—a playful, puppy-hearted girl who’s full of love! This white-and-tan Pittie/Lab mix is gentle, cuddly, and always ready to brighten your day. She adores playtime, whether it’s romping around the yard or chasing her favorite toy, but she’s just as happy curling up close for snuggles. Claudia has that irresistible mix of youthful energy and soft affection that makes her the perfect companion for both fun adventures and cozy nights in. If you’re looking for a loving, playful pup who brings joy wherever she goes, Claudia is ready to steal your heart.</t>
  </si>
  <si>
    <t>Zorua is the definition of a gentle soul. This lovely black-and-white Pittie mix is as sweet and loyal as they come, with a heart that melts the moment you meet her. She’s laid-back and affectionate, happiest when she’s soaking up belly rubs or snuggling by your side for hours. Zorua is wonderful on the leash and loves a nice, calm evening walk followed by quiet time with her people. She’s the perfect mix of cuddly and composed—easy to love and even easier to live with. If you’re looking for a loving companion who will fill your days with warmth and your nights with cozy cuddles, Zorua is your girl.</t>
  </si>
  <si>
    <t>Twister is a fun-loving Lab with a heart as big as his splash! This handsome black boy is sweet, friendly, and always up for a good time—especially if it involves water. Whether he’s splashing in a pool, playing fetch, or soaking up scratches, Twister’s joy is contagious. He’s great with other dogs and gentle with little kids, making him the perfect family companion. His playful energy is balanced by his loving, easygoing nature—he just wants to be part of the fun and by your side. If you’re looking for a loyal, happy pup who can turn any day into an adventure, Twister is ready to dive right in.</t>
  </si>
  <si>
    <t>Shells is the sweetest girl and an absolute gem! This tan Staffordshire mix is thriving in her Charleston foster home, soaking up all the love and comfort she deserves. Gentle, mellow, and endlessly cuddly, Shells is the kind of dog who makes every day feel a little softer. She loves quiet moments, cozy naps, and being close to her people—she’s all about simple joys and warm hearts. Her foster family can’t stop raving about how easy and loving she is. If you’re looking for a gentle companion who’ll fit right into your home and your heart, Shells is ready to bring her calm, sweet spirit to you.</t>
  </si>
  <si>
    <t>Roux is pure joy wrapped in fur! This beautiful white-and-gray Pittie mix greets every day—and every person—with enthusiasm, spinning in happy circles when it’s time to play. She’s the perfect mix of playful and cuddly, always ready for a game of fetch or a snuggle on the couch. Roux’s curious nature makes her eager to explore, and her gentle personality wins over everyone she meets. She’s friendly with people, sweet to the core, and just wants to be part of the fun (and the love). If you’re looking for a loyal companion who can make your heart—and your tail—wag a little faster, Roux is your girl.</t>
  </si>
  <si>
    <t>Ralph is a lovable goofball with the biggest wiggle butt you’ll ever meet! This sweet Pointer/Lab mix is gentle, friendly, and oh-so-cuddly once he gets to know you. He can be a little shy with new people at first, but he warms up quickly—and when he does, you’ll have a loyal friend for life. Ralph gets along great with other dogs and loves to play, but he’s just as happy relaxing by your side. Smart, funny, and full of heart, he’s the perfect blend of mellow and playful. If you’re looking for a gentle companion who’ll make you smile every single day, Ralph is ready to wag his way home.</t>
  </si>
  <si>
    <t>Madre is the definition of calm and caring. This beautiful black-and-white American Bulldog/Staffy mix has a gentle, maternal nature that shines through in everything she does. She’s patient and nurturing with smaller dogs and puppies, often taking them under her paw. Though mellow and easygoing, Madre still enjoys her playful moments—especially when she knows she’s made her people smile. She’s sweet, loyal, and full of quiet affection, making her the perfect companion for anyone looking for a loving, steady presence in their home. If you’re searching for a gentle soul who brings peace (and a few happy tail wags) wherever she goes, Madre is the one for you.</t>
  </si>
  <si>
    <t>Lotus is a burst of joy and energy wrapped in a shiny brown coat! This young Staffordshire Terrier is playful, smart, and full of personality. He loves to run, explore, and show off his goofy side, turning every outing into an adventure. Beneath his energetic spirit is a sweet, loving pup who adores being around people and learning new things. Lotus is eager to please and would thrive with someone who’s ready to keep up with his fun, active lifestyle. Whether it’s a game of fetch, a walk in the sunshine, or some well-earned cuddle time, Lotus is always all in. If you’re looking for a loyal best friend who’ll brighten every day, Lotus is your guy.</t>
  </si>
  <si>
    <t>Koko is a bundle of joy with a heart full of play! This beautiful blue Pit Bull mix is smart, sweet, and endlessly entertaining. She adores her toys—especially her beloved binky—and could play fetch for hours with a grin on her face. Koko’s goofy hops and frog-like pounces will have you laughing in no time, and her friendly personality makes her a hit with everyone she meets. Beneath her playful energy is a loyal, loving girl who’s happiest when she’s with her people (and her toys!). If you’re looking for a fun, affectionate companion who brings sunshine and smiles wherever she goes, Koko is your girl.</t>
  </si>
  <si>
    <t>Goose is a gentle giant with a heart as big as his paws. This handsome brindle Bullmastiff has a calm, mellow spirit and an independent streak that makes him easy to have around. He may be shy at first, but once he trusts you, Goose shows his soft, loyal side—a quiet companion who’s happiest just being near his people. He’s past the puppy chaos and prefers peaceful walks, cozy naps, and a calm home where he can feel safe and loved. If you’re looking for a loyal friend who asks for little but gives a lot in return, Goose is ready to waddle his way into your heart.</t>
  </si>
  <si>
    <t>Cole is the total package—sweet, social, and full of life! This handsome black Lab/Hound mix is a gentle playmate who gets along wonderfully with other dogs, cats, and even kids. He loves to run, chase, and explore outside, but he’s just as happy curling up for cuddles afterward. Cole has an easygoing, playful energy and a soft heart that makes him a joy to be around. He rides great in the car, walks nicely on a leash, and always brings a little sunshine wherever he goes. If you’re looking for a fun, affectionate companion who’s ready to join you on every adventure (and every couch snuggle), Cole is your guy.</t>
  </si>
  <si>
    <t>Chucky is proof that good things come to those who wait! After spending 11 long months at the shelter, this handsome brown-and-white Pittie/Bulldog mix is finally thriving in his Charleston foster home. Sweet, smart, and loyal, Chucky takes a little time to warm up—but once he does, he’s all heart. Playful and affectionate, he loves being part of a family and soaks up every bit of love and attention he can get. His gentle nature and goofy charm make him impossible not to adore. If you’re looking for a loyal companion who’s been waiting patiently for his happily-ever-after, Chucky is ready to give you all the love he’s been saving.</t>
  </si>
  <si>
    <t>Captain Crunch is as sweet and goofy as his name suggests! This young Aussie/Golden mix has a heart of gold and energy to match. He could spend hours outside chasing toys or basking in the sunshine—give him a ball, and he’s in heaven. Playful yet independent, Captain Crunch loves exploring his surroundings but always comes back for affection and a smile that could melt the Grinch’s heart. He’s curious about the world, gentle with people, and happiest when he’s part of the fun. If you’re looking for a friendly, easygoing companion who’s ready for life’s adventures (and a good game of fetch), Captain Crunch is your guy!</t>
  </si>
  <si>
    <t>Average of Pre-Experiment LOS</t>
  </si>
  <si>
    <t>PreTreat LOS</t>
  </si>
  <si>
    <t>Treatment Group</t>
  </si>
  <si>
    <t>Bio</t>
  </si>
  <si>
    <t>Cole is the total package—sweet, social, and full of life! This handsome black Lab/Hound mix is a gentle playmate who gets along wonderfully with other dogs, cats, and kids. He loves to run, chase, and explore outside, but he’s just as happy curling up for cuddles afterward. Cole has an easygoing, playful energy and a soft heart that makes him a joy to be around. He rides great in the car, walks nicely on a leash, and always brings a little sunshine wherever he goes. If you’re looking for a fun, affectionate companion who’s ready to join you on every adventure (and every couch snuggle), Cole is your guy.</t>
  </si>
  <si>
    <t>Ralph is a lovable goofball with the biggest wiggle butt you’ll ever meet! This sweet Pointer/Lab mix is gentle, friendly, and oh-so-cuddly. He can be a little shy with new people at first, but he warms up quickly—and when he does, you’ll have a loyal friend for life. Ralph gets along great with other dogs and loves to play, but he’s just as happy relaxing by your side. Smart, funny, and full of heart, he’s the perfect blend of mellow and playful. If you’re looking for a gentle companion who’ll make you smile every single day, Ralph is ready to wag his way home.</t>
  </si>
  <si>
    <t>Twister is a fun-loving Lab with a heart as big as his splash! This handsome black boy is sweet, friendly, and always up for a good time—especially if it involves water. Whether he’s splashing in a pool, playing fetch, or soaking up scratches, Twister’s joy is contagious. He’s great with other dogs and gentle with little kids, making him the perfect family companion. His playful energy is balanced by his loving, easygoing nature—he just wants to be part of the fun and by your side. If you’re looking for a loyal, happy guy who can turn any day into an adventure, Twister is ready to dive right in.</t>
  </si>
  <si>
    <t>Gunner is a classic black Lab with all the best Lab qualities—sweet, playful, and full of love! This medium-sized boy is always ready for fun, whether it’s a game of fetch or a nice long walk with his people. Gunner’s friendly personality makes him a joy to be around—he greets everyone with a wagging tail and a happy grin. He’s the perfect mix of energy and affection, always up for adventure but just as content to relax by your side. If you’re looking for a loyal, loving companion who will brighten every day with his enthusiasm and charm, Gunner is your guy.</t>
  </si>
  <si>
    <t>A0059723637</t>
  </si>
  <si>
    <t>Retriever</t>
  </si>
  <si>
    <t>Gates</t>
  </si>
  <si>
    <t>A0059723612</t>
  </si>
  <si>
    <t>Branch</t>
  </si>
  <si>
    <t>Temporary holding</t>
  </si>
  <si>
    <t>Waiting for kennel</t>
  </si>
  <si>
    <t>A0059716808</t>
  </si>
  <si>
    <t>Kennedy</t>
  </si>
  <si>
    <t>A0059716801</t>
  </si>
  <si>
    <t>Hudson</t>
  </si>
  <si>
    <t>A0059716793</t>
  </si>
  <si>
    <t>Lanee</t>
  </si>
  <si>
    <t>A0059716786</t>
  </si>
  <si>
    <t>Tessa</t>
  </si>
  <si>
    <t>Owner Surrender</t>
  </si>
  <si>
    <t>0y 1m 14d</t>
  </si>
  <si>
    <t>A0059711985</t>
  </si>
  <si>
    <t>A0059710502</t>
  </si>
  <si>
    <t>FIV +</t>
  </si>
  <si>
    <t>A0059709922</t>
  </si>
  <si>
    <t>Pinto</t>
  </si>
  <si>
    <t>A0059705468</t>
  </si>
  <si>
    <t>A0059704219</t>
  </si>
  <si>
    <t>Bullet</t>
  </si>
  <si>
    <t>A0059704203</t>
  </si>
  <si>
    <t>Panther</t>
  </si>
  <si>
    <t>A0059704185</t>
  </si>
  <si>
    <t>Miso</t>
  </si>
  <si>
    <t>A0059704096</t>
  </si>
  <si>
    <t>Moe</t>
  </si>
  <si>
    <t>A0059703667</t>
  </si>
  <si>
    <t>Autumn (A. Jones)</t>
  </si>
  <si>
    <t>A0059703555</t>
  </si>
  <si>
    <t>Lili</t>
  </si>
  <si>
    <t>A0059702144</t>
  </si>
  <si>
    <t>941000031749800</t>
  </si>
  <si>
    <t>A0059702132</t>
  </si>
  <si>
    <t>941000031749900</t>
  </si>
  <si>
    <t>A0059701314</t>
  </si>
  <si>
    <t>A0059701310</t>
  </si>
  <si>
    <t>A0059701309</t>
  </si>
  <si>
    <t>A0059701308</t>
  </si>
  <si>
    <t>A0059693626</t>
  </si>
  <si>
    <t>1y 0m 5d</t>
  </si>
  <si>
    <t>A0059693624</t>
  </si>
  <si>
    <t>A0059693621</t>
  </si>
  <si>
    <t>A0059693618</t>
  </si>
  <si>
    <t>A0059693616</t>
  </si>
  <si>
    <t>A0059693614</t>
  </si>
  <si>
    <t>A0059691348</t>
  </si>
  <si>
    <t>0y 3m 4d</t>
  </si>
  <si>
    <t>A0059691294</t>
  </si>
  <si>
    <t>Zoe</t>
  </si>
  <si>
    <t>A0059679767</t>
  </si>
  <si>
    <t>Mocha (C Hutson)</t>
  </si>
  <si>
    <t>A0059668476</t>
  </si>
  <si>
    <t>Pippi</t>
  </si>
  <si>
    <t>A0059666954</t>
  </si>
  <si>
    <t>A0059666941</t>
  </si>
  <si>
    <t>Annabelle</t>
  </si>
  <si>
    <t>A0059660722</t>
  </si>
  <si>
    <t>A0059660583</t>
  </si>
  <si>
    <t>Kurtie</t>
  </si>
  <si>
    <t>A0059660560</t>
  </si>
  <si>
    <t>Ilsa</t>
  </si>
  <si>
    <t>2y 0m 11d</t>
  </si>
  <si>
    <t>A0059656685</t>
  </si>
  <si>
    <t>Pearl</t>
  </si>
  <si>
    <t>1y 0m 11d</t>
  </si>
  <si>
    <t>A0059656662</t>
  </si>
  <si>
    <t>Baker (N. Shriver)</t>
  </si>
  <si>
    <t>A0059654232</t>
  </si>
  <si>
    <t>A0059654200</t>
  </si>
  <si>
    <t>Dog E</t>
  </si>
  <si>
    <t>A0059654126</t>
  </si>
  <si>
    <t>Dog C</t>
  </si>
  <si>
    <t>A0059652602</t>
  </si>
  <si>
    <t>Piper</t>
  </si>
  <si>
    <t>982126056167259</t>
  </si>
  <si>
    <t>A0059647649</t>
  </si>
  <si>
    <t>Lower Condo</t>
  </si>
  <si>
    <t>A0059647638</t>
  </si>
  <si>
    <t>A0059647627</t>
  </si>
  <si>
    <t>A0059647617</t>
  </si>
  <si>
    <t>A0059647601</t>
  </si>
  <si>
    <t>A0059647585</t>
  </si>
  <si>
    <t>A0059647574</t>
  </si>
  <si>
    <t>1y 0m 13d</t>
  </si>
  <si>
    <t>A0059647559</t>
  </si>
  <si>
    <t>A0059646285</t>
  </si>
  <si>
    <t>Harold</t>
  </si>
  <si>
    <t>A0059646267</t>
  </si>
  <si>
    <t>Duncan</t>
  </si>
  <si>
    <t>A0059646245</t>
  </si>
  <si>
    <t>Trent</t>
  </si>
  <si>
    <t>A0059646238</t>
  </si>
  <si>
    <t>Gwen</t>
  </si>
  <si>
    <t>A0059644311</t>
  </si>
  <si>
    <t>Tibbs</t>
  </si>
  <si>
    <t>A0059643124</t>
  </si>
  <si>
    <t>Mookie</t>
  </si>
  <si>
    <t>2y 0m 13d</t>
  </si>
  <si>
    <t>A0059639055</t>
  </si>
  <si>
    <t>Kitten 2 (A.Flynt)</t>
  </si>
  <si>
    <t>A0059639049</t>
  </si>
  <si>
    <t>Cheshire (A.Flynt)</t>
  </si>
  <si>
    <t>A0059639035</t>
  </si>
  <si>
    <t>Dinah</t>
  </si>
  <si>
    <t>A0059638492</t>
  </si>
  <si>
    <t>Rachel</t>
  </si>
  <si>
    <t>A0059638482</t>
  </si>
  <si>
    <t>Monica</t>
  </si>
  <si>
    <t>A0059636850</t>
  </si>
  <si>
    <t>A0059636841</t>
  </si>
  <si>
    <t>Keanu</t>
  </si>
  <si>
    <t>Cocoa (S Showalter)</t>
  </si>
  <si>
    <t>941000031749984</t>
  </si>
  <si>
    <t>Paloma</t>
  </si>
  <si>
    <t>Ernest (E. Hecht)</t>
  </si>
  <si>
    <t>Moose</t>
  </si>
  <si>
    <t>1y 0m 17d</t>
  </si>
  <si>
    <t>Desert Rose (A Flynt)</t>
  </si>
  <si>
    <t>Ebony Rose (A Flynt)</t>
  </si>
  <si>
    <t>Vader</t>
  </si>
  <si>
    <t>0y 5m 11d</t>
  </si>
  <si>
    <t>Dumpling (S. Grooms)</t>
  </si>
  <si>
    <t>941000031749816</t>
  </si>
  <si>
    <t>Porky (M. Fichera)</t>
  </si>
  <si>
    <t>Bucky (M. Fichera)</t>
  </si>
  <si>
    <t>0y 2m 12d</t>
  </si>
  <si>
    <t>Mr. Cobb (J Long)</t>
  </si>
  <si>
    <t>2y 0m 26d</t>
  </si>
  <si>
    <t>Toad (C Demers)</t>
  </si>
  <si>
    <t>Yoshi (C Demers)</t>
  </si>
  <si>
    <t>Luigi (C Demers)</t>
  </si>
  <si>
    <t>Mario (C Demers)</t>
  </si>
  <si>
    <t>0y 2m 9d</t>
  </si>
  <si>
    <t>941000031684044</t>
  </si>
  <si>
    <t>Otto (L Scobee)</t>
  </si>
  <si>
    <t>941000031749571</t>
  </si>
  <si>
    <t>Mark</t>
  </si>
  <si>
    <t>Sable</t>
  </si>
  <si>
    <t>0y 2m 28d</t>
  </si>
  <si>
    <t>941000030976546</t>
  </si>
  <si>
    <t>941000031683844</t>
  </si>
  <si>
    <t>Ashleigh</t>
  </si>
  <si>
    <t>941000031683550</t>
  </si>
  <si>
    <t>Dora</t>
  </si>
  <si>
    <t>0y 3m 3d</t>
  </si>
  <si>
    <t>941000031684340</t>
  </si>
  <si>
    <t>941000031684396</t>
  </si>
  <si>
    <t>0y 4m 16d</t>
  </si>
  <si>
    <t>Goldie</t>
  </si>
  <si>
    <t>Sterling</t>
  </si>
  <si>
    <t>Thelma</t>
  </si>
  <si>
    <t>Mazie</t>
  </si>
  <si>
    <t>0y 4m 12d</t>
  </si>
  <si>
    <t>Wolfy</t>
  </si>
  <si>
    <t>Rooster (A. Douglass)</t>
  </si>
  <si>
    <t>941000031684341</t>
  </si>
  <si>
    <t>1y 2m 6d</t>
  </si>
  <si>
    <t>941000031684155</t>
  </si>
  <si>
    <t>Cheech (S. Lydick)</t>
  </si>
  <si>
    <t>0y 2m 30d</t>
  </si>
  <si>
    <t>Bean (S. Raimer)</t>
  </si>
  <si>
    <t>3y 2m 26d</t>
  </si>
  <si>
    <t>941000031684068</t>
  </si>
  <si>
    <t>Reno (K. Carter)</t>
  </si>
  <si>
    <t>Taylor Barn Cat</t>
  </si>
  <si>
    <t>941000031684194</t>
  </si>
  <si>
    <t>Charlie</t>
  </si>
  <si>
    <t>0y 3m 30d</t>
  </si>
  <si>
    <t>2y 3m 11d</t>
  </si>
  <si>
    <t>0y 5m 0d</t>
  </si>
  <si>
    <t>0y 6m 7d</t>
  </si>
  <si>
    <t>941000031683990</t>
  </si>
  <si>
    <t>2y 5m 1d</t>
  </si>
  <si>
    <t>Bank 2 Cage 4</t>
  </si>
  <si>
    <t>0y 6m 10d</t>
  </si>
  <si>
    <t>A0058462905</t>
  </si>
  <si>
    <t>941000031683992</t>
  </si>
  <si>
    <t>Aaron Burr</t>
  </si>
  <si>
    <t>Stable 3</t>
  </si>
  <si>
    <t>Eliza</t>
  </si>
  <si>
    <t>King George</t>
  </si>
  <si>
    <t>Thomas Jefferson</t>
  </si>
  <si>
    <t>Phillip (Petsmart)</t>
  </si>
  <si>
    <t>PetSmart</t>
  </si>
  <si>
    <t>Dexter (petsmat)</t>
  </si>
  <si>
    <t>0y 6m 30d</t>
  </si>
  <si>
    <t>0y 7m 6d</t>
  </si>
  <si>
    <t>Sebastian (M. Kindel)</t>
  </si>
  <si>
    <t>A0057100856</t>
  </si>
  <si>
    <t>Scoot</t>
  </si>
  <si>
    <t>0y 9m 13d</t>
  </si>
  <si>
    <t>Mimir (A. Porche)</t>
  </si>
  <si>
    <t>Mimir [Foster Home]</t>
  </si>
  <si>
    <t>Chucky is proof that good things come to those who wait! After spending 11 long months at the shelter, this handsome brown-and-white Pittie/Bulldog mix is finally thriving in his Charleston foster home. Sweet, smart, and loyal, Chucky takes a little time to warm up‚Äîbut once he does, he‚Äôs all heart. Playful and affectionate, he loves being part of a family and soaks up every bit of love and attention he can get. His gentle nature and goofy charm make him impossible not to adore. If you‚Äôre looking for a loyal companion who‚Äôs been waiting patiently for his happily-ever-after, Chucky is ready to give you all the love he‚Äôs been saving.</t>
  </si>
  <si>
    <t>Goose is a gentle giant with a heart as big as his paws. This handsome brindle Bullmastiff has a calm, mellow spirit and an independent streak that makes him easy to have around. He may be shy at first, but once he trusts you, Goose shows his soft, loyal side‚Äîa quiet companion who‚Äôs happiest just being near his people. He‚Äôs past the puppy chaos and prefers peaceful walks, cozy naps, and a calm home where he can feel safe and loved. If you‚Äôre looking for a loyal friend who asks for little but gives a lot in return, Goose is ready to waddle his way into your heart.</t>
  </si>
  <si>
    <t>Zorua is the definition of a gentle soul. This lovely black-and-white Pittie mix is as sweet and loyal as they come, with a heart that melts the moment you meet her. She‚Äôs laid-back and affectionate, happiest when she‚Äôs soaking up belly rubs or snuggling by your side for hours. Zorua is wonderful on the leash and loves a nice, calm evening walk followed by quiet time with her people. She‚Äôs the perfect mix of cuddly and composed‚Äîeasy to love and even easier to live with. If you‚Äôre looking for a loving companion who will fill your days with warmth and your nights with cozy cuddles, Zorua is your girl.</t>
  </si>
  <si>
    <t>Cole is the total package‚Äîsweet, social, and full of life! This handsome black Lab/Hound mix is a gentle playmate who gets along wonderfully with other dogs, cats, and kids. He loves to run, chase, and explore outside, but he‚Äôs just as happy curling up for cuddles afterward. Cole has an easygoing, playful energy and a soft heart that makes him a joy to be around. He rides great in the car, walks nicely on a leash, and always brings a little sunshine wherever he goes. If you‚Äôre looking for a fun, affectionate companion who‚Äôs ready to join you on every adventure (and every couch snuggle), Cole is your guy.</t>
  </si>
  <si>
    <t>Kim is a playful sweetheart with a zest for life! This gorgeous black Lab/Pit mix loves to run, romp, and play‚Äîespecially with her best friend, Taz. She‚Äôs friendly with everyone she meets and brings joy and laughter wherever she goes. Kim‚Äôs energetic spirit makes her the perfect companion for outdoor adventures, but she‚Äôs also happy to wind down with some cuddles once the fun is done. She has a big heart, a bright smile, and a tail that never stops wagging. If you‚Äôre looking for a loyal, loving dog who‚Äôs always up for playtime and companionship, Kim is ready to be your new best friend.</t>
  </si>
  <si>
    <t>Kirby is a gentle giant with a heart as big as his paws. This stunning gray-and-white Rottweiler/Cane Corso mix turns heads wherever he goes, but it‚Äôs his sweet, calm nature that truly stands out. Kirby is affectionate, well-mannered, and loves nothing more than being close to his people. Despite his impressive size, he‚Äôs gentle and kind‚Äîa big softie who just wants love and a comfy spot to rest. Whether he‚Äôs lounging at your feet or leaning in for pets, Kirby‚Äôs quiet presence brings warmth and peace to any home. If you‚Äôre looking for a loyal, loving companion with a heart of gold, Kirby is your guy.</t>
  </si>
  <si>
    <t>Ralph [Foster Home]</t>
  </si>
  <si>
    <t>Twister is a fun-loving Lab with a heart as big as his splash! This handsome black boy is sweet, friendly, and always up for a good time‚Äîespecially if it involves water. Whether he‚Äôs splashing in a pool, playing fetch, or soaking up scratches, Twister‚Äôs joy is contagious. He‚Äôs great with other dogs and gentle with little kids, making him the perfect family companion. His playful energy is balanced by his loving, easygoing nature‚Äîhe just wants to be part of the fun and by your side. If you‚Äôre looking for a loyal, happy guy who can turn any day into an adventure, Twister is ready to dive right in.</t>
  </si>
  <si>
    <t>Lotus is a burst of joy and energy wrapped in a shiny brown coat! This young Staffordshire Terrier is playful, smart, and full of personality. She loves to run, explore, and show off her goofy side, turning every outing into an adventure. Beneath her energetic spirit is a sweet, loving pup who adores being around people and learning new things. Lotus is eager to please and would thrive with someone who‚Äôs ready to keep up with her fun, active lifestyle. Whether it‚Äôs a game of fetch, a walk in the sunshine, or some well-earned cuddle time, Lotus is always all in. If you‚Äôre looking for a loyal best friend who‚Äôll brighten every day, Lotus is your girl!</t>
  </si>
  <si>
    <t>Cheech [Foster Home]</t>
  </si>
  <si>
    <t>Cheech is a happy, playful pup who‚Äôs always ready for adventure! This tan-and-black Black Mouth Cur/Staffy mix is bursting with energy and joy. He loves walks, playtime, and exploring the world around him‚Äîhis tail never stops wagging when he‚Äôs out and about. Cheech‚Äôs friendly, social nature makes him a hit with everyone he meets, and his sweet personality shines through in everything he does. He‚Äôs the perfect mix of fun and affection, always ready for a game or a good cuddle after a busy day. If you‚Äôre looking for a loyal, energetic companion who‚Äôll keep you smiling and moving, Cheech is your guy!</t>
  </si>
  <si>
    <t>Claudia [Foster To Adopt]</t>
  </si>
  <si>
    <t>Claudia is as beautiful as she is sweet‚Äîa playful, puppy-hearted girl who‚Äôs full of love! This white-and-tan Pittie/Lab mix is gentle, cuddly, and always ready to brighten your day. She adores playtime, whether it‚Äôs romping around the yard or chasing her favorite toy, but she‚Äôs just as happy curling up close for snuggles. Claudia has that irresistible mix of youthful energy and soft affection that makes her the perfect companion for both fun adventures and cozy nights in. If you‚Äôre looking for a loving, playful pup who brings joy wherever she goes, Claudia is ready to steal your heart.</t>
  </si>
  <si>
    <t>Rooster [Foster Home]</t>
  </si>
  <si>
    <t>Shells is the sweetest girl and an absolute gem! This tan Staffordshire mix is thriving in her Charleston foster home, soaking up all the love and comfort she deserves. Gentle, mellow, and endlessly cuddly, Shells is the kind of dog who makes every day feel a little softer. She loves quiet moments, cozy naps, and being close to her people‚Äîshe‚Äôs all about simple joys and warm hearts. Her foster family can‚Äôt stop raving about how easy and loving she is. If you‚Äôre looking for a gentle companion who‚Äôll fit right into your home and your heart, Shells is ready to bring her calm, sweet spirit to you.</t>
  </si>
  <si>
    <t>Fufu [Foster To Adopt]</t>
  </si>
  <si>
    <t>Gomez [Foster Home]</t>
  </si>
  <si>
    <t>Java [Foster To Adopt]</t>
  </si>
  <si>
    <t>farm-type animal</t>
  </si>
  <si>
    <t>Pig (Potbellied)</t>
  </si>
  <si>
    <t>Medium</t>
  </si>
  <si>
    <t>https://pet-uploads.adoptapet.com/2/5/1/1264038416.jpg</t>
  </si>
  <si>
    <t>https://pet-uploads.adoptapet.com/2/8/6/1264038436.jpg</t>
  </si>
  <si>
    <t>Angelica</t>
  </si>
  <si>
    <t>Angelica is beautiful and kind. She is getting used to humans and is very food motivated.</t>
  </si>
  <si>
    <t>https://pet-uploads.adoptapet.com/8/0/8/1264036580.jpg</t>
  </si>
  <si>
    <t>https://pet-uploads.adoptapet.com/0/4/8/1264036589.jpg</t>
  </si>
  <si>
    <t>Eliza came to us through a hoarding case. She is a sweet natured girl who is very food motivated.</t>
  </si>
  <si>
    <t>https://pet-uploads.adoptapet.com/8/0/e/1264030822.jpg</t>
  </si>
  <si>
    <t>https://pet-uploads.adoptapet.com/7/e/c/1264030831.jpg</t>
  </si>
  <si>
    <t>Hamilton</t>
  </si>
  <si>
    <t>If you have ever wanted a pet pig who really enjoyed being with people, Hamilton is your GUY! This boy is always the first to the gate. He loves to have his butt scratched and is very expressive.</t>
  </si>
  <si>
    <t>https://pet-uploads.adoptapet.com/5/c/d/1264035819.jpg</t>
  </si>
  <si>
    <t>https://pet-uploads.adoptapet.com/7/7/2/1264035830.jpg</t>
  </si>
  <si>
    <t>King George came to us through a hoarding case. He is a sweet piggy who can be a little shy but loves to eat treats from your hand.</t>
  </si>
  <si>
    <t>https://pet-uploads.adoptapet.com/8/b/9/1264031772.jpg</t>
  </si>
  <si>
    <t>https://pet-uploads.adoptapet.com/2/4/9/1264031781.jpg</t>
  </si>
  <si>
    <t>https://pet-uploads.adoptapet.com/4/6/6/1264031787.jpg</t>
  </si>
  <si>
    <t>Thomas Jeferson</t>
  </si>
  <si>
    <t>https://pet-uploads.adoptapet.com/1/5/7/1264043984.jpg</t>
  </si>
  <si>
    <t>https://pet-uploads.adoptapet.com/5/3/9/1264043993.jpg</t>
  </si>
  <si>
    <t>2y 26d</t>
  </si>
  <si>
    <t xml:space="preserve">  Cat Adoption</t>
  </si>
  <si>
    <t>Avg. LOS: 106</t>
  </si>
  <si>
    <t>2m 30d</t>
  </si>
  <si>
    <t>Orange/</t>
  </si>
  <si>
    <t>Tuxedo/</t>
  </si>
  <si>
    <t>3.50 pound</t>
  </si>
  <si>
    <t>6m 30d</t>
  </si>
  <si>
    <t>5.70 pound</t>
  </si>
  <si>
    <t>Tabby/</t>
  </si>
  <si>
    <t>6.30 pound</t>
  </si>
  <si>
    <t>2.50 pound</t>
  </si>
  <si>
    <t>6m 10d</t>
  </si>
  <si>
    <t>1.00 pound</t>
  </si>
  <si>
    <t>13.00 ounce</t>
  </si>
  <si>
    <t>6.10 pound</t>
  </si>
  <si>
    <t>2m 22d</t>
  </si>
  <si>
    <t>Black/Orange/White</t>
  </si>
  <si>
    <t>Calico/</t>
  </si>
  <si>
    <t>2.11 pound</t>
  </si>
  <si>
    <t>Brown/Grey</t>
  </si>
  <si>
    <t>1.13 pound</t>
  </si>
  <si>
    <t>Grey/Orange/White</t>
  </si>
  <si>
    <t>2.12 pound</t>
  </si>
  <si>
    <t>Grey/White</t>
  </si>
  <si>
    <t>Seized/Stray</t>
  </si>
  <si>
    <t>7.11 pound</t>
  </si>
  <si>
    <t>6m 7d</t>
  </si>
  <si>
    <t>White/Black/Orange</t>
  </si>
  <si>
    <t>4.12 pound</t>
  </si>
  <si>
    <t xml:space="preserve">  Cat Intake</t>
  </si>
  <si>
    <t>Avg. LOS: 23</t>
  </si>
  <si>
    <t>Brown/Orange</t>
  </si>
  <si>
    <t>Tortoiseshell/</t>
  </si>
  <si>
    <t>2.80 pound</t>
  </si>
  <si>
    <t>Grey/Black</t>
  </si>
  <si>
    <t>6.70 pound</t>
  </si>
  <si>
    <t>3m 4d</t>
  </si>
  <si>
    <t>11.10 pound</t>
  </si>
  <si>
    <t>5.00 pound</t>
  </si>
  <si>
    <t>10.70 pound</t>
  </si>
  <si>
    <t>10.00 pound</t>
  </si>
  <si>
    <t>1.54 pound</t>
  </si>
  <si>
    <t>9.44 pound</t>
  </si>
  <si>
    <t>Orange/White</t>
  </si>
  <si>
    <t>5m 11d</t>
  </si>
  <si>
    <t>4.34 pound</t>
  </si>
  <si>
    <t>6.11 pound</t>
  </si>
  <si>
    <t>2m 12d</t>
  </si>
  <si>
    <t>2.54 pound</t>
  </si>
  <si>
    <t>1.85 pound</t>
  </si>
  <si>
    <t xml:space="preserve">  Catio</t>
  </si>
  <si>
    <t>6.80 pound</t>
  </si>
  <si>
    <t>9.75 pound</t>
  </si>
  <si>
    <t>5.62 pound</t>
  </si>
  <si>
    <t>9.00 pound</t>
  </si>
  <si>
    <t>Black/Grey</t>
  </si>
  <si>
    <t>Stray/Trapped</t>
  </si>
  <si>
    <t>9.80 pound</t>
  </si>
  <si>
    <t>1.10 pound</t>
  </si>
  <si>
    <t>White/Grey</t>
  </si>
  <si>
    <t>3.90 pound</t>
  </si>
  <si>
    <t>4.15 pound</t>
  </si>
  <si>
    <t>8.00 pound</t>
  </si>
  <si>
    <t>1y 11d</t>
  </si>
  <si>
    <t xml:space="preserve">  FoCCAS House</t>
  </si>
  <si>
    <t>8.70 pound</t>
  </si>
  <si>
    <t>White/Orange</t>
  </si>
  <si>
    <t>7.50 pound</t>
  </si>
  <si>
    <t>1y 13d</t>
  </si>
  <si>
    <t>Grey/Brown</t>
  </si>
  <si>
    <t>54.00 pound</t>
  </si>
  <si>
    <t>6.00 pound</t>
  </si>
  <si>
    <t>6.60 pound</t>
  </si>
  <si>
    <t>7m 6d</t>
  </si>
  <si>
    <t>7.12 pound</t>
  </si>
  <si>
    <t>10.30 pound</t>
  </si>
  <si>
    <t>7.40 pound</t>
  </si>
  <si>
    <t>3m 30d</t>
  </si>
  <si>
    <t>7.00 ounce</t>
  </si>
  <si>
    <t>1.14 pound</t>
  </si>
  <si>
    <t>3.13 pound</t>
  </si>
  <si>
    <t>Black/Orange</t>
  </si>
  <si>
    <t>1.90 pound</t>
  </si>
  <si>
    <t>Black/White/Orange</t>
  </si>
  <si>
    <t>13.40 ounce</t>
  </si>
  <si>
    <t>14.00 ounce</t>
  </si>
  <si>
    <t>2.49 pound</t>
  </si>
  <si>
    <t>2.25 pound</t>
  </si>
  <si>
    <t>2.07 pound</t>
  </si>
  <si>
    <t>1.12 pound</t>
  </si>
  <si>
    <t>2m 2d</t>
  </si>
  <si>
    <t>1.30 pound</t>
  </si>
  <si>
    <t>2m 8d</t>
  </si>
  <si>
    <t>1.52 pound</t>
  </si>
  <si>
    <t>1.61 pound</t>
  </si>
  <si>
    <t>1.96 pound</t>
  </si>
  <si>
    <t>18.20 pound</t>
  </si>
  <si>
    <t>12.20 pound</t>
  </si>
  <si>
    <t>1.60 pound</t>
  </si>
  <si>
    <t>1m 0d</t>
  </si>
  <si>
    <t>9.50 ounce</t>
  </si>
  <si>
    <t>6.70 ounce</t>
  </si>
  <si>
    <t>4m 9d</t>
  </si>
  <si>
    <t>0.13 ounce</t>
  </si>
  <si>
    <t>3m 10d</t>
  </si>
  <si>
    <t>1.70 pound</t>
  </si>
  <si>
    <t>4m 12d</t>
  </si>
  <si>
    <t>Black/Cream</t>
  </si>
  <si>
    <t>2m 16d</t>
  </si>
  <si>
    <t>4m 16d</t>
  </si>
  <si>
    <t>1.48 pound</t>
  </si>
  <si>
    <t>2m 28d</t>
  </si>
  <si>
    <t>2m 9d</t>
  </si>
  <si>
    <t>1.74 pound</t>
  </si>
  <si>
    <t>1m 14d</t>
  </si>
  <si>
    <t>5.20 pound</t>
  </si>
  <si>
    <t xml:space="preserve">  Medical Cat Cages</t>
  </si>
  <si>
    <t>15.00 ounce</t>
  </si>
  <si>
    <t>7.30 pound</t>
  </si>
  <si>
    <t>5m 0d</t>
  </si>
  <si>
    <t>Seized/Abandoned in Home</t>
  </si>
  <si>
    <t>5.60 pound</t>
  </si>
  <si>
    <t>9.70 pound</t>
  </si>
  <si>
    <t>Stray/Born in Care</t>
  </si>
  <si>
    <t>7.14 pound</t>
  </si>
  <si>
    <t>Seized/Inadequate food / water</t>
  </si>
  <si>
    <t>41.00 pound</t>
  </si>
  <si>
    <t>2y 13d</t>
  </si>
  <si>
    <t>2m 26d</t>
  </si>
  <si>
    <t>17.40 pound</t>
  </si>
  <si>
    <t>22.40 pound</t>
  </si>
  <si>
    <t>46.60 pound</t>
  </si>
  <si>
    <t>13.60 pound</t>
  </si>
  <si>
    <t>Tan/</t>
  </si>
  <si>
    <t>25.10 pound</t>
  </si>
  <si>
    <t>12.00 pound</t>
  </si>
  <si>
    <t>Brown/Brindle</t>
  </si>
  <si>
    <t>21.60 pound</t>
  </si>
  <si>
    <t xml:space="preserve">  New building 1</t>
  </si>
  <si>
    <t>1.39 pound</t>
  </si>
  <si>
    <t>1m 24d</t>
  </si>
  <si>
    <t>2.14 pound</t>
  </si>
  <si>
    <t>2.29 pound</t>
  </si>
  <si>
    <t>2.27 pound</t>
  </si>
  <si>
    <t>2.43 pound</t>
  </si>
  <si>
    <t>1y 5d</t>
  </si>
  <si>
    <t xml:space="preserve">  New building 2</t>
  </si>
  <si>
    <t>5.40 pound</t>
  </si>
  <si>
    <t>5.80 pound</t>
  </si>
  <si>
    <t>3m 16d</t>
  </si>
  <si>
    <t>2.90 pound</t>
  </si>
  <si>
    <t>2y 11d</t>
  </si>
  <si>
    <t>3y 4d</t>
  </si>
  <si>
    <t>8.90 pound</t>
  </si>
  <si>
    <t>1m 29d</t>
  </si>
  <si>
    <t>3.00 pound</t>
  </si>
  <si>
    <t xml:space="preserve">  PetSmart</t>
  </si>
  <si>
    <t>77.00 pound</t>
  </si>
  <si>
    <t>Rust/White</t>
  </si>
  <si>
    <t>22.50 pound</t>
  </si>
  <si>
    <t>19.60 pound</t>
  </si>
  <si>
    <t>22.00 pound</t>
  </si>
  <si>
    <t xml:space="preserve">  Stable area</t>
  </si>
  <si>
    <t>Livestock</t>
  </si>
  <si>
    <t>Black/Black</t>
  </si>
  <si>
    <t>68.00 pound</t>
  </si>
  <si>
    <t xml:space="preserve">  Temporary holding</t>
  </si>
  <si>
    <t>Avg. LOS: 0</t>
  </si>
  <si>
    <t>19.40 pound</t>
  </si>
  <si>
    <t>Adopted</t>
  </si>
  <si>
    <t>New Add?</t>
  </si>
  <si>
    <t>Adopted - pre bio</t>
  </si>
  <si>
    <t>Transported - pre bio</t>
  </si>
  <si>
    <t>Dingo is a sweet, gentle boy who’s great with both kids and other dogs! This handsome tan-and-white Hound/American Eskimo mix is thriving in his foster home and showing just how loving and easygoing he can be. Dingo enjoys calm walks, playtime with friends, and relaxing by your side when the day winds down. He’s friendly, affectionate, and has a soft spot for gentle attention—always happy to be part of the family fun. With his kind eyes and loyal heart, Dingo is ready to bring warmth, companionship, and plenty of love to his forever home.</t>
  </si>
  <si>
    <t>Deeno is a lovable goofball with a heart of gold! This tan Weimaraner/Lab mix is curious, playful, and full of personality. He loves exploring, playing with his toys, and showing off his silly side—his antics are guaranteed to make you smile. Deeno is great with kids and other dogs, making him an ideal fit for an active, loving family. He’s as sweet as he is funny, always eager to join in on the fun or cuddle up after a day of adventure. If you’re looking for a cheerful, loyal companion who brings laughter and love wherever he goes, Deeno is your guy!</t>
  </si>
  <si>
    <t>Fufu is a sweet, affectionate girl who’s equal parts gentle and playful! This beautiful tricolor Treeing Walker Coonhound/Foxhound mix loves everyone she meets—kids, dogs, and all her human friends alike. She’s cuddly, loyal, and always ready to make you smile with her silly, endearing personality. Fufu enjoys nice walks (she’s great on the leash!) and loves spending time outdoors, but she’s just as happy curling up beside you for snuggles. With her soft eyes, loving heart, and friendly spirit, Fufu is the perfect mix of fun and affection. If you’re looking for a loyal companion who’ll fill your days with love and laughter, Fufu is your girl.</t>
  </si>
  <si>
    <t>Hershey is as sweet as his name! This young chocolate Lab/Pointer mix is a lovable goof who just wants to love and be loved. With his warm eyes and big heart, Hershey wins everyone over—kids, dogs, and adults alike. He’s affectionate, friendly, and always ready for cuddles or playtime. Whether he’s chasing a ball, going for a walk, or curling up for snuggles, Hershey brings joy to every moment. He’s the perfect mix of playful energy and gentle affection, making him an ideal family companion. If you’re looking for a loyal, loving pup who will melt your heart every day, Hershey is your guy!</t>
  </si>
  <si>
    <t>Rocky is a gentle sweetheart with a soft soul and a big heart. This handsome brindle-and-white Pittie/Bulldog mix can be a little shy at first, but once he feels comfortable, his affectionate and loving nature shines through. Rocky is wonderful with kids and other dogs, making him a perfect family companion. He has a calm, mellow energy and enjoys simple pleasures—gentle pets, cozy naps, and quiet moments with his people. Once he trusts you, he’ll shower you with loyalty and love. If you’re looking for a kind, tender-hearted dog who just needs a little patience to blossom, Rocky will be your most devoted friend.</t>
  </si>
  <si>
    <t>https://pet-uploads.adoptapet.com/e/2/6/1266116283.jpg</t>
  </si>
  <si>
    <t>https://pet-uploads.adoptapet.com/c/1/6/1266116397.jpg</t>
  </si>
  <si>
    <t>https://pet-uploads.adoptapet.com/2/3/3/1266116409.jpg</t>
  </si>
  <si>
    <t>https://pet-uploads.adoptapet.com/2/9/3/1266116667.jpg</t>
  </si>
  <si>
    <t>MiMir is a 3.5-year-old, 55-pound bundle of love who‚Äôs ready to find his forever family! This handsome guy is friendly, affectionate, and always up for a good time ‚Äî whether that‚Äôs chasing his favorite toys, going for a car ride, or soaking up the sunshine outside.    MiMir adores people, kids, and other dogs, and he‚Äôs happiest when surrounded by friends (two-legged or four-legged!). He‚Äôs house-broken, crate trained, great on a leash, and already knows how to sit like a pro.    MiMir is up to date on all his shots and currently finishing treatment for heartworms. His foster family says he‚Äôs doing great and is expected to make a full recovery soon. He‚Äôs also on regular flea, tick, and heartworm prevention.    If you‚Äôre looking for a loyal companion with a big heart and an even bigger smile, MiMir is your guy. He‚Äôs ready to bring joy, laughter, and love into his new home ‚Äî could that be yours? üíõ</t>
  </si>
  <si>
    <t>https://pet-uploads.adoptapet.com/3/9/d/1265577617.jpg</t>
  </si>
  <si>
    <t>https://pet-uploads.adoptapet.com/7/9/8/1265577602.jpg</t>
  </si>
  <si>
    <t>Sebastian [Foster Home]</t>
  </si>
  <si>
    <t>https://pet-uploads.adoptapet.com/3/a/4/1266161589.jpg</t>
  </si>
  <si>
    <t>https://pet-uploads.adoptapet.com/a/b/0/1267416271.jpg</t>
  </si>
  <si>
    <t>https://pet-uploads.adoptapet.com/9/3/8/1266117843.jpg</t>
  </si>
  <si>
    <t>https://pet-uploads.adoptapet.com/7/f/1/1267416277.jpg</t>
  </si>
  <si>
    <t>Goose [Foster Home]</t>
  </si>
  <si>
    <t>https://pet-uploads.adoptapet.com/5/5/b/1267415914.jpg</t>
  </si>
  <si>
    <t>https://pet-uploads.adoptapet.com/e/6/9/1267416040.jpg</t>
  </si>
  <si>
    <t>https://pet-uploads.adoptapet.com/f/7/3/1265576465.jpg</t>
  </si>
  <si>
    <t>https://pet-uploads.adoptapet.com/1/3/2/1266117529.jpg</t>
  </si>
  <si>
    <t>Ava Grace [Foster To Adopt]</t>
  </si>
  <si>
    <t>Dingo is a sweet, gentle boy who‚Äôs great with both kids and other dogs! This handsome tan-and-white Hound/American Eskimo mix is thriving in his foster home and showing just how loving and easygoing he can be. Dingo enjoys calm walks, playtime with friends, and relaxing by your side when the day winds down. He‚Äôs friendly, affectionate, and has a soft spot for gentle attention‚Äîalways happy to be part of the family fun. With his kind eyes and loyal heart, Dingo is ready to bring warmth, companionship, and plenty of love to his forever home.</t>
  </si>
  <si>
    <t>Emmett [Foster Home]</t>
  </si>
  <si>
    <t>https://pet-uploads.adoptapet.com/b/e/9/1266160963.jpg</t>
  </si>
  <si>
    <t>https://pet-uploads.adoptapet.com/c/9/0/1266161086.jpg</t>
  </si>
  <si>
    <t>https://pet-uploads.adoptapet.com/c/6/5/1266161092.jpg</t>
  </si>
  <si>
    <t>https://pet-uploads.adoptapet.com/6/e/0/1266118226.jpg</t>
  </si>
  <si>
    <t>https://pet-uploads.adoptapet.com/6/b/8/1266118232.jpg</t>
  </si>
  <si>
    <t>https://pet-uploads.adoptapet.com/0/a/d/1266118238.jpg</t>
  </si>
  <si>
    <t>Deeno is a lovable goofball with a heart of gold! This tan Weimaraner/Lab mix is curious, playful, and full of personality. He loves exploring, playing with his toys, and showing off his silly side‚Äîhis antics are guaranteed to make you smile. Deeno is great with kids and other dogs, making him an ideal fit for an active, loving family. He‚Äôs as sweet as he is funny, always eager to join in on the fun or cuddle up after a day of adventure. If you‚Äôre looking for a cheerful, loyal companion who brings laughter and love wherever he goes, Deeno is your guy!</t>
  </si>
  <si>
    <t>Hershey [Foster to Adopt]</t>
  </si>
  <si>
    <t>Hershey is as sweet as his name! This young chocolate Lab/Pointer mix is a lovable goof who just wants to love and be loved. With his warm eyes and big heart, Hershey wins everyone over‚Äîkids, dogs, and adults alike. He‚Äôs affectionate, friendly, and always ready for cuddles or playtime. Whether he‚Äôs chasing a ball, going for a walk, or curling up for snuggles, Hershey brings joy to every moment. He‚Äôs the perfect mix of playful energy and gentle affection, making him an ideal family companion. If you‚Äôre looking for a loyal, loving pup who will melt your heart every day, Hershey is your guy!</t>
  </si>
  <si>
    <t>Rocky is a gentle sweetheart with a soft soul and a big heart. This handsome brindle-and-white Pittie/Bulldog mix can be a little shy at first, but once he feels comfortable, his affectionate and loving nature shines through. Rocky is wonderful with kids and other dogs, making him a perfect family companion. He has a calm, mellow energy and enjoys simple pleasures‚Äîgentle pets, cozy naps, and quiet moments with his people. Once he trusts you, he‚Äôll shower you with loyalty and love. If you‚Äôre looking for a kind, tender-hearted dog who just needs a little patience to blossom, Rocky will be your most devoted friend.</t>
  </si>
  <si>
    <t>Cap [Foster Home]</t>
  </si>
  <si>
    <t>https://pet-uploads.adoptapet.com/d/5/e/1265568415.jpg</t>
  </si>
  <si>
    <t>https://pet-uploads.adoptapet.com/1/9/1/1265568425.jpg</t>
  </si>
  <si>
    <t>https://pet-uploads.adoptapet.com/9/c/c/1265568437.jpg</t>
  </si>
  <si>
    <t>https://pet-uploads.adoptapet.com/5/f/1/1265568625.jpg</t>
  </si>
  <si>
    <t>Ranger [Foster Home]</t>
  </si>
  <si>
    <t>https://pet-uploads.adoptapet.com/7/2/7/1265567759.jpg</t>
  </si>
  <si>
    <t>https://pet-uploads.adoptapet.com/a/7/6/1265567768.jpg</t>
  </si>
  <si>
    <t>https://pet-uploads.adoptapet.com/f/7/c/1265567774.jpg</t>
  </si>
  <si>
    <t>https://pet-uploads.adoptapet.com/6/4/c/1265567915.jpg</t>
  </si>
  <si>
    <t>Shadow [Foster Home]</t>
  </si>
  <si>
    <t>https://pet-uploads.adoptapet.com/3/b/a/1265568987.jpg</t>
  </si>
  <si>
    <t>https://pet-uploads.adoptapet.com/7/d/e/1265568996.jpg</t>
  </si>
  <si>
    <t>https://pet-uploads.adoptapet.com/5/e/9/1265569002.jpg</t>
  </si>
  <si>
    <t>https://pet-uploads.adoptapet.com/7/6/b/1265569008.jpg</t>
  </si>
  <si>
    <t>Zuko [Foster Home]</t>
  </si>
  <si>
    <t>https://pet-uploads.adoptapet.com/a/0/b/1265575995.jpg</t>
  </si>
  <si>
    <t>https://pet-uploads.adoptapet.com/2/e/9/1265576004.jpg</t>
  </si>
  <si>
    <t>https://pet-uploads.adoptapet.com/a/0/e/1265576010.jpg</t>
  </si>
  <si>
    <t>https://pet-uploads.adoptapet.com/e/d/5/1265576016.jpg</t>
  </si>
  <si>
    <t>Bucky [Foster Home]</t>
  </si>
  <si>
    <t>https://pet-uploads.adoptapet.com/f/0/8/1267522499.jpg</t>
  </si>
  <si>
    <t>https://pet-uploads.adoptapet.com/2/1/0/1267522516.jpg</t>
  </si>
  <si>
    <t>https://pet-uploads.adoptapet.com/f/e/f/1267522558.jpg</t>
  </si>
  <si>
    <t>https://pet-uploads.adoptapet.com/4/6/0/1267577025.jpg</t>
  </si>
  <si>
    <t>Porky [Foster Home]</t>
  </si>
  <si>
    <t>White - with Brown or Chocolate</t>
  </si>
  <si>
    <t>https://pet-uploads.adoptapet.com/8/f/b/1267521772.jpg</t>
  </si>
  <si>
    <t>https://pet-uploads.adoptapet.com/4/3/c/1267521811.jpg</t>
  </si>
  <si>
    <t>https://pet-uploads.adoptapet.com/b/3/4/1267521817.jpg</t>
  </si>
  <si>
    <t>https://pet-uploads.adoptapet.com/a/c/b/1267521823.jpg</t>
  </si>
  <si>
    <t>Select A0059805982</t>
  </si>
  <si>
    <t>A0059805982</t>
  </si>
  <si>
    <t>Select A0059805967</t>
  </si>
  <si>
    <t>A0059805967</t>
  </si>
  <si>
    <t>Select A0059804656</t>
  </si>
  <si>
    <t>A0059804656</t>
  </si>
  <si>
    <t>0y 1m 4d</t>
  </si>
  <si>
    <t>Select A0059804256</t>
  </si>
  <si>
    <t>A0059804256</t>
  </si>
  <si>
    <t>Cat Overflow</t>
  </si>
  <si>
    <t>Select A0059804251</t>
  </si>
  <si>
    <t>A0059804251</t>
  </si>
  <si>
    <t>Select A0059804233</t>
  </si>
  <si>
    <t>A0059804233</t>
  </si>
  <si>
    <t>1y 0m 0d</t>
  </si>
  <si>
    <t>Select A0059804219</t>
  </si>
  <si>
    <t>A0059804219</t>
  </si>
  <si>
    <t>Select A0059804207</t>
  </si>
  <si>
    <t>A0059804207</t>
  </si>
  <si>
    <t>Select A0059803942</t>
  </si>
  <si>
    <t>A0059803942</t>
  </si>
  <si>
    <t>Select A0059803934</t>
  </si>
  <si>
    <t>A0059803934</t>
  </si>
  <si>
    <t>Select A0059803378</t>
  </si>
  <si>
    <t>A0059803378</t>
  </si>
  <si>
    <t>Select A0059802845</t>
  </si>
  <si>
    <t>A0059802845</t>
  </si>
  <si>
    <t>3y 0m 0d</t>
  </si>
  <si>
    <t>Select A0059801640</t>
  </si>
  <si>
    <t>A0059801640</t>
  </si>
  <si>
    <t>Fergie</t>
  </si>
  <si>
    <t>0y 1m 11d</t>
  </si>
  <si>
    <t>Select A0059795768</t>
  </si>
  <si>
    <t>A0059795768</t>
  </si>
  <si>
    <t>4y 0m 2d</t>
  </si>
  <si>
    <t>Select A0059795551</t>
  </si>
  <si>
    <t>A0059795551</t>
  </si>
  <si>
    <t>0y 1m 28d</t>
  </si>
  <si>
    <t>Select A0059795545</t>
  </si>
  <si>
    <t>A0059795545</t>
  </si>
  <si>
    <t>Select A0059795535</t>
  </si>
  <si>
    <t>A0059795535</t>
  </si>
  <si>
    <t>Select A0059795524</t>
  </si>
  <si>
    <t>A0059795524</t>
  </si>
  <si>
    <t>2y 0m 2d</t>
  </si>
  <si>
    <t>Select A0059792770</t>
  </si>
  <si>
    <t>A0059792770</t>
  </si>
  <si>
    <t>Select A0059792053</t>
  </si>
  <si>
    <t>A0059792053</t>
  </si>
  <si>
    <t>Sweet Pea</t>
  </si>
  <si>
    <t>0y 6m 3d</t>
  </si>
  <si>
    <t>Select A0059792028</t>
  </si>
  <si>
    <t>A0059792028</t>
  </si>
  <si>
    <t>Braxton</t>
  </si>
  <si>
    <t>Select A0059792007</t>
  </si>
  <si>
    <t>A0059792007</t>
  </si>
  <si>
    <t>Banjo</t>
  </si>
  <si>
    <t>Select A0059791704</t>
  </si>
  <si>
    <t>A0059791704</t>
  </si>
  <si>
    <t>Blond</t>
  </si>
  <si>
    <t>Select A0059789753</t>
  </si>
  <si>
    <t>A0059789753</t>
  </si>
  <si>
    <t>Select A0059782653</t>
  </si>
  <si>
    <t>A0059782653</t>
  </si>
  <si>
    <t>2y 0m 4d</t>
  </si>
  <si>
    <t>Select A0059782646</t>
  </si>
  <si>
    <t>A0059782646</t>
  </si>
  <si>
    <t>Select A0059782637</t>
  </si>
  <si>
    <t>A0059782637</t>
  </si>
  <si>
    <t>Select A0059782629</t>
  </si>
  <si>
    <t>A0059782629</t>
  </si>
  <si>
    <t>Select A0059782621</t>
  </si>
  <si>
    <t>A0059782621</t>
  </si>
  <si>
    <t>Select A0059782611</t>
  </si>
  <si>
    <t>A0059782611</t>
  </si>
  <si>
    <t>Select A0059778172</t>
  </si>
  <si>
    <t>A0059778172</t>
  </si>
  <si>
    <t>Great Dane</t>
  </si>
  <si>
    <t>Tux (M. Amezquita)</t>
  </si>
  <si>
    <t>Select A0059777885</t>
  </si>
  <si>
    <t>A0059777885</t>
  </si>
  <si>
    <t>Select A0059776986</t>
  </si>
  <si>
    <t>A0059776986</t>
  </si>
  <si>
    <t>Select A0059776962</t>
  </si>
  <si>
    <t>A0059776962</t>
  </si>
  <si>
    <t>Select A0059776952</t>
  </si>
  <si>
    <t>A0059776952</t>
  </si>
  <si>
    <t>Select A0059776938</t>
  </si>
  <si>
    <t>A0059776938</t>
  </si>
  <si>
    <t>Select A0059767688</t>
  </si>
  <si>
    <t>A0059767688</t>
  </si>
  <si>
    <t>(L. Demers)</t>
  </si>
  <si>
    <t>0y 4m 7d</t>
  </si>
  <si>
    <t>Select A0059766387</t>
  </si>
  <si>
    <t>A0059766387</t>
  </si>
  <si>
    <t>Select A0059766372</t>
  </si>
  <si>
    <t>A0059766372</t>
  </si>
  <si>
    <t>Select A0059766361</t>
  </si>
  <si>
    <t>A0059766361</t>
  </si>
  <si>
    <t>Select A0059766351</t>
  </si>
  <si>
    <t>A0059766351</t>
  </si>
  <si>
    <t>Select A0059765501</t>
  </si>
  <si>
    <t>A0059765501</t>
  </si>
  <si>
    <t>Willa</t>
  </si>
  <si>
    <t>3y 0m 4d</t>
  </si>
  <si>
    <t>Select A0059765370</t>
  </si>
  <si>
    <t>A0059765370</t>
  </si>
  <si>
    <t>Hall 1 pop-up</t>
  </si>
  <si>
    <t>Select A0059764077</t>
  </si>
  <si>
    <t>A0059764077</t>
  </si>
  <si>
    <t>1y 0m 7d</t>
  </si>
  <si>
    <t>Select A0059764035</t>
  </si>
  <si>
    <t>A0059764035</t>
  </si>
  <si>
    <t>Select A0059763931</t>
  </si>
  <si>
    <t>A0059763931</t>
  </si>
  <si>
    <t>American Blue Heeler</t>
  </si>
  <si>
    <t>Violet</t>
  </si>
  <si>
    <t>Select A0059763925</t>
  </si>
  <si>
    <t>A0059763925</t>
  </si>
  <si>
    <t>Dash</t>
  </si>
  <si>
    <t>Select A0059760928</t>
  </si>
  <si>
    <t>A0059760928</t>
  </si>
  <si>
    <t>Select A0059760886</t>
  </si>
  <si>
    <t>A0059760886</t>
  </si>
  <si>
    <t>8y 0m 8d</t>
  </si>
  <si>
    <t>Select A0059753389</t>
  </si>
  <si>
    <t>A0059753389</t>
  </si>
  <si>
    <t>1y 0m 10d</t>
  </si>
  <si>
    <t>Select A0059752708</t>
  </si>
  <si>
    <t>A0059752708</t>
  </si>
  <si>
    <t>0y 8m 10d</t>
  </si>
  <si>
    <t>Select A0059752700</t>
  </si>
  <si>
    <t>A0059752700</t>
  </si>
  <si>
    <t>Select A0059752688</t>
  </si>
  <si>
    <t>A0059752688</t>
  </si>
  <si>
    <t>Select A0059752676</t>
  </si>
  <si>
    <t>A0059752676</t>
  </si>
  <si>
    <t>Select A0059747103</t>
  </si>
  <si>
    <t>A0059747103</t>
  </si>
  <si>
    <t>Select A0059746936</t>
  </si>
  <si>
    <t>A0059746936</t>
  </si>
  <si>
    <t>Diablo</t>
  </si>
  <si>
    <t>5y 0m 3d</t>
  </si>
  <si>
    <t>Select A0059746887</t>
  </si>
  <si>
    <t>A0059746887</t>
  </si>
  <si>
    <t>Select A0059745986</t>
  </si>
  <si>
    <t>A0059745986</t>
  </si>
  <si>
    <t>Select A0059745973</t>
  </si>
  <si>
    <t>A0059745973</t>
  </si>
  <si>
    <t>Select A0059745890</t>
  </si>
  <si>
    <t>A0059745890</t>
  </si>
  <si>
    <t>Copper (R Orbach)</t>
  </si>
  <si>
    <t>Select A0059745878</t>
  </si>
  <si>
    <t>A0059745878</t>
  </si>
  <si>
    <t>Casper (R Orbach)</t>
  </si>
  <si>
    <t>Select A0059745793</t>
  </si>
  <si>
    <t>A0059745793</t>
  </si>
  <si>
    <t>Little Girl (B. Reed)</t>
  </si>
  <si>
    <t>3y 6m 9d</t>
  </si>
  <si>
    <t>Select A0059744571</t>
  </si>
  <si>
    <t>A0059744571</t>
  </si>
  <si>
    <t>Select A0059743608</t>
  </si>
  <si>
    <t>A0059743608</t>
  </si>
  <si>
    <t>Select A0059738673</t>
  </si>
  <si>
    <t>A0059738673</t>
  </si>
  <si>
    <t>Chili</t>
  </si>
  <si>
    <t>Select A0059736925</t>
  </si>
  <si>
    <t>A0059736925</t>
  </si>
  <si>
    <t>Luke</t>
  </si>
  <si>
    <t>0y 3m 12d</t>
  </si>
  <si>
    <t>Select A0059736922</t>
  </si>
  <si>
    <t>A0059736922</t>
  </si>
  <si>
    <t>Leia</t>
  </si>
  <si>
    <t>Select A0059736914</t>
  </si>
  <si>
    <t>A0059736914</t>
  </si>
  <si>
    <t>Han</t>
  </si>
  <si>
    <t>Select A0059736790</t>
  </si>
  <si>
    <t>A0059736790</t>
  </si>
  <si>
    <t>0y 7m 12d</t>
  </si>
  <si>
    <t>Select A0059733433</t>
  </si>
  <si>
    <t>A0059733433</t>
  </si>
  <si>
    <t>Select A0059733422</t>
  </si>
  <si>
    <t>A0059733422</t>
  </si>
  <si>
    <t>Alaskan Husky</t>
  </si>
  <si>
    <t>Select A0059732737</t>
  </si>
  <si>
    <t>A0059732737</t>
  </si>
  <si>
    <t>Ellen (D Szucs)</t>
  </si>
  <si>
    <t>941000031750183</t>
  </si>
  <si>
    <t>Select A0059732270</t>
  </si>
  <si>
    <t>A0059732270</t>
  </si>
  <si>
    <t>0y 1m 25d</t>
  </si>
  <si>
    <t>Select A0059732046</t>
  </si>
  <si>
    <t>A0059732046</t>
  </si>
  <si>
    <t>Rosco</t>
  </si>
  <si>
    <t>3y 6m 10d</t>
  </si>
  <si>
    <t>Select A0059731817</t>
  </si>
  <si>
    <t>A0059731817</t>
  </si>
  <si>
    <t>Pointer, German Shorthaired</t>
  </si>
  <si>
    <t>Chesney</t>
  </si>
  <si>
    <t>5y 0m 13d</t>
  </si>
  <si>
    <t>941000031749939</t>
  </si>
  <si>
    <t>Select A0059730795</t>
  </si>
  <si>
    <t>A0059730795</t>
  </si>
  <si>
    <t>Cage 3</t>
  </si>
  <si>
    <t>Select A0059729368</t>
  </si>
  <si>
    <t>A0059729368</t>
  </si>
  <si>
    <t>Select A0059723637</t>
  </si>
  <si>
    <t>0y 3m 14d</t>
  </si>
  <si>
    <t>941000031684175</t>
  </si>
  <si>
    <t>Select A0059723612</t>
  </si>
  <si>
    <t>941000031683664</t>
  </si>
  <si>
    <t>Select A0059716808</t>
  </si>
  <si>
    <t>1y 0m 16d</t>
  </si>
  <si>
    <t>Select A0059716801</t>
  </si>
  <si>
    <t>Select A0059716793</t>
  </si>
  <si>
    <t>Select A0059716786</t>
  </si>
  <si>
    <t>Select A0059711985</t>
  </si>
  <si>
    <t>Calliope</t>
  </si>
  <si>
    <t>Select A0059710502</t>
  </si>
  <si>
    <t>L.Demers</t>
  </si>
  <si>
    <t>Select A0059709922</t>
  </si>
  <si>
    <t>Select A0059705468</t>
  </si>
  <si>
    <t>Esther (K. Czupek)</t>
  </si>
  <si>
    <t>0y 9m 18d</t>
  </si>
  <si>
    <t>Select A0059704219</t>
  </si>
  <si>
    <t>0y 3m 9d</t>
  </si>
  <si>
    <t>Select A0059704203</t>
  </si>
  <si>
    <t>Select A0059704185</t>
  </si>
  <si>
    <t>Select A0059704096</t>
  </si>
  <si>
    <t>Bank 1 Cage 5</t>
  </si>
  <si>
    <t>Select A0059703667</t>
  </si>
  <si>
    <t>0y 2m 18d</t>
  </si>
  <si>
    <t>Select A0059703555</t>
  </si>
  <si>
    <t>1y 0m 18d</t>
  </si>
  <si>
    <t>Select A0059702144</t>
  </si>
  <si>
    <t>Azlan (D Brunell)</t>
  </si>
  <si>
    <t>Select A0059702132</t>
  </si>
  <si>
    <t>Kailua (D Brunell)</t>
  </si>
  <si>
    <t>Select A0059701314</t>
  </si>
  <si>
    <t>Gloria</t>
  </si>
  <si>
    <t>Select A0059701310</t>
  </si>
  <si>
    <t>Marty</t>
  </si>
  <si>
    <t>Select A0059701309</t>
  </si>
  <si>
    <t>Melman</t>
  </si>
  <si>
    <t>Select A0059701308</t>
  </si>
  <si>
    <t>Alex</t>
  </si>
  <si>
    <t>Select A0059693626</t>
  </si>
  <si>
    <t>Faline</t>
  </si>
  <si>
    <t>Pink</t>
  </si>
  <si>
    <t>Bank 3 Cage 4</t>
  </si>
  <si>
    <t>Select A0059693624</t>
  </si>
  <si>
    <t>Indigo</t>
  </si>
  <si>
    <t>0y 2m 6d</t>
  </si>
  <si>
    <t>Select A0059693621</t>
  </si>
  <si>
    <t>Rusty</t>
  </si>
  <si>
    <t>Select A0059693618</t>
  </si>
  <si>
    <t>Rose</t>
  </si>
  <si>
    <t>Select A0059693616</t>
  </si>
  <si>
    <t>Copper</t>
  </si>
  <si>
    <t>Select A0059693614</t>
  </si>
  <si>
    <t>Select A0059691348</t>
  </si>
  <si>
    <t>3y 0m 20d</t>
  </si>
  <si>
    <t>Select A0059691294</t>
  </si>
  <si>
    <t>0y 3m 20d</t>
  </si>
  <si>
    <t>Select A0059679767</t>
  </si>
  <si>
    <t>Select A0059668476</t>
  </si>
  <si>
    <t>Select A0059666954</t>
  </si>
  <si>
    <t>Liam (J Burt)</t>
  </si>
  <si>
    <t>Select A0059666941</t>
  </si>
  <si>
    <t>3y 0m 17d</t>
  </si>
  <si>
    <t>Select A0059660722</t>
  </si>
  <si>
    <t>Melissa (Barn Cat)</t>
  </si>
  <si>
    <t>0y 8m 25d</t>
  </si>
  <si>
    <t>Cage 4</t>
  </si>
  <si>
    <t>Select A0059660583</t>
  </si>
  <si>
    <t>Select A0059660560</t>
  </si>
  <si>
    <t>2y 0m 25d</t>
  </si>
  <si>
    <t>Select A0059656685</t>
  </si>
  <si>
    <t>1y 0m 25d</t>
  </si>
  <si>
    <t>Select A0059656662</t>
  </si>
  <si>
    <t>5y 0m 25d</t>
  </si>
  <si>
    <t>Select A0059654232</t>
  </si>
  <si>
    <t>Little Bit (S Dyer)</t>
  </si>
  <si>
    <t>4y 0m 26d</t>
  </si>
  <si>
    <t>941000028840881</t>
  </si>
  <si>
    <t>Select A0059654200</t>
  </si>
  <si>
    <t>0y 5m 26d</t>
  </si>
  <si>
    <t>Hall 2 Pop-up</t>
  </si>
  <si>
    <t>Select A0059654126</t>
  </si>
  <si>
    <t>941000031683741</t>
  </si>
  <si>
    <t>Select A0059652602</t>
  </si>
  <si>
    <t>4y 0m 25d</t>
  </si>
  <si>
    <t>Select A0059647649</t>
  </si>
  <si>
    <t>Ruby</t>
  </si>
  <si>
    <t>0y 3m 11d</t>
  </si>
  <si>
    <t>Select A0059647638</t>
  </si>
  <si>
    <t>Jasper</t>
  </si>
  <si>
    <t>Select A0059647627</t>
  </si>
  <si>
    <t>Sapphire (J Burt)</t>
  </si>
  <si>
    <t>Select A0059647617</t>
  </si>
  <si>
    <t>Select A0059647601</t>
  </si>
  <si>
    <t>Jett</t>
  </si>
  <si>
    <t>Select A0059647585</t>
  </si>
  <si>
    <t>Onyx</t>
  </si>
  <si>
    <t>Select A0059647574</t>
  </si>
  <si>
    <t>China (Barn Cat)</t>
  </si>
  <si>
    <t>1y 0m 27d</t>
  </si>
  <si>
    <t>Select A0059647559</t>
  </si>
  <si>
    <t>Camille (Barn Cat)</t>
  </si>
  <si>
    <t>Cage 7</t>
  </si>
  <si>
    <t>Select A0059646285</t>
  </si>
  <si>
    <t>Select A0059646267</t>
  </si>
  <si>
    <t>Select A0059646245</t>
  </si>
  <si>
    <t>Select A0059646238</t>
  </si>
  <si>
    <t>Select A0059644311</t>
  </si>
  <si>
    <t>Select A0059643124</t>
  </si>
  <si>
    <t>2y 0m 27d</t>
  </si>
  <si>
    <t>941000031683629</t>
  </si>
  <si>
    <t>Select A0059639055</t>
  </si>
  <si>
    <t>Select A0059639049</t>
  </si>
  <si>
    <t>Select A0059639035</t>
  </si>
  <si>
    <t>0y 8m 26d</t>
  </si>
  <si>
    <t>Select A0059638492</t>
  </si>
  <si>
    <t>3y 0m 27d</t>
  </si>
  <si>
    <t>Select A0059638482</t>
  </si>
  <si>
    <t>Select A0059636850</t>
  </si>
  <si>
    <t>Noah</t>
  </si>
  <si>
    <t>Select A0059636841</t>
  </si>
  <si>
    <t>Nora</t>
  </si>
  <si>
    <t>4y 0m 27d</t>
  </si>
  <si>
    <t>941000031683691</t>
  </si>
  <si>
    <t>Select A0059636183</t>
  </si>
  <si>
    <t>Select A0059632659</t>
  </si>
  <si>
    <t>Select A0059622660</t>
  </si>
  <si>
    <t>0y 2m 21d</t>
  </si>
  <si>
    <t>Select A0059622576</t>
  </si>
  <si>
    <t>7y 1m 0d</t>
  </si>
  <si>
    <t>941000031749756</t>
  </si>
  <si>
    <t>Select A0059620670</t>
  </si>
  <si>
    <t>1y 1m 0d</t>
  </si>
  <si>
    <t>Select A0059615841</t>
  </si>
  <si>
    <t>Select A0059615830</t>
  </si>
  <si>
    <t>Select A0059614471</t>
  </si>
  <si>
    <t>0y 2m 13d</t>
  </si>
  <si>
    <t>Select A0059614464</t>
  </si>
  <si>
    <t>Select A0059608793</t>
  </si>
  <si>
    <t>4y 1m 0d</t>
  </si>
  <si>
    <t>Select A0059607181</t>
  </si>
  <si>
    <t>2y 1m 2d</t>
  </si>
  <si>
    <t>Select A0059606920</t>
  </si>
  <si>
    <t>0y 5m 25d</t>
  </si>
  <si>
    <t>Select A0059598685</t>
  </si>
  <si>
    <t>4y 1m 3d</t>
  </si>
  <si>
    <t>Select A0059598047</t>
  </si>
  <si>
    <t>4y 1m 1d</t>
  </si>
  <si>
    <t>Select A0059592906</t>
  </si>
  <si>
    <t>Select A0059588552</t>
  </si>
  <si>
    <t>1y 1m 5d</t>
  </si>
  <si>
    <t>Select A0059588551</t>
  </si>
  <si>
    <t>2y 1m 3d</t>
  </si>
  <si>
    <t>Select A0059581347</t>
  </si>
  <si>
    <t>2y 1m 7d</t>
  </si>
  <si>
    <t>Select A0059578792</t>
  </si>
  <si>
    <t>Waldo (K. Albers)</t>
  </si>
  <si>
    <t>PAID 50%</t>
  </si>
  <si>
    <t>Select A0059578750</t>
  </si>
  <si>
    <t>Darla (K. Lopez)</t>
  </si>
  <si>
    <t>PAID IN FULL</t>
  </si>
  <si>
    <t>Select A0059578742</t>
  </si>
  <si>
    <t>Select A0059578738</t>
  </si>
  <si>
    <t>Select A0059578703</t>
  </si>
  <si>
    <t>Select A0059578687</t>
  </si>
  <si>
    <t>Select A0059578674</t>
  </si>
  <si>
    <t>Select A0059571918</t>
  </si>
  <si>
    <t>0y 8m 16d</t>
  </si>
  <si>
    <t>Select A0059565495</t>
  </si>
  <si>
    <t>Select A0059565478</t>
  </si>
  <si>
    <t>0y 4m 6d</t>
  </si>
  <si>
    <t>Select A0059565456</t>
  </si>
  <si>
    <t>Select A0059565351</t>
  </si>
  <si>
    <t>Select A0059565303</t>
  </si>
  <si>
    <t>Select A0059563722</t>
  </si>
  <si>
    <t>Select A0059563713</t>
  </si>
  <si>
    <t>Select A0059563711</t>
  </si>
  <si>
    <t>Select A0059563700</t>
  </si>
  <si>
    <t>Select A0059561541</t>
  </si>
  <si>
    <t>1y 1m 9d</t>
  </si>
  <si>
    <t>Select A0059555933</t>
  </si>
  <si>
    <t>Select A0059555922</t>
  </si>
  <si>
    <t>chunky</t>
  </si>
  <si>
    <t>941000031684125</t>
  </si>
  <si>
    <t>Bank 3 Cage 5</t>
  </si>
  <si>
    <t>Select A0059549368</t>
  </si>
  <si>
    <t>Select A0059548989</t>
  </si>
  <si>
    <t>Select A0059533915</t>
  </si>
  <si>
    <t>0y 9m 2d</t>
  </si>
  <si>
    <t>Select A0059533786</t>
  </si>
  <si>
    <t>6y 1m 13d</t>
  </si>
  <si>
    <t>Select A0059533784</t>
  </si>
  <si>
    <t>5y 1m 13d</t>
  </si>
  <si>
    <t>941000031747321</t>
  </si>
  <si>
    <t>Select A0059533783</t>
  </si>
  <si>
    <t>4y 1m 13d</t>
  </si>
  <si>
    <t>941000031683947</t>
  </si>
  <si>
    <t>Select A0059530178</t>
  </si>
  <si>
    <t>6y 0m 21d</t>
  </si>
  <si>
    <t>Select A0059530164</t>
  </si>
  <si>
    <t>Select A0059465919</t>
  </si>
  <si>
    <t>Select A0059462158</t>
  </si>
  <si>
    <t>5y 1m 15d</t>
  </si>
  <si>
    <t>Select A0059459081</t>
  </si>
  <si>
    <t>3y 1m 13d</t>
  </si>
  <si>
    <t>Select A0059458893</t>
  </si>
  <si>
    <t>Bank 2 Cage 3</t>
  </si>
  <si>
    <t>Select A0059456833</t>
  </si>
  <si>
    <t>3y 1m 18d</t>
  </si>
  <si>
    <t>Select A0059445995</t>
  </si>
  <si>
    <t>Deeno (J Smiley)</t>
  </si>
  <si>
    <t>4y 1m 21d</t>
  </si>
  <si>
    <t>Select A0059438661</t>
  </si>
  <si>
    <t>Select A0059438453</t>
  </si>
  <si>
    <t>Jessie (J Gregson)</t>
  </si>
  <si>
    <t>2y 1m 22d</t>
  </si>
  <si>
    <t>Select A0059438447</t>
  </si>
  <si>
    <t>1y 0m 23d</t>
  </si>
  <si>
    <t>Select A0059419683</t>
  </si>
  <si>
    <t>5y 1m 24d</t>
  </si>
  <si>
    <t>Select A0059409842</t>
  </si>
  <si>
    <t>0y 10m 26d</t>
  </si>
  <si>
    <t>Select A0059409833</t>
  </si>
  <si>
    <t>Select A0059409313</t>
  </si>
  <si>
    <t>Select A0059406803</t>
  </si>
  <si>
    <t>4y 1m 25d</t>
  </si>
  <si>
    <t>Select A0059398109</t>
  </si>
  <si>
    <t>0y 3m 17d</t>
  </si>
  <si>
    <t>Select A0059398093</t>
  </si>
  <si>
    <t>Select A0059395399</t>
  </si>
  <si>
    <t>1y 1m 29d</t>
  </si>
  <si>
    <t>Select A0059391437</t>
  </si>
  <si>
    <t>2y 1m 29d</t>
  </si>
  <si>
    <t>Select A0059387936</t>
  </si>
  <si>
    <t>0y 4m 30d</t>
  </si>
  <si>
    <t>Select A0059371437</t>
  </si>
  <si>
    <t>Select A0059366991</t>
  </si>
  <si>
    <t>Pixel (S. Brown)</t>
  </si>
  <si>
    <t>0y 3m 5d</t>
  </si>
  <si>
    <t>941000030976110</t>
  </si>
  <si>
    <t>Select A0059366988</t>
  </si>
  <si>
    <t>941000031684352</t>
  </si>
  <si>
    <t>Select A0059366979</t>
  </si>
  <si>
    <t>941000031684168</t>
  </si>
  <si>
    <t>Select A0059366978</t>
  </si>
  <si>
    <t>941000031684094</t>
  </si>
  <si>
    <t>Select A0059366976</t>
  </si>
  <si>
    <t>941000031684384</t>
  </si>
  <si>
    <t>Select A0059364488</t>
  </si>
  <si>
    <t>Select A0059364485</t>
  </si>
  <si>
    <t>Select A0059364482</t>
  </si>
  <si>
    <t>Stu</t>
  </si>
  <si>
    <t>Select A0059364446</t>
  </si>
  <si>
    <t>Select A0059364421</t>
  </si>
  <si>
    <t>3y 1m 16d</t>
  </si>
  <si>
    <t>Select A0059363522</t>
  </si>
  <si>
    <t>Select A0059363288</t>
  </si>
  <si>
    <t>Select A0059358304</t>
  </si>
  <si>
    <t>Jasmine</t>
  </si>
  <si>
    <t>0y 4m 26d</t>
  </si>
  <si>
    <t>941000013747357</t>
  </si>
  <si>
    <t>Select A0059358291</t>
  </si>
  <si>
    <t>Ali</t>
  </si>
  <si>
    <t>941000031684122</t>
  </si>
  <si>
    <t>Select A0059348409</t>
  </si>
  <si>
    <t>Select A0059348394</t>
  </si>
  <si>
    <t>Select A0059341621</t>
  </si>
  <si>
    <t>Select A0059341245</t>
  </si>
  <si>
    <t>Select A0059324409</t>
  </si>
  <si>
    <t>2y 2m 8d</t>
  </si>
  <si>
    <t>Select A0059324403</t>
  </si>
  <si>
    <t>Select A0059319390</t>
  </si>
  <si>
    <t>941000031683683</t>
  </si>
  <si>
    <t>Select A0059319379</t>
  </si>
  <si>
    <t>941000031683740</t>
  </si>
  <si>
    <t>Select A0059318502</t>
  </si>
  <si>
    <t>2y 2m 9d</t>
  </si>
  <si>
    <t>Select A0059318212</t>
  </si>
  <si>
    <t>4y 1m 16d</t>
  </si>
  <si>
    <t>Select A0059318148</t>
  </si>
  <si>
    <t>1y 2m 9d</t>
  </si>
  <si>
    <t>Select A0059317645</t>
  </si>
  <si>
    <t>Select A0059317070</t>
  </si>
  <si>
    <t>Select A0059317055</t>
  </si>
  <si>
    <t>Select A0059297671</t>
  </si>
  <si>
    <t>4y 2m 13d</t>
  </si>
  <si>
    <t>Select A0059294662</t>
  </si>
  <si>
    <t>Select A0059259601</t>
  </si>
  <si>
    <t>Select A0059258024</t>
  </si>
  <si>
    <t>2y 2m 20d</t>
  </si>
  <si>
    <t>Select A0059255987</t>
  </si>
  <si>
    <t>Select A0059255980</t>
  </si>
  <si>
    <t>Select A0059255979</t>
  </si>
  <si>
    <t>Select A0059255976</t>
  </si>
  <si>
    <t>Select A0059255963</t>
  </si>
  <si>
    <t>Select A0059250430</t>
  </si>
  <si>
    <t>1y 2m 20d</t>
  </si>
  <si>
    <t>Select A0059240393</t>
  </si>
  <si>
    <t>Select A0059220015</t>
  </si>
  <si>
    <t>Select A0059218846</t>
  </si>
  <si>
    <t>Select A0059214054</t>
  </si>
  <si>
    <t>0y 3m 24d</t>
  </si>
  <si>
    <t>Select A0059200388</t>
  </si>
  <si>
    <t>2y 2m 29d</t>
  </si>
  <si>
    <t>Select A0059197919</t>
  </si>
  <si>
    <t>Emmett (C. McClain)</t>
  </si>
  <si>
    <t>5y 2m 28d</t>
  </si>
  <si>
    <t>Select A0059190623</t>
  </si>
  <si>
    <t>Select A0059189718</t>
  </si>
  <si>
    <t>Select A0059072755</t>
  </si>
  <si>
    <t>3y 3m 9d</t>
  </si>
  <si>
    <t>Select A0059066282</t>
  </si>
  <si>
    <t>1y 3m 10d</t>
  </si>
  <si>
    <t>Select A0059058634</t>
  </si>
  <si>
    <t>Select A0059055443</t>
  </si>
  <si>
    <t>1y 3m 11d</t>
  </si>
  <si>
    <t>Select A0059055318</t>
  </si>
  <si>
    <t>5y 1m 18d</t>
  </si>
  <si>
    <t>Select A0059055262</t>
  </si>
  <si>
    <t>Select A0059055232</t>
  </si>
  <si>
    <t>Select A0059055142</t>
  </si>
  <si>
    <t>Select A0059055106</t>
  </si>
  <si>
    <t>Select A0059048748</t>
  </si>
  <si>
    <t>10y 3m 12d</t>
  </si>
  <si>
    <t>Select A0059041716</t>
  </si>
  <si>
    <t>Select A0059040345</t>
  </si>
  <si>
    <t>1y 3m 13d</t>
  </si>
  <si>
    <t>Select A0059031537</t>
  </si>
  <si>
    <t>1y 3m 12d</t>
  </si>
  <si>
    <t>Select A0059026516</t>
  </si>
  <si>
    <t>1y 3m 16d</t>
  </si>
  <si>
    <t>Select A0059026177</t>
  </si>
  <si>
    <t>Select A0059021778</t>
  </si>
  <si>
    <t>4y 3m 17d</t>
  </si>
  <si>
    <t>Select A0059020403</t>
  </si>
  <si>
    <t>0y 4m 29d</t>
  </si>
  <si>
    <t>Select A0059020393</t>
  </si>
  <si>
    <t>Select A0059018179</t>
  </si>
  <si>
    <t>5y 3m 17d</t>
  </si>
  <si>
    <t>Select A0058991001</t>
  </si>
  <si>
    <t>Select A0058974308</t>
  </si>
  <si>
    <t>Select A0058974302</t>
  </si>
  <si>
    <t>Select A0058966537</t>
  </si>
  <si>
    <t>0y 5m 6d</t>
  </si>
  <si>
    <t>Select A0058929883</t>
  </si>
  <si>
    <t>3y 4m 0d</t>
  </si>
  <si>
    <t>Select A0058928950</t>
  </si>
  <si>
    <t>941000031684383</t>
  </si>
  <si>
    <t>Select A0058922485</t>
  </si>
  <si>
    <t>3y 4m 1d</t>
  </si>
  <si>
    <t>Select A0058904337</t>
  </si>
  <si>
    <t>2y 4m 3d</t>
  </si>
  <si>
    <t>Select A0058882239</t>
  </si>
  <si>
    <t>4y 4m 7d</t>
  </si>
  <si>
    <t>Select A0058881642</t>
  </si>
  <si>
    <t>7y 1m 10d</t>
  </si>
  <si>
    <t>Select A0058874559</t>
  </si>
  <si>
    <t>3y 4m 8d</t>
  </si>
  <si>
    <t>Select A0058873126</t>
  </si>
  <si>
    <t>2y 4m 7d</t>
  </si>
  <si>
    <t>Select A0058872904</t>
  </si>
  <si>
    <t>5y 4m 8d</t>
  </si>
  <si>
    <t>Select A0058855958</t>
  </si>
  <si>
    <t>2y 3m 25d</t>
  </si>
  <si>
    <t>941000031683598</t>
  </si>
  <si>
    <t>Select A0058823615</t>
  </si>
  <si>
    <t>5y 3m 14d</t>
  </si>
  <si>
    <t>Select A0058815537</t>
  </si>
  <si>
    <t>0y 7m 18d</t>
  </si>
  <si>
    <t>Select A0058812660</t>
  </si>
  <si>
    <t>4y 4m 18d</t>
  </si>
  <si>
    <t>Select A0058764342</t>
  </si>
  <si>
    <t>0y 5m 22d</t>
  </si>
  <si>
    <t>Select A0058760527</t>
  </si>
  <si>
    <t>6y 4m 7d</t>
  </si>
  <si>
    <t>Select A0058760517</t>
  </si>
  <si>
    <t>8y 4m 25d</t>
  </si>
  <si>
    <t>Select A0058760472</t>
  </si>
  <si>
    <t>3y 4m 25d</t>
  </si>
  <si>
    <t>Select A0058730783</t>
  </si>
  <si>
    <t>4y 5m 0d</t>
  </si>
  <si>
    <t>Select A0058726011</t>
  </si>
  <si>
    <t>0y 5m 14d</t>
  </si>
  <si>
    <t>Select A0058719090</t>
  </si>
  <si>
    <t>Ava Grace (A. Berlin)</t>
  </si>
  <si>
    <t>Select A0058705427</t>
  </si>
  <si>
    <t>1y 5m 4d</t>
  </si>
  <si>
    <t>Select A0058688400</t>
  </si>
  <si>
    <t>3y 5m 6d</t>
  </si>
  <si>
    <t>Select A0058679788</t>
  </si>
  <si>
    <t>0y 6m 21d</t>
  </si>
  <si>
    <t>Bank 2 Cage 5</t>
  </si>
  <si>
    <t>Select A0058673677</t>
  </si>
  <si>
    <t>Beth Anne (G. Henriksson)</t>
  </si>
  <si>
    <t>2y 5m 6d</t>
  </si>
  <si>
    <t>Select A0058670555</t>
  </si>
  <si>
    <t>2y 5m 8d</t>
  </si>
  <si>
    <t>Select A0058669176</t>
  </si>
  <si>
    <t>1y 5m 8d</t>
  </si>
  <si>
    <t>Select A0058657796</t>
  </si>
  <si>
    <t>Select A0058657785</t>
  </si>
  <si>
    <t>Select A0058657655</t>
  </si>
  <si>
    <t>3y 5m 11d</t>
  </si>
  <si>
    <t>Select A0058640822</t>
  </si>
  <si>
    <t>2y 5m 13d</t>
  </si>
  <si>
    <t>Select A0058640092</t>
  </si>
  <si>
    <t>7y 5m 13d</t>
  </si>
  <si>
    <t>Select A0058620547</t>
  </si>
  <si>
    <t>2y 5m 15d</t>
  </si>
  <si>
    <t>Select A0058590008</t>
  </si>
  <si>
    <t>Select A0058557091</t>
  </si>
  <si>
    <t>Miss White (M. Kelly)</t>
  </si>
  <si>
    <t>1y 5m 26d</t>
  </si>
  <si>
    <t>Select A0058540854</t>
  </si>
  <si>
    <t>3y 5m 28d</t>
  </si>
  <si>
    <t>Select A0058532837</t>
  </si>
  <si>
    <t>0y 6m 24d</t>
  </si>
  <si>
    <t>Select A0058532782</t>
  </si>
  <si>
    <t>Select A0058532674</t>
  </si>
  <si>
    <t>Select A0058490000</t>
  </si>
  <si>
    <t>0y 7m 30d</t>
  </si>
  <si>
    <t>Select A0058481134</t>
  </si>
  <si>
    <t>Select A0058478761</t>
  </si>
  <si>
    <t>Bank 4 Cage 1</t>
  </si>
  <si>
    <t>Select A0058462905</t>
  </si>
  <si>
    <t>1y 6m 3d</t>
  </si>
  <si>
    <t>Select A0058442142</t>
  </si>
  <si>
    <t>Select A0058442130</t>
  </si>
  <si>
    <t>Select A0058442122</t>
  </si>
  <si>
    <t>Select A0058442112</t>
  </si>
  <si>
    <t>1y 0m 20d</t>
  </si>
  <si>
    <t>Select A0058442105</t>
  </si>
  <si>
    <t>Select A0058442099</t>
  </si>
  <si>
    <t>Select A0058436930</t>
  </si>
  <si>
    <t>0y 7m 3d</t>
  </si>
  <si>
    <t>Select A0058436912</t>
  </si>
  <si>
    <t>Select A0058435777</t>
  </si>
  <si>
    <t>Bank 4 Cage 3</t>
  </si>
  <si>
    <t>Select A0058422062</t>
  </si>
  <si>
    <t>2y 6m 15d</t>
  </si>
  <si>
    <t>Select A0058420918</t>
  </si>
  <si>
    <t>0y 7m 13d</t>
  </si>
  <si>
    <t>Select A0058415737</t>
  </si>
  <si>
    <t>1y 6m 16d</t>
  </si>
  <si>
    <t>Select A0058368673</t>
  </si>
  <si>
    <t>2y 6m 24d</t>
  </si>
  <si>
    <t>Select A0058345913</t>
  </si>
  <si>
    <t>2y 6m 27d</t>
  </si>
  <si>
    <t>Select A0058345817</t>
  </si>
  <si>
    <t>8y 6m 20d</t>
  </si>
  <si>
    <t>Select A0058345457</t>
  </si>
  <si>
    <t>0y 7m 20d</t>
  </si>
  <si>
    <t>Select A0058345452</t>
  </si>
  <si>
    <t>Select A0058297139</t>
  </si>
  <si>
    <t>4y 6m 27d</t>
  </si>
  <si>
    <t>Select A0058280488</t>
  </si>
  <si>
    <t>Select A0058265479</t>
  </si>
  <si>
    <t>A0058265479</t>
  </si>
  <si>
    <t>Stanley</t>
  </si>
  <si>
    <t>1y 7m 9d</t>
  </si>
  <si>
    <t>941000030951338</t>
  </si>
  <si>
    <t>Select A0058240635</t>
  </si>
  <si>
    <t>3y 7m 14d</t>
  </si>
  <si>
    <t>Select A0058233547</t>
  </si>
  <si>
    <t>2y 7m 15d</t>
  </si>
  <si>
    <t>Select A0058224570</t>
  </si>
  <si>
    <t>1y 7m 16d</t>
  </si>
  <si>
    <t>Select A0058018080</t>
  </si>
  <si>
    <t>2y 8m 3d</t>
  </si>
  <si>
    <t>Select A0057890580</t>
  </si>
  <si>
    <t>1y 8m 27d</t>
  </si>
  <si>
    <t>Select A0057829377</t>
  </si>
  <si>
    <t>2y 9m 6d</t>
  </si>
  <si>
    <t>Select A0057718939</t>
  </si>
  <si>
    <t>Goose (M. Fichera)</t>
  </si>
  <si>
    <t>10y 8m 27d</t>
  </si>
  <si>
    <t>Select A0057637575</t>
  </si>
  <si>
    <t>1y 10m 3d</t>
  </si>
  <si>
    <t>Select A0057330368</t>
  </si>
  <si>
    <t>5y 11m 9d</t>
  </si>
  <si>
    <t>Select A0057142369</t>
  </si>
  <si>
    <t>5y 0m 24d</t>
  </si>
  <si>
    <t>Select A0057100856</t>
  </si>
  <si>
    <t>Bank 1 Cage 3</t>
  </si>
  <si>
    <t>Select A0056684348</t>
  </si>
  <si>
    <t>4y 2m 14d</t>
  </si>
  <si>
    <t>Select A0056472536</t>
  </si>
  <si>
    <t>Lindsey</t>
  </si>
  <si>
    <t>1y 4m 14d</t>
  </si>
  <si>
    <t>Select A0056059524</t>
  </si>
  <si>
    <t>1y 7m 14d</t>
  </si>
  <si>
    <t>Select A0055990071</t>
  </si>
  <si>
    <t>Select A0055525300</t>
  </si>
  <si>
    <t>3y 6m 4d</t>
  </si>
  <si>
    <t>Select A0055524062</t>
  </si>
  <si>
    <t>3y 5m 27d</t>
  </si>
  <si>
    <t>Select A0055486470</t>
  </si>
  <si>
    <t>2y 5m 19d</t>
  </si>
  <si>
    <t>Select A0054750803</t>
  </si>
  <si>
    <t>Select A0054707397</t>
  </si>
  <si>
    <t>6y 0m 16d</t>
  </si>
  <si>
    <t>Select A0052239691</t>
  </si>
  <si>
    <t>3y 8m 3d</t>
  </si>
  <si>
    <t>Select A0051786463</t>
  </si>
  <si>
    <t>A0051786463</t>
  </si>
  <si>
    <t>Barry</t>
  </si>
  <si>
    <t>4y 10m 18d</t>
  </si>
  <si>
    <t>982091070182789</t>
  </si>
  <si>
    <t>HW -  3</t>
  </si>
  <si>
    <t>Select A0050342883</t>
  </si>
  <si>
    <t>11y 5m 11d</t>
  </si>
  <si>
    <t>Monday, November 17, 2025</t>
  </si>
  <si>
    <t>2y 27d</t>
  </si>
  <si>
    <t>4y 27d</t>
  </si>
  <si>
    <t>9m 2d</t>
  </si>
  <si>
    <t>6y 16d</t>
  </si>
  <si>
    <t>Avg. LOS: 86</t>
  </si>
  <si>
    <t>1y 2m 5d</t>
  </si>
  <si>
    <t>1y 18d</t>
  </si>
  <si>
    <t>3m 11d</t>
  </si>
  <si>
    <t>3.06 pound</t>
  </si>
  <si>
    <t>3.40 pound</t>
  </si>
  <si>
    <t>2.93 pound</t>
  </si>
  <si>
    <t>2.58 pound</t>
  </si>
  <si>
    <t>6m 24d</t>
  </si>
  <si>
    <t>6m 21d</t>
  </si>
  <si>
    <t>2m 6d</t>
  </si>
  <si>
    <t>2.38 pound</t>
  </si>
  <si>
    <t>Pink/</t>
  </si>
  <si>
    <t>5.22 pound</t>
  </si>
  <si>
    <t>4m 26d</t>
  </si>
  <si>
    <t>7m 13d</t>
  </si>
  <si>
    <t>3m 5d</t>
  </si>
  <si>
    <t>7m 3d</t>
  </si>
  <si>
    <t>Avg. LOS: 37</t>
  </si>
  <si>
    <t>2m 21d</t>
  </si>
  <si>
    <t>1.26 pound</t>
  </si>
  <si>
    <t>3m 18d</t>
  </si>
  <si>
    <t>4y 25d</t>
  </si>
  <si>
    <t>8m 26d</t>
  </si>
  <si>
    <t>5m 25d</t>
  </si>
  <si>
    <t xml:space="preserve">  Cat Overflow</t>
  </si>
  <si>
    <t>Avg. LOS: 3</t>
  </si>
  <si>
    <t>2y 3d</t>
  </si>
  <si>
    <t>1m 4d</t>
  </si>
  <si>
    <t>3y 0d</t>
  </si>
  <si>
    <t>1y 0d</t>
  </si>
  <si>
    <t>1m 28d</t>
  </si>
  <si>
    <t>Grey/White/Brown</t>
  </si>
  <si>
    <t>2y 2d</t>
  </si>
  <si>
    <t>Avg. LOS: 263</t>
  </si>
  <si>
    <t>5m 6d</t>
  </si>
  <si>
    <t>Avg. LOS: 38</t>
  </si>
  <si>
    <t>3y 27d</t>
  </si>
  <si>
    <t>Avg. LOS: 47</t>
  </si>
  <si>
    <t>8m 25d</t>
  </si>
  <si>
    <t>10m 26d</t>
  </si>
  <si>
    <t>1y 27d</t>
  </si>
  <si>
    <t>Avg. LOS: 103</t>
  </si>
  <si>
    <t>5y 24d</t>
  </si>
  <si>
    <t>7m 20d</t>
  </si>
  <si>
    <t>7m 18d</t>
  </si>
  <si>
    <t>4m 29d</t>
  </si>
  <si>
    <t>3m 12d</t>
  </si>
  <si>
    <t>3m 20d</t>
  </si>
  <si>
    <t>2m 13d</t>
  </si>
  <si>
    <t>1.50 pound</t>
  </si>
  <si>
    <t>1.80 pound</t>
  </si>
  <si>
    <t>5y 25d</t>
  </si>
  <si>
    <t>9m 20d</t>
  </si>
  <si>
    <t>37.20 pound</t>
  </si>
  <si>
    <t>61.60 pound</t>
  </si>
  <si>
    <t>7m 30d</t>
  </si>
  <si>
    <t>5m 22d</t>
  </si>
  <si>
    <t>3m 24d</t>
  </si>
  <si>
    <t>4m 30d</t>
  </si>
  <si>
    <t>3m 3d</t>
  </si>
  <si>
    <t>8m 16d</t>
  </si>
  <si>
    <t>3.33 pound</t>
  </si>
  <si>
    <t>4y 26d</t>
  </si>
  <si>
    <t>2m 18d</t>
  </si>
  <si>
    <t>4.40 pound</t>
  </si>
  <si>
    <t>12.60 pound</t>
  </si>
  <si>
    <t>8.50 pound</t>
  </si>
  <si>
    <t>4m 7d</t>
  </si>
  <si>
    <t>2.40 pound</t>
  </si>
  <si>
    <t>Blond/</t>
  </si>
  <si>
    <t>Avg. LOS: 91</t>
  </si>
  <si>
    <t>4y 3m 18d</t>
  </si>
  <si>
    <t>1y 23d</t>
  </si>
  <si>
    <t>Avg. LOS: 84</t>
  </si>
  <si>
    <t>5m 14d</t>
  </si>
  <si>
    <t>1m 11d</t>
  </si>
  <si>
    <t>5y 3m 18d</t>
  </si>
  <si>
    <t>1m 25d</t>
  </si>
  <si>
    <t>1.34 pound</t>
  </si>
  <si>
    <t>Avg. LOS: 18</t>
  </si>
  <si>
    <t>3m 14d</t>
  </si>
  <si>
    <t>4y 2d</t>
  </si>
  <si>
    <t>1y 25d</t>
  </si>
  <si>
    <t>26.20 pound</t>
  </si>
  <si>
    <t>1y 16d</t>
  </si>
  <si>
    <t>4m 6d</t>
  </si>
  <si>
    <t>1y 3d</t>
  </si>
  <si>
    <t>Black//Tan</t>
  </si>
  <si>
    <t>6m 3d</t>
  </si>
  <si>
    <t>3m 9d</t>
  </si>
  <si>
    <t>4y 10m 20d</t>
  </si>
  <si>
    <t>48.50 pound</t>
  </si>
  <si>
    <t>5y 13d</t>
  </si>
  <si>
    <t>5m 26d</t>
  </si>
  <si>
    <t>5y 3d</t>
  </si>
  <si>
    <t>14.60 pound</t>
  </si>
  <si>
    <t>8y 8d</t>
  </si>
  <si>
    <t>Avg. LOS: 25</t>
  </si>
  <si>
    <t>3.88 pound</t>
  </si>
  <si>
    <t>3.02 pound</t>
  </si>
  <si>
    <t>4.10 pound</t>
  </si>
  <si>
    <t>1y 10d</t>
  </si>
  <si>
    <t>8m 10d</t>
  </si>
  <si>
    <t>1y 7d</t>
  </si>
  <si>
    <t>Avg. LOS: 26</t>
  </si>
  <si>
    <t>3y 18d</t>
  </si>
  <si>
    <t>2y 25d</t>
  </si>
  <si>
    <t>7m 12d</t>
  </si>
  <si>
    <t>9.50 pound</t>
  </si>
  <si>
    <t>3y 20d</t>
  </si>
  <si>
    <t>Avg. LOS: 196</t>
  </si>
  <si>
    <t>Avg. LOS: 14</t>
  </si>
  <si>
    <t>6y 21d</t>
  </si>
  <si>
    <t>74.60 pound</t>
  </si>
  <si>
    <t>Avg. LOS: 147</t>
  </si>
  <si>
    <t>1y 20d</t>
  </si>
  <si>
    <t>Foster To Adopt</t>
  </si>
  <si>
    <t>Meet Myrtle! üêæ‚òÄÔ∏è  Myrtle is a total love bug who is ready to steal your heart! She is great in her crate and knows how to be calm and comfortable when it is downtime.    Friendly with other dogs and loves kids, Myrtle enjoys spending time outside, soaking up the sunshine on walks or just relaxing in the fresh air. She is indifferent to cats, so she could likely do well in a home with feline friends.    This sweet girl is ready to find a family all her own‚Äîone where she can share her love, loyalty, and sunny spirit every day. If you‚Äôre looking for a gentle, loving companion who will brighten your life, Myrtle is waiting to meet you!</t>
  </si>
  <si>
    <t>Meet Kira! üêæüí¶  Looking for a fun-loving, adventure-ready pup? Kira is your girl!    This sweet and social lady is dog, cat, and kid friendly, and she‚Äôs always ready to dive into the fun‚Äîliterally! Kira loves playing in the mud and water, living her best life getting a little dirty and having a whole lot of fun. Whether she‚Äôs romping in the play yard with her favorite toys, splashing in puddles, or hanging out with her doggy friends, Kira is always up for a good time.    She‚Äôs also just as happy going for a nice walk and soaking in the sights with her favorite people by her side. With her playful spirit and affectionate heart, Kira is the perfect mix of goofy, sweet, and loyal.    If you‚Äôre looking for a companion who knows how to have fun and loves big, Kira‚Äôs ready to be your new best friend! üê∂‚ù§Ô∏è</t>
  </si>
  <si>
    <t>https://pet-uploads.adoptapet.com/6/a/6/1234144341.jpg</t>
  </si>
  <si>
    <t>https://pet-uploads.adoptapet.com/a/9/a/1234144350.jpg</t>
  </si>
  <si>
    <t>https://pet-uploads.adoptapet.com/5/7/3/1234144369.jpg</t>
  </si>
  <si>
    <t>https://pet-uploads.adoptapet.com/1/0/e/1234144386.jpg</t>
  </si>
  <si>
    <t>https://pet-uploads.adoptapet.com/a/2/a/1270113231.jpg</t>
  </si>
  <si>
    <t>https://pet-uploads.adoptapet.com/b/a/6/1270113240.jpg</t>
  </si>
  <si>
    <t>https://pet-uploads.adoptapet.com/c/d/4/1270113252.jpg</t>
  </si>
  <si>
    <t>Kirby [Foster Home]</t>
  </si>
  <si>
    <t>Peyton is adorable and playful.  He loves to snuggle and thrives with positive attention.  He is inquisitive and curious. Peyton is great with other dogs and cats.  He would be happy being in a single or multiple pet home. Peyton is crate trained.  He is working on his manners and basic commands.  Peyton walks well on a leash.  On occasion needs a little redirection.     Peyton would be a great addition to a loving home.</t>
  </si>
  <si>
    <t>https://pet-uploads.adoptapet.com/9/4/b/1246685578.jpg</t>
  </si>
  <si>
    <t>https://pet-uploads.adoptapet.com/6/1/6/1246685587.jpg</t>
  </si>
  <si>
    <t>https://pet-uploads.adoptapet.com/1/6/a/1246685593.jpg</t>
  </si>
  <si>
    <t>Craig [Foster Home]</t>
  </si>
  <si>
    <t>Reno [Foster Home]</t>
  </si>
  <si>
    <t>None</t>
  </si>
  <si>
    <t>Monday, December 1, 2025</t>
  </si>
  <si>
    <t>Avg. LOS: 109</t>
  </si>
  <si>
    <t>6y 4m 21d</t>
  </si>
  <si>
    <t>1y 3m 25d</t>
  </si>
  <si>
    <t>2y 1m 10d</t>
  </si>
  <si>
    <t>3y 1m 27d</t>
  </si>
  <si>
    <t>5y 2m 7d</t>
  </si>
  <si>
    <t>4y 1m 10d</t>
  </si>
  <si>
    <t>4y 5m 14d</t>
  </si>
  <si>
    <t>2y 3m 12d</t>
  </si>
  <si>
    <t>3y 3m 23d</t>
  </si>
  <si>
    <t>9m 16d</t>
  </si>
  <si>
    <t>3y 2m 1d</t>
  </si>
  <si>
    <t>82.00 pound</t>
  </si>
  <si>
    <t>3y 1m 10d</t>
  </si>
  <si>
    <t>2y 2m 12d</t>
  </si>
  <si>
    <t>1y 9m 10d</t>
  </si>
  <si>
    <t>3y 7m 28d</t>
  </si>
  <si>
    <t>3y 4m 14d</t>
  </si>
  <si>
    <t>6y 1m 0d</t>
  </si>
  <si>
    <t>3y 6m 11d</t>
  </si>
  <si>
    <t>8y 5m 8d</t>
  </si>
  <si>
    <t>Avg. LOS: 133</t>
  </si>
  <si>
    <t>1y 7m 28d</t>
  </si>
  <si>
    <t>Bank 1 Cage 1</t>
  </si>
  <si>
    <t>1y 6m 17d</t>
  </si>
  <si>
    <t>Bank 1 Cage 2</t>
  </si>
  <si>
    <t>1y 2m 19d</t>
  </si>
  <si>
    <t>Cypress</t>
  </si>
  <si>
    <t>5m 12d</t>
  </si>
  <si>
    <t>Bank 1 Cage 4</t>
  </si>
  <si>
    <t>7.13 pound</t>
  </si>
  <si>
    <t>Magnolia</t>
  </si>
  <si>
    <t>5.15 pound</t>
  </si>
  <si>
    <t>1y 1m 1d</t>
  </si>
  <si>
    <t>3m 25d</t>
  </si>
  <si>
    <t>5y 3m 28d</t>
  </si>
  <si>
    <t>Bank 2 Cage 1</t>
  </si>
  <si>
    <t>7m 7d</t>
  </si>
  <si>
    <t>Biscuit</t>
  </si>
  <si>
    <t>8m 1d</t>
  </si>
  <si>
    <t>7m 4d</t>
  </si>
  <si>
    <t>2m 20d</t>
  </si>
  <si>
    <t>2y 4m 8d</t>
  </si>
  <si>
    <t>Bank 3 Cage 1</t>
  </si>
  <si>
    <t>11m 9d</t>
  </si>
  <si>
    <t>Bank 3 Cage 2</t>
  </si>
  <si>
    <t>3y 5m 25d</t>
  </si>
  <si>
    <t>5m 9d</t>
  </si>
  <si>
    <t>Bank 3 Cage 6</t>
  </si>
  <si>
    <t>7m 27d</t>
  </si>
  <si>
    <t>3m 19d</t>
  </si>
  <si>
    <t>7m 17d</t>
  </si>
  <si>
    <t>Avg. LOS: 41</t>
  </si>
  <si>
    <t>1y 1m 14d</t>
  </si>
  <si>
    <t>4m 1d</t>
  </si>
  <si>
    <t>4y 1m 8d</t>
  </si>
  <si>
    <t>9m 9d</t>
  </si>
  <si>
    <t>Tiny</t>
  </si>
  <si>
    <t>2y 1m 21d</t>
  </si>
  <si>
    <t>2m 23d</t>
  </si>
  <si>
    <t>4y 1m 14d</t>
  </si>
  <si>
    <t>2y 1m 9d</t>
  </si>
  <si>
    <t>3y 1m 9d</t>
  </si>
  <si>
    <t>A0059825883</t>
  </si>
  <si>
    <t>Solid/</t>
  </si>
  <si>
    <t>Avg. LOS: 16</t>
  </si>
  <si>
    <t>2y 17d</t>
  </si>
  <si>
    <t>Evaluate</t>
  </si>
  <si>
    <t>A0059820058</t>
  </si>
  <si>
    <t>Vidia</t>
  </si>
  <si>
    <t>1y 6d</t>
  </si>
  <si>
    <t>9.60 pound</t>
  </si>
  <si>
    <t>A0059820095</t>
  </si>
  <si>
    <t>Tinkerbell</t>
  </si>
  <si>
    <t>5.47 pound</t>
  </si>
  <si>
    <t>maddie</t>
  </si>
  <si>
    <t>1y 19d</t>
  </si>
  <si>
    <t>Tabbyy bear</t>
  </si>
  <si>
    <t>3y 14d</t>
  </si>
  <si>
    <t>1y 14d</t>
  </si>
  <si>
    <t>Heidi</t>
  </si>
  <si>
    <t>2m 11d</t>
  </si>
  <si>
    <t>2.10 pound</t>
  </si>
  <si>
    <t xml:space="preserve">Marie </t>
  </si>
  <si>
    <t>2y 16d</t>
  </si>
  <si>
    <t>Marco</t>
  </si>
  <si>
    <t>2m 0d</t>
  </si>
  <si>
    <t>Karma</t>
  </si>
  <si>
    <t>Sheila</t>
  </si>
  <si>
    <t>Harlow</t>
  </si>
  <si>
    <t>2y 18d</t>
  </si>
  <si>
    <t>A0059838128</t>
  </si>
  <si>
    <t>Ducky</t>
  </si>
  <si>
    <t>3y 9d</t>
  </si>
  <si>
    <t>Puppy/Cat House</t>
  </si>
  <si>
    <t>7.53 pound</t>
  </si>
  <si>
    <t>Avg. LOS: 272</t>
  </si>
  <si>
    <t>3y 8m 17d</t>
  </si>
  <si>
    <t>2y 6m 2d</t>
  </si>
  <si>
    <t>3y 6m 18d</t>
  </si>
  <si>
    <t>2y 7m 7d</t>
  </si>
  <si>
    <t>2y 5m 27d</t>
  </si>
  <si>
    <t>3y 4m 22d</t>
  </si>
  <si>
    <t>5m 20d</t>
  </si>
  <si>
    <t>4y 2m 27d</t>
  </si>
  <si>
    <t>2y 2m 23d</t>
  </si>
  <si>
    <t>8y 7m 3d</t>
  </si>
  <si>
    <t>1y 5m 22d</t>
  </si>
  <si>
    <t>4y 4m 21d</t>
  </si>
  <si>
    <t>1y 4m 0d</t>
  </si>
  <si>
    <t>1y 3m 24d</t>
  </si>
  <si>
    <t>2y 2m 22d</t>
  </si>
  <si>
    <t>1y 7m 0d</t>
  </si>
  <si>
    <t>2y 6m 29d</t>
  </si>
  <si>
    <t>Avg. LOS: 8</t>
  </si>
  <si>
    <t>A0057014673</t>
  </si>
  <si>
    <t>Clyde</t>
  </si>
  <si>
    <t>6y 1m 27d</t>
  </si>
  <si>
    <t>3m 23d</t>
  </si>
  <si>
    <t>18.80 pound</t>
  </si>
  <si>
    <t>22.20 pound</t>
  </si>
  <si>
    <t>A0059860997</t>
  </si>
  <si>
    <t>3y 5d</t>
  </si>
  <si>
    <t>A0059861004</t>
  </si>
  <si>
    <t>1m 16d</t>
  </si>
  <si>
    <t>A0059861012</t>
  </si>
  <si>
    <t>A0059861020</t>
  </si>
  <si>
    <t>A0059861031</t>
  </si>
  <si>
    <t>Terrier, American Hairless</t>
  </si>
  <si>
    <t>A0059861035</t>
  </si>
  <si>
    <t>A0059861045</t>
  </si>
  <si>
    <t>A0059862579</t>
  </si>
  <si>
    <t>Justine</t>
  </si>
  <si>
    <t>A0059869174</t>
  </si>
  <si>
    <t>Asher</t>
  </si>
  <si>
    <t>4y 1d</t>
  </si>
  <si>
    <t>A0059872123</t>
  </si>
  <si>
    <t>A0059872151</t>
  </si>
  <si>
    <t>Margo</t>
  </si>
  <si>
    <t>Black/Tan/White</t>
  </si>
  <si>
    <t>A0059872155</t>
  </si>
  <si>
    <t>Judge</t>
  </si>
  <si>
    <t>A0059874491</t>
  </si>
  <si>
    <t>Horace</t>
  </si>
  <si>
    <t>2y 0d</t>
  </si>
  <si>
    <t>A0059875819</t>
  </si>
  <si>
    <t>Fawn/White</t>
  </si>
  <si>
    <t>A0059875855</t>
  </si>
  <si>
    <t>6y 0d</t>
  </si>
  <si>
    <t>A0059875865</t>
  </si>
  <si>
    <t>Merle/</t>
  </si>
  <si>
    <t>feral cat</t>
  </si>
  <si>
    <t>9m 8d</t>
  </si>
  <si>
    <t>2y 1m 8d</t>
  </si>
  <si>
    <t>3y 1m 1d</t>
  </si>
  <si>
    <t>A0059820049</t>
  </si>
  <si>
    <t>2y 12d</t>
  </si>
  <si>
    <t>1y 1m 10d</t>
  </si>
  <si>
    <t>Avg. LOS: 96</t>
  </si>
  <si>
    <t>1y 4m 28d</t>
  </si>
  <si>
    <t>4y 2m 28d</t>
  </si>
  <si>
    <t>5y 1m 7d</t>
  </si>
  <si>
    <t>5y 11m 23d</t>
  </si>
  <si>
    <t>2y 8m 17d</t>
  </si>
  <si>
    <t>2y 7m 29d</t>
  </si>
  <si>
    <t>4y 7m 10d</t>
  </si>
  <si>
    <t>8m 3d</t>
  </si>
  <si>
    <t>2y 7m 10d</t>
  </si>
  <si>
    <t>1y 6m 9d</t>
  </si>
  <si>
    <t>2y 5m 22d</t>
  </si>
  <si>
    <t>2y 5m 20d</t>
  </si>
  <si>
    <t>1y 5m 18d</t>
  </si>
  <si>
    <t>Kirby (K. Downey)</t>
  </si>
  <si>
    <t>3y 5m 8d</t>
  </si>
  <si>
    <t>5y 4m 22d</t>
  </si>
  <si>
    <t>7y 1m 24d</t>
  </si>
  <si>
    <t>2y 4m 17d</t>
  </si>
  <si>
    <t>4m 27d</t>
  </si>
  <si>
    <t>Craig (N. Olindo)</t>
  </si>
  <si>
    <t>4y 4m 1d</t>
  </si>
  <si>
    <t>10y 3m 26d</t>
  </si>
  <si>
    <t>53.70 pound</t>
  </si>
  <si>
    <t>5y 3m 11d</t>
  </si>
  <si>
    <t>2y 3m 3d</t>
  </si>
  <si>
    <t>1y 3m 3d</t>
  </si>
  <si>
    <t>1y 2m 23d</t>
  </si>
  <si>
    <t>3m 26d</t>
  </si>
  <si>
    <t>4m 0d</t>
  </si>
  <si>
    <t>3m 0d</t>
  </si>
  <si>
    <t>Tilly (J. Cahill)</t>
  </si>
  <si>
    <t>4m 23d</t>
  </si>
  <si>
    <t>Rescue Commitment</t>
  </si>
  <si>
    <t>Freckles (A. Mutch)</t>
  </si>
  <si>
    <t>Billy (M. Fichera)</t>
  </si>
  <si>
    <t>Sparks (S. Brenner)</t>
  </si>
  <si>
    <t>4m 20d</t>
  </si>
  <si>
    <t>Starla (M. Reynolds)</t>
  </si>
  <si>
    <t>Prada (K. Carter)</t>
  </si>
  <si>
    <t>4m 3d</t>
  </si>
  <si>
    <t>21.80 pound</t>
  </si>
  <si>
    <t>Nemo (E. Hecht)</t>
  </si>
  <si>
    <t>1y 1m 19d</t>
  </si>
  <si>
    <t>4y 1m 15d</t>
  </si>
  <si>
    <t>Vader (A Adams)</t>
  </si>
  <si>
    <t>6m 8d</t>
  </si>
  <si>
    <t>2m 27d</t>
  </si>
  <si>
    <t>7y 1m 14d</t>
  </si>
  <si>
    <t>5y 1m 8d</t>
  </si>
  <si>
    <t>Reba (K. Czupek)</t>
  </si>
  <si>
    <t>10m 3d</t>
  </si>
  <si>
    <t>Branch (K. Bass)</t>
  </si>
  <si>
    <t>3m 28d</t>
  </si>
  <si>
    <t>Gates (K. Ayles)</t>
  </si>
  <si>
    <t>Figaro (K. Carter)</t>
  </si>
  <si>
    <t>Diablo (K. Czupek)</t>
  </si>
  <si>
    <t>5y 17d</t>
  </si>
  <si>
    <t>Dash (A. Marciano)</t>
  </si>
  <si>
    <t>Violet (E. Gottlieb)</t>
  </si>
  <si>
    <t>A0059813099</t>
  </si>
  <si>
    <t>Camilla (S. Diffenderffer)</t>
  </si>
  <si>
    <t>6m 12d</t>
  </si>
  <si>
    <t>20.80 pound</t>
  </si>
  <si>
    <t>A0059833316</t>
  </si>
  <si>
    <t>Belly (N. Shriver)</t>
  </si>
  <si>
    <t>11y 5m 25d</t>
  </si>
  <si>
    <t>Goose (R. Payne)</t>
  </si>
  <si>
    <t>10y 9m 10d</t>
  </si>
  <si>
    <t>8m 13d</t>
  </si>
  <si>
    <t>7y 5m 27d</t>
  </si>
  <si>
    <t>6m 5d</t>
  </si>
  <si>
    <t>4y 5m 1d</t>
  </si>
  <si>
    <t>3m 13d</t>
  </si>
  <si>
    <t>5m 13d</t>
  </si>
  <si>
    <t>3m 17d</t>
  </si>
  <si>
    <t>2y 2m 5d</t>
  </si>
  <si>
    <t>9m 0d</t>
  </si>
  <si>
    <t>Jasper (k Tayler)</t>
  </si>
  <si>
    <t>4y 1m 9d</t>
  </si>
  <si>
    <t>3m 1d</t>
  </si>
  <si>
    <t>Lanee (B Washington)</t>
  </si>
  <si>
    <t>Kennedy (K Craven)</t>
  </si>
  <si>
    <t>Chesney (R Johnson)</t>
  </si>
  <si>
    <t>5y 27d</t>
  </si>
  <si>
    <t>3y 6m 23d</t>
  </si>
  <si>
    <t>4m 21d</t>
  </si>
  <si>
    <t>Tana (R Odum)</t>
  </si>
  <si>
    <t>Canela (R Odum)</t>
  </si>
  <si>
    <t>Montana (J Shearouse)</t>
  </si>
  <si>
    <t>3y 11d</t>
  </si>
  <si>
    <t>A0059820684</t>
  </si>
  <si>
    <t>Juliet (M Kaltwasser)</t>
  </si>
  <si>
    <t>Black/White/Brown</t>
  </si>
  <si>
    <t>A0059820696</t>
  </si>
  <si>
    <t>Romeo (M Kaltwasser)</t>
  </si>
  <si>
    <t>Brown/Black/White</t>
  </si>
  <si>
    <t>A0059831311</t>
  </si>
  <si>
    <t>Fry (J Wilson)</t>
  </si>
  <si>
    <t>1m 21d</t>
  </si>
  <si>
    <t>1.08 pound</t>
  </si>
  <si>
    <t>A0059831444</t>
  </si>
  <si>
    <t>Doja (K Mixon)</t>
  </si>
  <si>
    <t>2m 5d</t>
  </si>
  <si>
    <t>1.11 pound</t>
  </si>
  <si>
    <t>A0059843880</t>
  </si>
  <si>
    <t>Ziggy (M Brasington)</t>
  </si>
  <si>
    <t>3m 7d</t>
  </si>
  <si>
    <t>4.00 pound</t>
  </si>
  <si>
    <t>A0059843994</t>
  </si>
  <si>
    <t>Cannoli (J Strange)</t>
  </si>
  <si>
    <t>2y 7d</t>
  </si>
  <si>
    <t>Brindle/White</t>
  </si>
  <si>
    <t>lotti</t>
  </si>
  <si>
    <t>1m 18d</t>
  </si>
  <si>
    <t>0.14 pound</t>
  </si>
  <si>
    <t>Jolly</t>
  </si>
  <si>
    <t>A0059831892</t>
  </si>
  <si>
    <t>Avg. LOS: 92</t>
  </si>
  <si>
    <t>4y 1m 17d</t>
  </si>
  <si>
    <t>2y 9m 20d</t>
  </si>
  <si>
    <t>2y 4m 21d</t>
  </si>
  <si>
    <t>1y 2m 12d</t>
  </si>
  <si>
    <t>1y 3m 27d</t>
  </si>
  <si>
    <t>5y 1m 27d</t>
  </si>
  <si>
    <t>1y 7m 23d</t>
  </si>
  <si>
    <t>4y 2m 4d</t>
  </si>
  <si>
    <t>1y 1m 6d</t>
  </si>
  <si>
    <t>4y 2m 8d</t>
  </si>
  <si>
    <t>5y 2m 1d</t>
  </si>
  <si>
    <t xml:space="preserve">  Isolation Bldg</t>
  </si>
  <si>
    <t>Avg. LOS: 6</t>
  </si>
  <si>
    <t>A0059853053</t>
  </si>
  <si>
    <t>3m 6d</t>
  </si>
  <si>
    <t>Isolation Bldg</t>
  </si>
  <si>
    <t>15.60 pound</t>
  </si>
  <si>
    <t>A0059862574</t>
  </si>
  <si>
    <t>A0059847368</t>
  </si>
  <si>
    <t>Vixen</t>
  </si>
  <si>
    <t>A0059847358</t>
  </si>
  <si>
    <t>Blitzen</t>
  </si>
  <si>
    <t>16.80 pound</t>
  </si>
  <si>
    <t>Avg. LOS: 74</t>
  </si>
  <si>
    <t>4y 2m 0d</t>
  </si>
  <si>
    <t>5m 28d</t>
  </si>
  <si>
    <t>1y 8m 0d</t>
  </si>
  <si>
    <t>5y 4m 1d</t>
  </si>
  <si>
    <t>Tyler</t>
  </si>
  <si>
    <t>3.12 pound</t>
  </si>
  <si>
    <t>kyler</t>
  </si>
  <si>
    <t>Mic</t>
  </si>
  <si>
    <t>3.10 pound</t>
  </si>
  <si>
    <t>Jazzy</t>
  </si>
  <si>
    <t>2y 8m 12d</t>
  </si>
  <si>
    <t>3.70 pound</t>
  </si>
  <si>
    <t>A0059817864</t>
  </si>
  <si>
    <t>Batman</t>
  </si>
  <si>
    <t>2y 6d</t>
  </si>
  <si>
    <t>A0059831955</t>
  </si>
  <si>
    <t>2y 10d</t>
  </si>
  <si>
    <t>Bob</t>
  </si>
  <si>
    <t>2.60 pound</t>
  </si>
  <si>
    <t>Avg. LOS: 24</t>
  </si>
  <si>
    <t>Liz</t>
  </si>
  <si>
    <t>HW-2</t>
  </si>
  <si>
    <t>41.20 pound</t>
  </si>
  <si>
    <t>A0059813286</t>
  </si>
  <si>
    <t>Flo Milli</t>
  </si>
  <si>
    <t>A0059820480</t>
  </si>
  <si>
    <t>Coby</t>
  </si>
  <si>
    <t>HW+2</t>
  </si>
  <si>
    <t>47.20 pound</t>
  </si>
  <si>
    <t>2y 1m 17d</t>
  </si>
  <si>
    <t>1y 17d</t>
  </si>
  <si>
    <t>25.20 pound</t>
  </si>
  <si>
    <t>22.60 pound</t>
  </si>
  <si>
    <t>9m 13d</t>
  </si>
  <si>
    <t>16.20 pound</t>
  </si>
  <si>
    <t>4y 11m 3d</t>
  </si>
  <si>
    <t>A0059825392</t>
  </si>
  <si>
    <t>Ranger</t>
  </si>
  <si>
    <t>Beige/</t>
  </si>
  <si>
    <t>A0059813444</t>
  </si>
  <si>
    <t>Finn</t>
  </si>
  <si>
    <t>3y 13d</t>
  </si>
  <si>
    <t>43.60 pound</t>
  </si>
  <si>
    <t>6m 9d</t>
  </si>
  <si>
    <t>Avg. LOS: 35</t>
  </si>
  <si>
    <t>18.00 pound</t>
  </si>
  <si>
    <t>7y 12d</t>
  </si>
  <si>
    <t>Avg. LOS: 40</t>
  </si>
  <si>
    <t>3y 2m 0d</t>
  </si>
  <si>
    <t>Luffy</t>
  </si>
  <si>
    <t>6m 11d</t>
  </si>
  <si>
    <t>Chopper</t>
  </si>
  <si>
    <t>Nami</t>
  </si>
  <si>
    <t>4.20 pound</t>
  </si>
  <si>
    <t>Igor</t>
  </si>
  <si>
    <t>3y 6d</t>
  </si>
  <si>
    <t>T-Pain</t>
  </si>
  <si>
    <t>4.80 pound</t>
  </si>
  <si>
    <t>Hannah Montana</t>
  </si>
  <si>
    <t>4m 11d</t>
  </si>
  <si>
    <t>Barn Cat</t>
  </si>
  <si>
    <t>Dolly Parton</t>
  </si>
  <si>
    <t>4y 11d</t>
  </si>
  <si>
    <t>8.20 pound</t>
  </si>
  <si>
    <t>A0059820065</t>
  </si>
  <si>
    <t>Lydia</t>
  </si>
  <si>
    <t>8.83 pound</t>
  </si>
  <si>
    <t>A0059820082</t>
  </si>
  <si>
    <t>Ashley</t>
  </si>
  <si>
    <t>Willie</t>
  </si>
  <si>
    <t>Mister</t>
  </si>
  <si>
    <t>5y 11d</t>
  </si>
  <si>
    <t>Paprika</t>
  </si>
  <si>
    <t>2y 1m 16d</t>
  </si>
  <si>
    <t>3y 6m 24d</t>
  </si>
  <si>
    <t>Avg. LOS: 36</t>
  </si>
  <si>
    <t>3y 1m 3d</t>
  </si>
  <si>
    <t>A0059854545</t>
  </si>
  <si>
    <t>6y 6d</t>
  </si>
  <si>
    <t>5y 1m 29d</t>
  </si>
  <si>
    <t>Avg. LOS: 210</t>
  </si>
  <si>
    <t>Bullwinkle</t>
  </si>
  <si>
    <t>4y 12d</t>
  </si>
  <si>
    <t>Rocket</t>
  </si>
  <si>
    <t>6y 1m 4d</t>
  </si>
  <si>
    <t>Callen</t>
  </si>
  <si>
    <t>A0059852668</t>
  </si>
  <si>
    <t>(W Mahgoub)</t>
  </si>
  <si>
    <t>5y 6d</t>
  </si>
  <si>
    <t>Pen 4</t>
  </si>
  <si>
    <t>Avg. LOS: 161</t>
  </si>
  <si>
    <t>1y 1m 3d</t>
  </si>
  <si>
    <t>Willy</t>
  </si>
  <si>
    <t>4y 5d</t>
  </si>
  <si>
    <t>Porkchop</t>
  </si>
  <si>
    <t>A0059810434</t>
  </si>
  <si>
    <t>Alma</t>
  </si>
  <si>
    <t>8y 11d</t>
  </si>
  <si>
    <t>Lincoln</t>
  </si>
  <si>
    <t>97.00 pound</t>
  </si>
  <si>
    <t>4y 1m 27d</t>
  </si>
  <si>
    <t>Avg. LOS: 5</t>
  </si>
  <si>
    <t>A0059859062</t>
  </si>
  <si>
    <t>2y 5d</t>
  </si>
  <si>
    <t>Misty</t>
  </si>
  <si>
    <t>hidden</t>
  </si>
  <si>
    <t>Gray or Blue</t>
  </si>
  <si>
    <t>Janie</t>
  </si>
  <si>
    <t>Nod</t>
  </si>
  <si>
    <t>Barn Cat Romeo</t>
  </si>
  <si>
    <t>adopted</t>
  </si>
  <si>
    <t>Barn Cat Romeo has been at Colleton County Animal Services since December 12, 2022! He gets along well with other cats but typically hides when people are near the outside catio where he is housed. He would appreciate a job as barn cat preferably with the company of another barn cat.</t>
  </si>
  <si>
    <t>https://pet-uploads.adoptapet.com/b/3/9/1115156430.jpg</t>
  </si>
  <si>
    <t>Reggie</t>
  </si>
  <si>
    <t>https://pet-uploads.adoptapet.com/6/f/a/678550354.jpeg</t>
  </si>
  <si>
    <t>Baxter</t>
  </si>
  <si>
    <t>Terrier (Unknown Type, Small)</t>
  </si>
  <si>
    <t>Baxter, aka Bugsy, has these big beautiful bug eyes that enhances his adorable face. He is a well behaved boy with a cheerful personality. Likes other dogs.  Adoption fee is $90.00 which includes a microchip, spay/neuter, heart worm test, rabies, vaccinations, and boosters.</t>
  </si>
  <si>
    <t>https://pet-uploads.adoptapet.com/9/0/1/680547476.jpeg</t>
  </si>
  <si>
    <t>https://pet-uploads.adoptapet.com/e/2/c/728238413.jpeg</t>
  </si>
  <si>
    <t>Palmer</t>
  </si>
  <si>
    <t>Lila</t>
  </si>
  <si>
    <t>Lila is a sweet gal with beautiful brindle markings who is currently housed with her daughter. They are both respectful of each others space and surroundings. She loves to run and play with her daughter in the yard.  Adoption fee is $90.00 which includes a microchip, spay/neuter, heart worm test, rabies, vaccinations, and boosters.</t>
  </si>
  <si>
    <t>https://pet-uploads.adoptapet.com/4/c/5/684039422.jpeg</t>
  </si>
  <si>
    <t>https://pet-uploads.adoptapet.com/a/4/e/702725374.jpeg</t>
  </si>
  <si>
    <t>https://pet-uploads.adoptapet.com/7/f/f/702725375.jpeg</t>
  </si>
  <si>
    <t>Paul Bunyan// Barn Cat</t>
  </si>
  <si>
    <t>Bunyan the barn cat has been housed in an outdoor catio for over a year waiting for an adopter. Although he is timid with people, he adores other cats, large, small, male and female. All of the cats sharing his kennel have been adopted except him. He now spends a good bit of time socializing with the cats in the kennel next door.He is big, healthy and has shiny fur. Would be an easy keeper for a multicat household.</t>
  </si>
  <si>
    <t>https://pet-uploads.adoptapet.com/8/b/b/1117444674.jpg</t>
  </si>
  <si>
    <t>https://pet-uploads.adoptapet.com/4/1/2/688792765.jpeg</t>
  </si>
  <si>
    <t>Precious</t>
  </si>
  <si>
    <t>Precious is the dog who gets constantly overlooked even though she has a heart of gold. This sweet lady arrived as a stray to CCAS on 11/14/2022 and after months of no interest, a family adopted her on 2/26/2023. Unfortunately, and to no fault to Precious, she was returned a mere 5 days later. She has been sitting at the shelter since 3/3/2033, putting her as the second longest resident of CCAS. She was returned due to the family having a small child and Precious was high energy ‚Äî can you blame her though? Look at that wiggle butt! However, she has never shown aggression towards humans or young kids.</t>
  </si>
  <si>
    <t>https://pet-uploads.adoptapet.com/0/1/a/689737623.jpeg</t>
  </si>
  <si>
    <t>Joseph - Barn Cat</t>
  </si>
  <si>
    <t>https://pet-uploads.adoptapet.com/8/4/c/690665872.jpeg</t>
  </si>
  <si>
    <t>Aubrey - Barn Cat</t>
  </si>
  <si>
    <t>Aubrey has been waiting for over a year at the shelter for employment as a working/barn cat. He does not hide when people enter his outdoor catio, and enjoys supervising the food delivery and cage cleaning. He is the first in line every time for meals. He loves to sit on his shelf in the sun. Aubrey gets along well with other cats.</t>
  </si>
  <si>
    <t>https://pet-uploads.adoptapet.com/e/9/e/693077725.jpeg</t>
  </si>
  <si>
    <t>German Shepherd Dog</t>
  </si>
  <si>
    <t>Nash was more reserved with people at first but his personality has really shined. He seemed to gain more confidence and trust with people after he was housed with his kennel mate. They both respect each others surroundings. They have a great time playing together and enjoy romping around in the yard. He would benefit having a canine friend.  Adoption fee is $90.00 which includes a microchip, spay/neuter, heart worm test, rabies, vaccinations, and boosters.</t>
  </si>
  <si>
    <t>https://pet-uploads.adoptapet.com/5/4/1/693144422.jpeg</t>
  </si>
  <si>
    <t>https://pet-uploads.adoptapet.com/5/7/9/728238395.jpeg</t>
  </si>
  <si>
    <t>Stewart - Barn Cat</t>
  </si>
  <si>
    <t>Spock</t>
  </si>
  <si>
    <t>https://pet-uploads.adoptapet.com/7/7/6/693341158.jpeg</t>
  </si>
  <si>
    <t>Tito</t>
  </si>
  <si>
    <t>Tito is a smaller, well behaved boy. He enjoys going out in the yard to sniff around and going for walks. He recently participated in professional behavior training. He likes other dogs. Adoption fee is $90.00 which includes a microchip, spay/neuter, heart worm test, rabies, vaccinations, and boosters.</t>
  </si>
  <si>
    <t>https://pet-uploads.adoptapet.com/6/0/4/694446341.jpeg</t>
  </si>
  <si>
    <t>https://pet-uploads.adoptapet.com/1/c/2/708420750.jpeg</t>
  </si>
  <si>
    <t>https://pet-uploads.adoptapet.com/0/3/a/727891994.jpeg</t>
  </si>
  <si>
    <t>Minnie</t>
  </si>
  <si>
    <t>https://pet-uploads.adoptapet.com/a/9/f/728238397.jpeg</t>
  </si>
  <si>
    <t>https://pet-uploads.adoptapet.com/6/2/0/706819246.jpeg</t>
  </si>
  <si>
    <t>https://pet-uploads.adoptapet.com/6/b/0/728238396.jpeg</t>
  </si>
  <si>
    <t>Nick</t>
  </si>
  <si>
    <t>Nick is a well behaved boy who make a great familly pet. He's good with other dogs and is currently beng housed with another dog. He is respectful of their surroundings and they enjoy playing together. Adoption fee is $90.00 which includes a microchip, spay/neuter, heart worm test, rabies, vaccinations, and boosters.</t>
  </si>
  <si>
    <t>https://pet-uploads.adoptapet.com/9/9/5/695142659.jpeg</t>
  </si>
  <si>
    <t>https://pet-uploads.adoptapet.com/5/d/0/695142660.jpeg</t>
  </si>
  <si>
    <t>Rose is well behaved and waits patiently to be taken outside to do her business. She has a beautiful rosey, tan coat. She would make a great addition to any family. She likes other dogs. Adoption fee is $90.00 which includes a microchip, spay/neuter, heart worm test, rabies, vaccinations, and boosters.</t>
  </si>
  <si>
    <t>https://pet-uploads.adoptapet.com/b/8/8/701919954.jpeg</t>
  </si>
  <si>
    <t>Emory</t>
  </si>
  <si>
    <t>https://pet-uploads.adoptapet.com/b/2/a/695972439.jpeg</t>
  </si>
  <si>
    <t>https://pet-uploads.adoptapet.com/5/3/c/700035885.jpeg</t>
  </si>
  <si>
    <t>Roxanne</t>
  </si>
  <si>
    <t>Roxanne is an affectionate girl who is currently being housed with her mother. They are respectful of the others space and surroundings. They love to run and play together in the yard. She has the most beautiful blonde, brindle markings.  Adoption fee is $90.00 which includes a microchip, spay/neuter, heart worm test, rabies, vaccinations, and boosters.</t>
  </si>
  <si>
    <t>https://pet-uploads.adoptapet.com/1/a/2/702725373.jpeg</t>
  </si>
  <si>
    <t>https://pet-uploads.adoptapet.com/e/d/9/702725372.jpeg</t>
  </si>
  <si>
    <t>https://pet-uploads.adoptapet.com/b/1/f/727908120.jpeg</t>
  </si>
  <si>
    <t>Cheeto</t>
  </si>
  <si>
    <t>Moxie</t>
  </si>
  <si>
    <t>Mixed Breed (Medium)</t>
  </si>
  <si>
    <t>Moxie is our 42 pound adorable land seal who has been looking for her forever home for far too long. She arrived in the shelter as a stray on February 25, 2023. Today marks [11] months of shelter life so it is our goal that we get her to her forever home before she hits her one year mark.    Moxie is playful &amp; affectionate towards humans and other dogs. She loves going on walks, walks well on leash &amp; playing in the play yard. She is definitely a fan favorite and we are not quite sure how she continues to get overlooked.</t>
  </si>
  <si>
    <t>https://pet-uploads.adoptapet.com/4/b/c/701919953.jpeg</t>
  </si>
  <si>
    <t>Bingo- Barn Cat</t>
  </si>
  <si>
    <t>Clyde / Barn Cat</t>
  </si>
  <si>
    <t>Martin fka Sportster</t>
  </si>
  <si>
    <t>https://pet-uploads.adoptapet.com/2/8/8/699375023.jpeg</t>
  </si>
  <si>
    <t>https://pet-uploads.adoptapet.com/4/2/a/699375019.jpeg</t>
  </si>
  <si>
    <t>Harley</t>
  </si>
  <si>
    <t>https://pet-uploads.adoptapet.com/e/d/3/700322877.jpeg</t>
  </si>
  <si>
    <t>https://pet-uploads.adoptapet.com/6/1/f/727900979.jpeg</t>
  </si>
  <si>
    <t>Cloud - Barn Cat</t>
  </si>
  <si>
    <t>https://pet-uploads.adoptapet.com/8/c/4/701082557.jpeg</t>
  </si>
  <si>
    <t>Queen - Barn Cat</t>
  </si>
  <si>
    <t>https://pet-uploads.adoptapet.com/2/d/9/701092071.jpeg</t>
  </si>
  <si>
    <t>Adelaide</t>
  </si>
  <si>
    <t>https://pet-uploads.adoptapet.com/d/9/e/1220777943.jpg</t>
  </si>
  <si>
    <t>Buckley ( Shannon Myers)</t>
  </si>
  <si>
    <t>https://pet-uploads.adoptapet.com/a/a/e/706573917.jpeg</t>
  </si>
  <si>
    <t>Dreamer</t>
  </si>
  <si>
    <t>https://pet-uploads.adoptapet.com/8/4/4/709906980.jpeg</t>
  </si>
  <si>
    <t>Mable</t>
  </si>
  <si>
    <t>https://pet-uploads.adoptapet.com/7/c/d/709950831.jpeg</t>
  </si>
  <si>
    <t>https://pet-uploads.adoptapet.com/0/5/5/709950832.jpeg</t>
  </si>
  <si>
    <t>Trina</t>
  </si>
  <si>
    <t>https://pet-uploads.adoptapet.com/3/7/1/709936046.jpeg</t>
  </si>
  <si>
    <t>https://pet-uploads.adoptapet.com/d/2/4/709936045.jpeg</t>
  </si>
  <si>
    <t>Sally</t>
  </si>
  <si>
    <t>Sam</t>
  </si>
  <si>
    <t>Jolie</t>
  </si>
  <si>
    <t>https://pet-uploads.adoptapet.com/1/3/1/710689948.jpeg</t>
  </si>
  <si>
    <t>Keely</t>
  </si>
  <si>
    <t>https://pet-uploads.adoptapet.com/0/b/5/710704834.jpeg</t>
  </si>
  <si>
    <t>Nova</t>
  </si>
  <si>
    <t>https://pet-uploads.adoptapet.com/7/5/4/710624176.jpeg</t>
  </si>
  <si>
    <t>https://pet-uploads.adoptapet.com/9/5/c/710624177.jpeg</t>
  </si>
  <si>
    <t>https://pet-uploads.adoptapet.com/3/9/8/710624178.jpeg</t>
  </si>
  <si>
    <t>Rebecca</t>
  </si>
  <si>
    <t>https://pet-uploads.adoptapet.com/b/2/5/710709207.jpeg</t>
  </si>
  <si>
    <t>Savannah</t>
  </si>
  <si>
    <t>https://pet-uploads.adoptapet.com/d/d/5/712098540.jpeg</t>
  </si>
  <si>
    <t>https://pet-uploads.adoptapet.com/c/4/0/712098544.jpeg</t>
  </si>
  <si>
    <t>Debby</t>
  </si>
  <si>
    <t>https://pet-uploads.adoptapet.com/9/8/2/713622627.jpeg</t>
  </si>
  <si>
    <t>Sammy</t>
  </si>
  <si>
    <t>https://pet-uploads.adoptapet.com/9/9/a/713612031.jpeg</t>
  </si>
  <si>
    <t>Vanessa</t>
  </si>
  <si>
    <t>https://pet-uploads.adoptapet.com/c/7/3/713596956.jpeg</t>
  </si>
  <si>
    <t>Raney</t>
  </si>
  <si>
    <t>https://pet-uploads.adoptapet.com/0/4/3/715021753.jpeg</t>
  </si>
  <si>
    <t>Ziva</t>
  </si>
  <si>
    <t>https://pet-uploads.adoptapet.com/0/c/e/715033130.jpeg</t>
  </si>
  <si>
    <t>Darby- Barn Cat</t>
  </si>
  <si>
    <t>https://pet-uploads.adoptapet.com/4/8/9/715266145.jpeg</t>
  </si>
  <si>
    <t>Ace (M. Scott)</t>
  </si>
  <si>
    <t>https://pet-uploads.adoptapet.com/c/d/7/716877937.jpeg</t>
  </si>
  <si>
    <t>Meadow (S. Myers)</t>
  </si>
  <si>
    <t>https://pet-uploads.adoptapet.com/8/2/8/716814882.jpeg</t>
  </si>
  <si>
    <t>Dylan (C. Sellers)</t>
  </si>
  <si>
    <t>https://pet-uploads.adoptapet.com/d/c/9/717670372.jpeg</t>
  </si>
  <si>
    <t>Brown or Chocolate</t>
  </si>
  <si>
    <t>https://pet-uploads.adoptapet.com/d/8/f/718849836.jpeg</t>
  </si>
  <si>
    <t>https://pet-uploads.adoptapet.com/4/5/3/718850044.jpeg</t>
  </si>
  <si>
    <t>https://pet-uploads.adoptapet.com/e/d/b/718850036.jpeg</t>
  </si>
  <si>
    <t>https://pet-uploads.adoptapet.com/8/6/f/718849859.jpeg</t>
  </si>
  <si>
    <t>https://pet-uploads.adoptapet.com/2/b/b/718850574.jpeg</t>
  </si>
  <si>
    <t>https://pet-uploads.adoptapet.com/1/f/7/718850352.jpeg</t>
  </si>
  <si>
    <t>https://pet-uploads.adoptapet.com/a/1/2/718850426.jpeg</t>
  </si>
  <si>
    <t>https://pet-uploads.adoptapet.com/9/c/0/718850179.jpeg</t>
  </si>
  <si>
    <t>https://pet-uploads.adoptapet.com/8/e/9/718850167.jpeg</t>
  </si>
  <si>
    <t>https://pet-uploads.adoptapet.com/b/c/d/718850417.jpeg</t>
  </si>
  <si>
    <t>https://pet-uploads.adoptapet.com/3/5/7/718850206.jpeg</t>
  </si>
  <si>
    <t>https://pet-uploads.adoptapet.com/b/4/d/718850041.jpeg</t>
  </si>
  <si>
    <t>https://pet-uploads.adoptapet.com/c/2/7/718850035.jpeg</t>
  </si>
  <si>
    <t>https://pet-uploads.adoptapet.com/3/d/6/718850208.jpeg</t>
  </si>
  <si>
    <t>https://pet-uploads.adoptapet.com/3/4/e/718850347.jpeg</t>
  </si>
  <si>
    <t>https://pet-uploads.adoptapet.com/d/d/c/718850345.jpeg</t>
  </si>
  <si>
    <t>https://pet-uploads.adoptapet.com/a/0/f/718850170.jpeg</t>
  </si>
  <si>
    <t>https://pet-uploads.adoptapet.com/4/7/9/718850798.jpeg</t>
  </si>
  <si>
    <t>https://pet-uploads.adoptapet.com/2/b/0/718850166.jpeg</t>
  </si>
  <si>
    <t>https://pet-uploads.adoptapet.com/0/8/9/718850531.jpeg</t>
  </si>
  <si>
    <t>https://pet-uploads.adoptapet.com/c/e/7/718849899.jpeg</t>
  </si>
  <si>
    <t>https://pet-uploads.adoptapet.com/1/b/c/718850065.jpeg</t>
  </si>
  <si>
    <t>https://pet-uploads.adoptapet.com/1/1/3/718850598.jpeg</t>
  </si>
  <si>
    <t>https://pet-uploads.adoptapet.com/0/7/a/718849988.jpeg</t>
  </si>
  <si>
    <t>https://pet-uploads.adoptapet.com/a/7/3/718850066.jpeg</t>
  </si>
  <si>
    <t>Bam Bam</t>
  </si>
  <si>
    <t>https://pet-uploads.adoptapet.com/2/7/9/718850389.jpeg</t>
  </si>
  <si>
    <t>Bartholomew</t>
  </si>
  <si>
    <t>https://pet-uploads.adoptapet.com/d/c/6/718850388.jpeg</t>
  </si>
  <si>
    <t>Bonita</t>
  </si>
  <si>
    <t>https://pet-uploads.adoptapet.com/8/4/f/718849835.jpeg</t>
  </si>
  <si>
    <t>Charles</t>
  </si>
  <si>
    <t>https://pet-uploads.adoptapet.com/2/6/2/718850567.jpeg</t>
  </si>
  <si>
    <t>https://pet-uploads.adoptapet.com/a/8/d/727908280.jpeg</t>
  </si>
  <si>
    <t>Christopher@PetSmart</t>
  </si>
  <si>
    <t>Christopher is currently at PetSmart in Beaufort SC and available for adoption there.</t>
  </si>
  <si>
    <t>Chyna</t>
  </si>
  <si>
    <t>https://pet-uploads.adoptapet.com/b/2/6/718906687.jpeg</t>
  </si>
  <si>
    <t>https://pet-uploads.adoptapet.com/7/8/6/727908118.jpeg</t>
  </si>
  <si>
    <t>https://pet-uploads.adoptapet.com/c/7/8/727908121.jpeg</t>
  </si>
  <si>
    <t>Cinderella</t>
  </si>
  <si>
    <t>https://pet-uploads.adoptapet.com/6/8/d/718850055.jpeg</t>
  </si>
  <si>
    <t>Drewe@Petsense</t>
  </si>
  <si>
    <t>Drew is currently being fostered by Petsense, 98 Davenport Street, Goose Creek, SC and is available for adoption there.</t>
  </si>
  <si>
    <t>Eric Davis</t>
  </si>
  <si>
    <t>https://pet-uploads.adoptapet.com/d/7/d/718850156.jpeg</t>
  </si>
  <si>
    <t>Evangeline</t>
  </si>
  <si>
    <t>https://pet-uploads.adoptapet.com/f/9/2/718849840.jpeg</t>
  </si>
  <si>
    <t>Gelato</t>
  </si>
  <si>
    <t>https://pet-uploads.adoptapet.com/8/3/3/718850403.jpeg</t>
  </si>
  <si>
    <t>Jelly</t>
  </si>
  <si>
    <t>https://pet-uploads.adoptapet.com/8/b/a/718850379.jpeg</t>
  </si>
  <si>
    <t>https://pet-uploads.adoptapet.com/9/5/3/725436045.jpeg</t>
  </si>
  <si>
    <t>Jinx (A. Adams)</t>
  </si>
  <si>
    <t>https://pet-uploads.adoptapet.com/f/3/1/718935313.jpeg</t>
  </si>
  <si>
    <t>Nibbler</t>
  </si>
  <si>
    <t>Cream or Ivory</t>
  </si>
  <si>
    <t>Ophelia</t>
  </si>
  <si>
    <t>https://pet-uploads.adoptapet.com/e/0/6/718850168.jpeg</t>
  </si>
  <si>
    <t>Penny</t>
  </si>
  <si>
    <t>https://pet-uploads.adoptapet.com/9/3/1/718850223.jpeg</t>
  </si>
  <si>
    <t>Ray Ray@PetSmart</t>
  </si>
  <si>
    <t>Ray Ray is currently at PetSmart, Robert Smalls Parkway, Beaufort SC and available for adoption there.</t>
  </si>
  <si>
    <t>https://pet-uploads.adoptapet.com/c/6/3/718850593.jpeg</t>
  </si>
  <si>
    <t>https://pet-uploads.adoptapet.com/4/e/f/718850597.jpeg</t>
  </si>
  <si>
    <t>Rio</t>
  </si>
  <si>
    <t>https://pet-uploads.adoptapet.com/f/7/2/718850005.jpeg</t>
  </si>
  <si>
    <t>(R. Odum)</t>
  </si>
  <si>
    <t>https://pet-uploads.adoptapet.com/7/c/b/718849982.jpeg</t>
  </si>
  <si>
    <t>Roma</t>
  </si>
  <si>
    <t>https://pet-uploads.adoptapet.com/3/e/6/718850503.jpeg</t>
  </si>
  <si>
    <t>Sapphire</t>
  </si>
  <si>
    <t>https://pet-uploads.adoptapet.com/e/9/6/718849879.jpeg</t>
  </si>
  <si>
    <t>Shyanne</t>
  </si>
  <si>
    <t>https://pet-uploads.adoptapet.com/f/d/b/718850545.jpeg</t>
  </si>
  <si>
    <t>Speckles</t>
  </si>
  <si>
    <t>https://pet-uploads.adoptapet.com/2/5/9/718850075.jpeg</t>
  </si>
  <si>
    <t>https://pet-uploads.adoptapet.com/1/1/3/727908175.jpeg</t>
  </si>
  <si>
    <t>Sylvester</t>
  </si>
  <si>
    <t>https://pet-uploads.adoptapet.com/c/c/7/718850232.jpeg</t>
  </si>
  <si>
    <t>Twig (S. Myers)</t>
  </si>
  <si>
    <t>Ursula</t>
  </si>
  <si>
    <t>https://pet-uploads.adoptapet.com/2/1/b/718850534.jpeg</t>
  </si>
  <si>
    <t>https://pet-uploads.adoptapet.com/7/4/8/727908286.jpeg</t>
  </si>
  <si>
    <t>https://pet-uploads.adoptapet.com/3/b/f/727908287.jpeg</t>
  </si>
  <si>
    <t>Velma (K. Eversole)</t>
  </si>
  <si>
    <t>https://pet-uploads.adoptapet.com/7/1/0/718849987.jpeg</t>
  </si>
  <si>
    <t>Velvet (K. Eversole)</t>
  </si>
  <si>
    <t>https://pet-uploads.adoptapet.com/3/b/b/718850262.jpeg</t>
  </si>
  <si>
    <t>Ying</t>
  </si>
  <si>
    <t>https://pet-uploads.adoptapet.com/1/b/2/718914065.jpeg</t>
  </si>
  <si>
    <t>https://pet-uploads.adoptapet.com/8/b/3/727908114.jpeg</t>
  </si>
  <si>
    <t>Zofia</t>
  </si>
  <si>
    <t>Sophia is a young (2 year old) beautiful pit bull mix who arrived around the shelter on May 4, 2023. She has been in foster care since July 2023 and is absolutely ready to find her forever home.     Zofia has generalized anxiety but has improved so much since she has been in our home. We‚Äôve been working with Michele Sineath Scott to address these issues via confidence building through basic obedience. Zofia is (after getting accustomed to you) friendly with people, dogs, &amp; kitties.  Zofia is still very wary of new people/circumstances &amp; anything new really. She is definitely making progress &amp; we are so proud of where she‚Äôs came from. She is UTD on all vaccinations, spayed, &amp; microchipped. She would be an excellent addition to a family with older kids and is completely potty trained.</t>
  </si>
  <si>
    <t>https://pet-uploads.adoptapet.com/e/b/2/718891607.jpeg</t>
  </si>
  <si>
    <t>(S. Basler)</t>
  </si>
  <si>
    <t>https://pet-uploads.adoptapet.com/2/8/0/719191714.jpeg</t>
  </si>
  <si>
    <t>https://pet-uploads.adoptapet.com/a/c/3/719191717.jpeg</t>
  </si>
  <si>
    <t>https://pet-uploads.adoptapet.com/1/0/c/719396138.jpeg</t>
  </si>
  <si>
    <t>Chipper</t>
  </si>
  <si>
    <t>Abbey</t>
  </si>
  <si>
    <t>https://pet-uploads.adoptapet.com/e/5/a/720313150.jpeg</t>
  </si>
  <si>
    <t>Dax</t>
  </si>
  <si>
    <t>Belgian Malinois</t>
  </si>
  <si>
    <t>https://pet-uploads.adoptapet.com/a/9/b/720305771.jpeg</t>
  </si>
  <si>
    <t>https://pet-uploads.adoptapet.com/a/4/d/725267157.jpeg</t>
  </si>
  <si>
    <t>https://pet-uploads.adoptapet.com/7/0/f/725298444.jpeg</t>
  </si>
  <si>
    <t>Calamity (A. Adams)</t>
  </si>
  <si>
    <t>https://pet-uploads.adoptapet.com/3/4/5/720855263.jpeg</t>
  </si>
  <si>
    <t>Flick</t>
  </si>
  <si>
    <t>https://pet-uploads.adoptapet.com/c/d/c/720855249.jpeg</t>
  </si>
  <si>
    <t>Toot</t>
  </si>
  <si>
    <t>Vyto</t>
  </si>
  <si>
    <t>https://pet-uploads.adoptapet.com/3/8/4/720855244.jpeg</t>
  </si>
  <si>
    <t>Astroid</t>
  </si>
  <si>
    <t>https://pet-uploads.adoptapet.com/6/2/1/721131604.jpeg</t>
  </si>
  <si>
    <t>Ava</t>
  </si>
  <si>
    <t>https://pet-uploads.adoptapet.com/5/1/2/721131580.jpeg</t>
  </si>
  <si>
    <t>Avery</t>
  </si>
  <si>
    <t>Benefit - Barn Cat</t>
  </si>
  <si>
    <t>https://pet-uploads.adoptapet.com/a/3/3/721079173.jpeg</t>
  </si>
  <si>
    <t>Chehaw</t>
  </si>
  <si>
    <t>https://pet-uploads.adoptapet.com/5/2/1/721131570.jpeg</t>
  </si>
  <si>
    <t>Elise</t>
  </si>
  <si>
    <t>https://pet-uploads.adoptapet.com/4/f/b/721131584.jpeg</t>
  </si>
  <si>
    <t>Emerald</t>
  </si>
  <si>
    <t>https://pet-uploads.adoptapet.com/5/f/d/721073004.jpeg</t>
  </si>
  <si>
    <t>Fancy</t>
  </si>
  <si>
    <t>https://pet-uploads.adoptapet.com/7/3/c/721131573.jpeg</t>
  </si>
  <si>
    <t>Gobblin</t>
  </si>
  <si>
    <t>https://pet-uploads.adoptapet.com/1/3/c/721131561.jpeg</t>
  </si>
  <si>
    <t>Hew</t>
  </si>
  <si>
    <t>Inky</t>
  </si>
  <si>
    <t>https://pet-uploads.adoptapet.com/d/6/2/721115872.jpeg</t>
  </si>
  <si>
    <t>Lumi</t>
  </si>
  <si>
    <t>https://pet-uploads.adoptapet.com/3/5/0/721115880.jpeg</t>
  </si>
  <si>
    <t>Cheyene(B. Clark)</t>
  </si>
  <si>
    <t>Jewel (B. Clark)</t>
  </si>
  <si>
    <t>https://pet-uploads.adoptapet.com/5/7/f/721297087.jpeg</t>
  </si>
  <si>
    <t>https://pet-uploads.adoptapet.com/6/7/1/721279458.jpeg</t>
  </si>
  <si>
    <t>Blake</t>
  </si>
  <si>
    <t>Blake is our sixth longest resident at CCAS &amp; is slowly detoriating in the shelter. He is a larger boy, crammed in a small run and only gets to be in the play yard once a day for about five minutes, due to the sheer quantity of animals on our property. Our sweet, big boy Blake is your typical hound. This mans was found as a stray in someone‚Äôs yard and picked up by animal control. Due to him being an older adult, he has been seeing little to no interest, despite how beautiful he is. He‚Äôs very laid back when he goes to adoption events or out in public, but can be strong on a leash, especially when he‚Äôs searching for his treats! He is great with other dogs in play groups &amp; would be an excellent family dog!</t>
  </si>
  <si>
    <t>https://pet-uploads.adoptapet.com/1/b/b/722520018.jpeg</t>
  </si>
  <si>
    <t>https://pet-uploads.adoptapet.com/f/b/5/727900985.jpeg</t>
  </si>
  <si>
    <t>https://pet-uploads.adoptapet.com/5/0/d/1112823892.jpg</t>
  </si>
  <si>
    <t>https://pet-uploads.adoptapet.com/6/9/a/1112823898.jpg</t>
  </si>
  <si>
    <t>Calvary</t>
  </si>
  <si>
    <t>Samantha - Barn Cat</t>
  </si>
  <si>
    <t>https://pet-uploads.adoptapet.com/9/d/a/723857256.jpeg</t>
  </si>
  <si>
    <t>Bolton</t>
  </si>
  <si>
    <t>https://pet-uploads.adoptapet.com/3/d/8/724198087.jpeg</t>
  </si>
  <si>
    <t>Paige (T. Eversole)</t>
  </si>
  <si>
    <t>https://pet-uploads.adoptapet.com/d/d/9/724189631.jpeg</t>
  </si>
  <si>
    <t>Diva</t>
  </si>
  <si>
    <t>https://pet-uploads.adoptapet.com/3/d/a/724821131.jpeg</t>
  </si>
  <si>
    <t>https://pet-uploads.adoptapet.com/3/d/3/728238404.jpeg</t>
  </si>
  <si>
    <t>https://pet-uploads.adoptapet.com/4/e/8/728238406.jpeg</t>
  </si>
  <si>
    <t>https://pet-uploads.adoptapet.com/4/d/a/724821134.jpeg</t>
  </si>
  <si>
    <t>https://pet-uploads.adoptapet.com/0/3/8/728238398.jpeg</t>
  </si>
  <si>
    <t>Stewie</t>
  </si>
  <si>
    <t>https://pet-uploads.adoptapet.com/5/2/4/724894547.jpeg</t>
  </si>
  <si>
    <t>https://pet-uploads.adoptapet.com/0/d/d/728238408.jpeg</t>
  </si>
  <si>
    <t>https://pet-uploads.adoptapet.com/9/b/d/728238412.jpeg</t>
  </si>
  <si>
    <t>Mason</t>
  </si>
  <si>
    <t>https://pet-uploads.adoptapet.com/4/f/5/725245167.jpeg</t>
  </si>
  <si>
    <t>https://pet-uploads.adoptapet.com/0/c/8/727908270.jpeg</t>
  </si>
  <si>
    <t>(J. Larson)</t>
  </si>
  <si>
    <t>https://pet-uploads.adoptapet.com/b/f/4/725935490.jpeg</t>
  </si>
  <si>
    <t>Sally (L. Demers)</t>
  </si>
  <si>
    <t>https://pet-uploads.adoptapet.com/a/5/4/725892867.jpeg</t>
  </si>
  <si>
    <t>(D. Ciardi)</t>
  </si>
  <si>
    <t>https://pet-uploads.adoptapet.com/f/d/f/726220646.jpeg</t>
  </si>
  <si>
    <t>https://pet-uploads.adoptapet.com/e/7/a/726512517.jpeg</t>
  </si>
  <si>
    <t>Boomer (J. Plunkett)</t>
  </si>
  <si>
    <t>https://pet-uploads.adoptapet.com/7/4/9/726828570.jpeg</t>
  </si>
  <si>
    <t>Chalice</t>
  </si>
  <si>
    <t>https://pet-uploads.adoptapet.com/1/0/4/726746812.jpeg</t>
  </si>
  <si>
    <t>Everett</t>
  </si>
  <si>
    <t>https://pet-uploads.adoptapet.com/f/5/3/726746814.jpeg</t>
  </si>
  <si>
    <t>Flop</t>
  </si>
  <si>
    <t>https://pet-uploads.adoptapet.com/6/4/1/726738863.jpeg</t>
  </si>
  <si>
    <t>Geneva</t>
  </si>
  <si>
    <t>Goblet</t>
  </si>
  <si>
    <t>https://pet-uploads.adoptapet.com/1/8/a/726738865.jpeg</t>
  </si>
  <si>
    <t>Hooza</t>
  </si>
  <si>
    <t>https://pet-uploads.adoptapet.com/e/5/5/726746813.jpeg</t>
  </si>
  <si>
    <t>Loxley</t>
  </si>
  <si>
    <t>Shiba (B. Phillips)</t>
  </si>
  <si>
    <t>https://pet-uploads.adoptapet.com/2/2/2/726838194.jpeg</t>
  </si>
  <si>
    <t>Will (B. Phillips)</t>
  </si>
  <si>
    <t>https://pet-uploads.adoptapet.com/7/d/c/726838186.jpeg</t>
  </si>
  <si>
    <t>https://pet-uploads.adoptapet.com/3/3/a/727126242.jpeg</t>
  </si>
  <si>
    <t>https://pet-uploads.adoptapet.com/c/2/3/728238400.jpeg</t>
  </si>
  <si>
    <t>Jackson</t>
  </si>
  <si>
    <t>https://pet-uploads.adoptapet.com/d/8/d/727116402.jpeg</t>
  </si>
  <si>
    <t>https://pet-uploads.adoptapet.com/3/1/0/728238399.jpeg</t>
  </si>
  <si>
    <t>Jennie</t>
  </si>
  <si>
    <t>https://pet-uploads.adoptapet.com/4/1/6/727153375.jpeg</t>
  </si>
  <si>
    <t>https://pet-uploads.adoptapet.com/9/2/2/727908301.jpeg</t>
  </si>
  <si>
    <t>https://pet-uploads.adoptapet.com/a/a/8/727908303.jpeg</t>
  </si>
  <si>
    <t>Osca fka Odie</t>
  </si>
  <si>
    <t>Raleigh</t>
  </si>
  <si>
    <t>https://pet-uploads.adoptapet.com/b/d/1/727116358.jpeg</t>
  </si>
  <si>
    <t>https://pet-uploads.adoptapet.com/0/a/7/728238409.jpeg</t>
  </si>
  <si>
    <t>https://pet-uploads.adoptapet.com/0/a/8/728238410.jpeg</t>
  </si>
  <si>
    <t>https://pet-uploads.adoptapet.com/f/8/d/727131782.jpeg</t>
  </si>
  <si>
    <t>https://pet-uploads.adoptapet.com/8/7/3/727908425.jpeg</t>
  </si>
  <si>
    <t>https://pet-uploads.adoptapet.com/7/7/f/727908433.jpeg</t>
  </si>
  <si>
    <t>Archie</t>
  </si>
  <si>
    <t>https://pet-uploads.adoptapet.com/c/3/c/727885341.jpeg</t>
  </si>
  <si>
    <t>https://pet-uploads.adoptapet.com/6/3/f/727854903.jpeg</t>
  </si>
  <si>
    <t>Adonis</t>
  </si>
  <si>
    <t>Bax</t>
  </si>
  <si>
    <t>https://pet-uploads.adoptapet.com/4/a/3/728740374.jpeg</t>
  </si>
  <si>
    <t>Cassandra</t>
  </si>
  <si>
    <t>Garth</t>
  </si>
  <si>
    <t>https://pet-uploads.adoptapet.com/d/8/e/728715768.jpeg</t>
  </si>
  <si>
    <t>Gracyn</t>
  </si>
  <si>
    <t>https://pet-uploads.adoptapet.com/2/a/1/728715803.jpeg</t>
  </si>
  <si>
    <t>Rigdon</t>
  </si>
  <si>
    <t>Sparky</t>
  </si>
  <si>
    <t>I mean, just look at this dog! Sparky has got the looks all figured out. He‚Äôs got the cutest face with the sweetest eyes and an even better personality to match! We are all dumbfounded of why this sweet boy is here, a true gem! Sparky has been at the shelter, in one of our outdoor only kennels since the beginning of July. He came in as a stray and has unfortunately never left. We aren‚Äôt sure why, as he is one of the most well behaved dogs in his kennel and he‚Äôs great on a leash. He could absolutely go bonkers when he gets a chance to play with his toys in the play yard. In fact, if given the chance, he would entertain himself for HOURS in the play yard. He just needs someone to give him his second chance so he can prove to everyone how amazing he truly is. He loves all humans &amp; is great with other dogs! We won‚Äôt tell the others, but some volunteers have said, he‚Äôs a fan favorite! Sparky is Heartworm Positive, but our shelter helps fund for his treatment!</t>
  </si>
  <si>
    <t>https://pet-uploads.adoptapet.com/9/8/c/985144198.jpg</t>
  </si>
  <si>
    <t>https://pet-uploads.adoptapet.com/1/4/0/1112824006.jpg</t>
  </si>
  <si>
    <t>https://pet-uploads.adoptapet.com/d/9/1/1125563620.jpg</t>
  </si>
  <si>
    <t>https://pet-uploads.adoptapet.com/0/1/f/1125563626.jpg</t>
  </si>
  <si>
    <t>Badger</t>
  </si>
  <si>
    <t>https://pet-uploads.adoptapet.com/8/9/1/729055327.jpeg</t>
  </si>
  <si>
    <t>https://pet-uploads.adoptapet.com/4/2/d/729055326.jpeg</t>
  </si>
  <si>
    <t>Daisy</t>
  </si>
  <si>
    <t>https://pet-uploads.adoptapet.com/3/f/5/729080823.jpeg</t>
  </si>
  <si>
    <t>Sierra</t>
  </si>
  <si>
    <t>https://pet-uploads.adoptapet.com/3/9/7/729038370.jpeg</t>
  </si>
  <si>
    <t>https://pet-uploads.adoptapet.com/e/2/b/729038369.jpeg</t>
  </si>
  <si>
    <t>https://pet-uploads.adoptapet.com/9/f/9/729324582.jpeg</t>
  </si>
  <si>
    <t>https://pet-uploads.adoptapet.com/1/2/3/729324581.jpeg</t>
  </si>
  <si>
    <t>Sandy</t>
  </si>
  <si>
    <t>https://pet-uploads.adoptapet.com/6/a/e/729345303.jpeg</t>
  </si>
  <si>
    <t>https://pet-uploads.adoptapet.com/c/a/a/729786329.jpeg</t>
  </si>
  <si>
    <t>https://pet-uploads.adoptapet.com/d/a/3/729786334.jpeg</t>
  </si>
  <si>
    <t>Mixed Breed (Small)</t>
  </si>
  <si>
    <t>https://pet-uploads.adoptapet.com/2/2/6/729792721.jpeg</t>
  </si>
  <si>
    <t>https://pet-uploads.adoptapet.com/4/3/5/729792745.jpeg</t>
  </si>
  <si>
    <t>https://pet-uploads.adoptapet.com/d/2/b/729792717.jpeg</t>
  </si>
  <si>
    <t>Beans</t>
  </si>
  <si>
    <t>https://pet-uploads.adoptapet.com/3/9/8/729792723.jpeg</t>
  </si>
  <si>
    <t>Cosmo</t>
  </si>
  <si>
    <t>Frank</t>
  </si>
  <si>
    <t>https://pet-uploads.adoptapet.com/c/3/7/729792718.jpeg</t>
  </si>
  <si>
    <t>Isis</t>
  </si>
  <si>
    <t>https://pet-uploads.adoptapet.com/4/c/e/729786331.jpeg</t>
  </si>
  <si>
    <t>Mako</t>
  </si>
  <si>
    <t>https://pet-uploads.adoptapet.com/4/7/e/729786327.jpeg</t>
  </si>
  <si>
    <t>Miracle</t>
  </si>
  <si>
    <t>https://pet-uploads.adoptapet.com/9/3/c/729786328.jpeg</t>
  </si>
  <si>
    <t>Dottie</t>
  </si>
  <si>
    <t>https://pet-uploads.adoptapet.com/2/0/3/730131497.jpeg</t>
  </si>
  <si>
    <t>Mixed Breed (Large)</t>
  </si>
  <si>
    <t>https://pet-uploads.adoptapet.com/b/b/2/730124496.jpeg</t>
  </si>
  <si>
    <t>Sherman</t>
  </si>
  <si>
    <t>https://pet-uploads.adoptapet.com/1/b/9/730131495.jpeg</t>
  </si>
  <si>
    <t>A0054074533</t>
  </si>
  <si>
    <t>Angel</t>
  </si>
  <si>
    <t>Staffordshire Bull Terrier</t>
  </si>
  <si>
    <t>https://pet-uploads.adoptapet.com/a/c/5/985160286.jpg</t>
  </si>
  <si>
    <t>https://pet-uploads.adoptapet.com/f/2/8/985159663.jpg</t>
  </si>
  <si>
    <t>A0054169372</t>
  </si>
  <si>
    <t>https://pet-uploads.adoptapet.com/b/c/4/1005420967.jpg</t>
  </si>
  <si>
    <t>A0052918526</t>
  </si>
  <si>
    <t>Cookie</t>
  </si>
  <si>
    <t>https://pet-uploads.adoptapet.com/7/8/c/1034200332.jpg</t>
  </si>
  <si>
    <t>A0052018475</t>
  </si>
  <si>
    <t>https://pet-uploads.adoptapet.com/3/8/6/1005742558.jpg</t>
  </si>
  <si>
    <t>A0054514880</t>
  </si>
  <si>
    <t>Estella</t>
  </si>
  <si>
    <t>https://pet-uploads.adoptapet.com/f/f/1/985153249.jpg</t>
  </si>
  <si>
    <t>A0054853934</t>
  </si>
  <si>
    <t>Howie</t>
  </si>
  <si>
    <t>https://pet-uploads.adoptapet.com/3/e/4/1034033002.jpg</t>
  </si>
  <si>
    <t>A0054646068</t>
  </si>
  <si>
    <t>Hunter</t>
  </si>
  <si>
    <t>As how most of our hounds show up, this sweet boy was found as a stray on someone‚Äôs property. The family fostered him for a week or two until their daughter moved back in with them &amp; their dog, so Hunter was then taken to our shelter and has been there ever since. This boys is great in play groups with other dogs and constantly wags his tail. He enjoys greeting other dogs and then goes off and finds the next thing to sniff. Hunter is a beautiful hound who would make any family so very happy.</t>
  </si>
  <si>
    <t>https://pet-uploads.adoptapet.com/e/8/9/985151450.jpg</t>
  </si>
  <si>
    <t>A0053905658</t>
  </si>
  <si>
    <t>Johnny</t>
  </si>
  <si>
    <t>https://pet-uploads.adoptapet.com/8/5/0/985159492.jpg</t>
  </si>
  <si>
    <t>A0054995376</t>
  </si>
  <si>
    <t>Karl</t>
  </si>
  <si>
    <t>https://pet-uploads.adoptapet.com/6/0/f/985153744.jpg</t>
  </si>
  <si>
    <t>Lilith</t>
  </si>
  <si>
    <t>https://pet-uploads.adoptapet.com/a/a/e/985151954.jpg</t>
  </si>
  <si>
    <t>A0054133209</t>
  </si>
  <si>
    <t>Loki</t>
  </si>
  <si>
    <t>https://pet-uploads.adoptapet.com/2/5/9/1005786006.jpg</t>
  </si>
  <si>
    <t>A0054641167</t>
  </si>
  <si>
    <t>Loretta</t>
  </si>
  <si>
    <t>https://pet-uploads.adoptapet.com/f/b/3/985154392.jpg</t>
  </si>
  <si>
    <t>A0054498113</t>
  </si>
  <si>
    <t>Maddie</t>
  </si>
  <si>
    <t>https://pet-uploads.adoptapet.com/5/2/4/985160625.jpg</t>
  </si>
  <si>
    <t>A0054637003</t>
  </si>
  <si>
    <t>Magnus</t>
  </si>
  <si>
    <t>https://pet-uploads.adoptapet.com/c/b/1/1036191298.jpg</t>
  </si>
  <si>
    <t>A0048155620</t>
  </si>
  <si>
    <t>https://pet-uploads.adoptapet.com/5/a/b/985161385.jpg</t>
  </si>
  <si>
    <t>A0051705854</t>
  </si>
  <si>
    <t>https://pet-uploads.adoptapet.com/c/c/6/1005800518.jpg</t>
  </si>
  <si>
    <t>A0054076684</t>
  </si>
  <si>
    <t>Nina</t>
  </si>
  <si>
    <t>She has been at the shelter for 151 days and is suffering from major kennel stress. Nina is extremely playful &amp; does well with other dogs. In fact, we would prefer her to go to a home with another dog to play with. Unfortunately, sitting at the shelter is one huge tease for Nina, as her outdoor pen that she has sat in for 151 days, is right next to the play yard. She sits there day in &amp; day out, watching every single dog go out and play &amp; get attention. She watches families pick out dogs &amp; take them home, all while she sits there and wonders ‚Äúwhat‚Äôs wrong with me?‚Äù. We have to get Nina out asap, at this point, it‚Äôs incredibly urgent for her mental health. This sweet girl knows how to sit &amp; knows how to give her paw, so even though she was found as a stray, she was definitely apart of someone‚Äôs family at one point ‚Äî and we aren‚Äôt quite sure why they wouldn‚Äôt want her back, because she has not a single flaw to us</t>
  </si>
  <si>
    <t>https://pet-uploads.adoptapet.com/1/1/4/985161759.jpg</t>
  </si>
  <si>
    <t>A0054853420</t>
  </si>
  <si>
    <t>Oliver</t>
  </si>
  <si>
    <t>https://pet-uploads.adoptapet.com/4/7/2/985159722.jpg</t>
  </si>
  <si>
    <t>A0054739476</t>
  </si>
  <si>
    <t>Pickles</t>
  </si>
  <si>
    <t>https://pet-uploads.adoptapet.com/c/f/b/1006153010.jpg</t>
  </si>
  <si>
    <t>A0054721176</t>
  </si>
  <si>
    <t>Polo</t>
  </si>
  <si>
    <t>https://pet-uploads.adoptapet.com/d/f/b/1006324571.jpg</t>
  </si>
  <si>
    <t>A0054522565</t>
  </si>
  <si>
    <t>Ramona</t>
  </si>
  <si>
    <t>https://pet-uploads.adoptapet.com/8/2/7/985161116.jpg</t>
  </si>
  <si>
    <t>A0053985123</t>
  </si>
  <si>
    <t>Rex</t>
  </si>
  <si>
    <t>https://pet-uploads.adoptapet.com/d/e/a/1034210722.jpg</t>
  </si>
  <si>
    <t>A0054031792</t>
  </si>
  <si>
    <t>Rojo</t>
  </si>
  <si>
    <t>Red/Golden/Orange/Chestnut - with Black</t>
  </si>
  <si>
    <t>https://pet-uploads.adoptapet.com/1/e/2/1090116479.jpg</t>
  </si>
  <si>
    <t>A0054751117</t>
  </si>
  <si>
    <t>Shadow</t>
  </si>
  <si>
    <t>https://pet-uploads.adoptapet.com/1/d/7/985161571.jpg</t>
  </si>
  <si>
    <t>A0055024364</t>
  </si>
  <si>
    <t>Boss</t>
  </si>
  <si>
    <t>Boss was found as a stray and brought in by animal control. Upon intake, he was found to have a microchip. Despite multiple attempts of contacting the owner, they never came for him. Now, Boss sits in a shelter waiting for someone to let him join their family. Boss does really great in play groups with all sorts of ages &amp; sizes, he enjoys chasing others around and playing ‚Äútag‚Äù. This sweet boy is petite and the perfect pup for you! He also loves enjoying playing with children in the play yard.</t>
  </si>
  <si>
    <t>https://pet-uploads.adoptapet.com/5/c/a/1006334010.jpg</t>
  </si>
  <si>
    <t>https://pet-uploads.adoptapet.com/0/c/4/1090136199.jpg</t>
  </si>
  <si>
    <t>A0055223805</t>
  </si>
  <si>
    <t>Basil</t>
  </si>
  <si>
    <t>Great Pyrenees</t>
  </si>
  <si>
    <t>https://pet-uploads.adoptapet.com/1/a/7/1090114906.jpg</t>
  </si>
  <si>
    <t>A0054916321</t>
  </si>
  <si>
    <t>Brody</t>
  </si>
  <si>
    <t>https://pet-uploads.adoptapet.com/2/8/4/1090129919.jpg</t>
  </si>
  <si>
    <t>A0054188607</t>
  </si>
  <si>
    <t>Carrie</t>
  </si>
  <si>
    <t>https://pet-uploads.adoptapet.com/c/0/2/1090118875.jpg</t>
  </si>
  <si>
    <t>A0055223731</t>
  </si>
  <si>
    <t>Dill</t>
  </si>
  <si>
    <t>https://pet-uploads.adoptapet.com/1/7/b/1090115363.jpg</t>
  </si>
  <si>
    <t>A0055152931</t>
  </si>
  <si>
    <t>https://pet-uploads.adoptapet.com/7/a/9/1090137529.jpg</t>
  </si>
  <si>
    <t>A0054639890</t>
  </si>
  <si>
    <t>Jager</t>
  </si>
  <si>
    <t>https://pet-uploads.adoptapet.com/c/9/b/1105856159.jpg</t>
  </si>
  <si>
    <t>A0054613593</t>
  </si>
  <si>
    <t>Lilly</t>
  </si>
  <si>
    <t>https://pet-uploads.adoptapet.com/1/b/a/1090136418.jpg</t>
  </si>
  <si>
    <t>A0054661853</t>
  </si>
  <si>
    <t>Lucas</t>
  </si>
  <si>
    <t>https://pet-uploads.adoptapet.com/1/d/9/1090127296.jpg</t>
  </si>
  <si>
    <t>A0054624025</t>
  </si>
  <si>
    <t>Ollie</t>
  </si>
  <si>
    <t>https://pet-uploads.adoptapet.com/a/6/3/1090130081.jpg</t>
  </si>
  <si>
    <t>A0055226264</t>
  </si>
  <si>
    <t>Rosemary</t>
  </si>
  <si>
    <t>https://pet-uploads.adoptapet.com/4/6/7/1090115597.jpg</t>
  </si>
  <si>
    <t>A0054968547</t>
  </si>
  <si>
    <t>Toast</t>
  </si>
  <si>
    <t>https://pet-uploads.adoptapet.com/6/a/7/1090117924.jpg</t>
  </si>
  <si>
    <t>A0054984155</t>
  </si>
  <si>
    <t>Waffles</t>
  </si>
  <si>
    <t>Coonhound</t>
  </si>
  <si>
    <t>https://pet-uploads.adoptapet.com/7/3/4/1090118552.jpg</t>
  </si>
  <si>
    <t>A0055096526</t>
  </si>
  <si>
    <t>Annie</t>
  </si>
  <si>
    <t>https://pet-uploads.adoptapet.com/b/c/3/1105893584.jpg</t>
  </si>
  <si>
    <t>A0055096532</t>
  </si>
  <si>
    <t>https://pet-uploads.adoptapet.com/6/e/2/1105893509.jpg</t>
  </si>
  <si>
    <t>A0055109498</t>
  </si>
  <si>
    <t>Forrest</t>
  </si>
  <si>
    <t>Pit Bull Terrier</t>
  </si>
  <si>
    <t>https://pet-uploads.adoptapet.com/6/2/5/1105870987.jpg</t>
  </si>
  <si>
    <t>A0054918436</t>
  </si>
  <si>
    <t>Gibbs</t>
  </si>
  <si>
    <t>https://pet-uploads.adoptapet.com/a/8/5/1105856012.jpg</t>
  </si>
  <si>
    <t>A0054624033</t>
  </si>
  <si>
    <t>Mollie</t>
  </si>
  <si>
    <t>https://pet-uploads.adoptapet.com/6/0/5/1105877893.jpg</t>
  </si>
  <si>
    <t>A0054826642</t>
  </si>
  <si>
    <t>Sarah</t>
  </si>
  <si>
    <t>https://pet-uploads.adoptapet.com/4/c/7/1105876374.jpg</t>
  </si>
  <si>
    <t>A0054184536</t>
  </si>
  <si>
    <t>Tyrone</t>
  </si>
  <si>
    <t>https://pet-uploads.adoptapet.com/f/8/9/1108310337.jpg</t>
  </si>
  <si>
    <t>Meet Angel, a charming dog who's sure to make your days brighter. She's always ready to greet you with a friendly wag. Angel will keep you laughing, and her goofy personality is guaranteed to bring joy into your home. Her playful spirit and boundless energy make her the perfect companion for active families or individuals. Angel loves to run and play. Adopting Angel means gaining a loyal friend who will make every day an adventure. Don't miss the chance to give this wonderful dog the loving home she deserves.</t>
  </si>
  <si>
    <t>https://pet-uploads.adoptapet.com/1/3/7/1112828261.jpg</t>
  </si>
  <si>
    <t>https://pet-uploads.adoptapet.com/2/1/c/1112828270.jpg</t>
  </si>
  <si>
    <t>A0054902330</t>
  </si>
  <si>
    <t>Meet Bear, a resident of our shelter who's brimming with charm and affection. He's a hoot, always ready with a goofy antic to make you chuckle. His playful spirit is infectious, especially when he's engrossed in a game of tug of war, his favorite pastime. Despite being in a shelter, Bear's optimism never wavers. He's quick to learn, eager to please, and a joy to be around. Adopting Bear means gaining a loyal companion who'll bring laughter, love, and a touch of silliness into your life.</t>
  </si>
  <si>
    <t>https://pet-uploads.adoptapet.com/9/7/4/1112826335.jpg</t>
  </si>
  <si>
    <t>https://pet-uploads.adoptapet.com/c/8/a/1112826344.jpg</t>
  </si>
  <si>
    <t>https://pet-uploads.adoptapet.com/f/9/9/1112821633.jpg</t>
  </si>
  <si>
    <t>A0055430050</t>
  </si>
  <si>
    <t>Dale</t>
  </si>
  <si>
    <t>Dale is a delightful boy, full of joy and ready to make you laugh with his goofiness. He frequently greets you in his kennel by standing up perfectly on his hind legs with his front paws extended in front of him. He has a vibrant personality, full of sweetness and friendliness. He's ready for a game of fetch or just romping in the yard. Dale is playful and happy, and would make the perfect companion for those seeking a loyal friend. Dale's goofy zest for life is unmatched, and he's just waiting for a loving home where he can share his joy. Adopt Dale and let his infectious energy brighten up your life.</t>
  </si>
  <si>
    <t>https://pet-uploads.adoptapet.com/f/d/0/1112824848.jpg</t>
  </si>
  <si>
    <t>https://pet-uploads.adoptapet.com/c/3/6/1117125336.jpg</t>
  </si>
  <si>
    <t>https://pet-uploads.adoptapet.com/3/b/a/1117125342.jpg</t>
  </si>
  <si>
    <t>A0055410122</t>
  </si>
  <si>
    <t>Dandy</t>
  </si>
  <si>
    <t>Merle</t>
  </si>
  <si>
    <t>Meet Dandy, a shelter dog with a heart full of love and a spirit full of play. He's ready for a game of fetch or a romp around the yard. Yet, Dandy also knows when it's time to slow down. His mellow side shines through where he's most content to simply lie down and enjoy a good belly rub. His friendly nature and love for cuddles make him a joy to be around and the perfect companion. His sweet disposition and fun-loving personality are sure to brighten up any home. Adopt Dandy and let his love and laughter fill your life.</t>
  </si>
  <si>
    <t>https://pet-uploads.adoptapet.com/c/1/a/1112827429.jpg</t>
  </si>
  <si>
    <t>https://pet-uploads.adoptapet.com/e/0/e/1112827438.jpg</t>
  </si>
  <si>
    <t>https://pet-uploads.adoptapet.com/4/c/9/1112827444.jpg</t>
  </si>
  <si>
    <t>https://pet-uploads.adoptapet.com/3/7/5/1112826933.jpg</t>
  </si>
  <si>
    <t>https://pet-uploads.adoptapet.com/d/4/f/1112826946.jpg</t>
  </si>
  <si>
    <t>Jager is a typical labby mix who's ready to go. This boy has a zest for life and would be most happy being active. He'd make a great family dog or with someone that would enjoy entertaining him. He prefers not to potty in his kennel. Adoption fee is $90.00 which includes a microchip, spay/neuter, heart worm test, rabies, vaccinations, and boosters.</t>
  </si>
  <si>
    <t>https://pet-uploads.adoptapet.com/9/e/b/1112822310.jpg</t>
  </si>
  <si>
    <t>https://pet-uploads.adoptapet.com/f/b/f/1112822327.jpg</t>
  </si>
  <si>
    <t>A0054032991</t>
  </si>
  <si>
    <t>Lillith</t>
  </si>
  <si>
    <t>https://pet-uploads.adoptapet.com/f/1/a/1112826746.jpg</t>
  </si>
  <si>
    <t>https://pet-uploads.adoptapet.com/e/5/5/1112826755.jpg</t>
  </si>
  <si>
    <t>Meet Lucas, aka "Ducky" who's a bright and happy boy. His personality is a delightful blend of friendly, funny, playful, cuddly, and curious. His curiosity keeps him engaged with the world around him, and his cuddly nature makes him the perfect companion for cozy nights in. Lucas has a unique feature that sets him apart from other dogs - his adorable looking duck feet, hence the nickname Ducky! Lucas is more than just a pet with cute pointy ears; he's a friend and a source of endless joy and laughter. His future family will be lucky to have such a charming and loving companion. Adopt Lucas and fill your home with love, laughter, and a lifetime of wonderful memories.</t>
  </si>
  <si>
    <t>https://pet-uploads.adoptapet.com/5/b/7/1112825862.jpg</t>
  </si>
  <si>
    <t>https://pet-uploads.adoptapet.com/8/e/8/1112825871.jpg</t>
  </si>
  <si>
    <t>https://pet-uploads.adoptapet.com/5/f/9/1112828426.jpg</t>
  </si>
  <si>
    <t>https://pet-uploads.adoptapet.com/f/2/e/1112828435.jpg</t>
  </si>
  <si>
    <t>https://pet-uploads.adoptapet.com/0/b/2/1113214197.jpg</t>
  </si>
  <si>
    <t>https://pet-uploads.adoptapet.com/6/a/f/1113214206.jpg</t>
  </si>
  <si>
    <t>https://pet-uploads.adoptapet.com/b/1/0/1112826825.jpg</t>
  </si>
  <si>
    <t>https://pet-uploads.adoptapet.com/0/2/3/1112826834.jpg</t>
  </si>
  <si>
    <t>A0055409110</t>
  </si>
  <si>
    <t>Stella</t>
  </si>
  <si>
    <t>https://pet-uploads.adoptapet.com/3/6/b/1112825548.jpg</t>
  </si>
  <si>
    <t>https://pet-uploads.adoptapet.com/8/3/4/1112825557.jpg</t>
  </si>
  <si>
    <t>https://pet-uploads.adoptapet.com/9/7/0/1112821169.jpg</t>
  </si>
  <si>
    <t>https://pet-uploads.adoptapet.com/1/c/c/1112825626.jpg</t>
  </si>
  <si>
    <t>https://pet-uploads.adoptapet.com/6/c/a/1112825635.jpg</t>
  </si>
  <si>
    <t>A0055147025</t>
  </si>
  <si>
    <t>Bindi</t>
  </si>
  <si>
    <t>Bindi is a sweet, charming bundle of joy that's sure to brighten up any home. She's always ready to greet you with a friendly tail wag. She likes exploring her surroundings and enjoys playing fetch. But she's also content to just laze around. She's a snuggler, and dreams of having a home where she can curl up by your side. Adopt Bindi, and you'll gain not just a pet, but a loyal companion, a source of endless laughter, and a comforting presence to come home to.</t>
  </si>
  <si>
    <t>https://pet-uploads.adoptapet.com/9/8/d/1117125321.jpg</t>
  </si>
  <si>
    <t>https://pet-uploads.adoptapet.com/a/1/b/1117125330.jpg</t>
  </si>
  <si>
    <t>A0054530343</t>
  </si>
  <si>
    <t>Boone</t>
  </si>
  <si>
    <t>Meet Boone, a sweet and friendly boy who is sure to steal your heart. He's the perfect blend of curiosity and intelligence, always eager to explore new environments. Boone is wonderfully mellow, preferring to spend his days lounging or taking leisurely strolls in the yard. He's independent, but that doesn't mean he doesn't enjoy a good cuddle session. Boone's calm personality makes him a joy to be around. He's been selected as a behavior testing dog on several occasions. He's well behaved in his kennel and prefers to do his business outside when possible. He's not just a pet, but will be a friend who'll bring companionship into your life. Adopt Boone, and let his sweet nature and charming personality fill your home with happiness.</t>
  </si>
  <si>
    <t>https://pet-uploads.adoptapet.com/e/e/b/1113207022.jpg</t>
  </si>
  <si>
    <t>A0054905074</t>
  </si>
  <si>
    <t>Brandy</t>
  </si>
  <si>
    <t>Meet Brandy, the epitome of joy and energy! She has a playful spirit. Brandy's funny antics are sure to keep you entertained. She loves taking a dip in the pool, so expect plenty of water-filled escapades. She would make the perfect water park, lake or beach companion! With her energetic personality and sweet nature, Brandy promises to be a loving and loyal companion. Adopt Brandy, and let her bring an abundance of happiness and laughter into your life.</t>
  </si>
  <si>
    <t>https://pet-uploads.adoptapet.com/2/2/2/1113213343.jpg</t>
  </si>
  <si>
    <t>A0054801062</t>
  </si>
  <si>
    <t>https://pet-uploads.adoptapet.com/7/7/a/1113126087.jpg</t>
  </si>
  <si>
    <t>A0055158068</t>
  </si>
  <si>
    <t>Diamond</t>
  </si>
  <si>
    <t>https://pet-uploads.adoptapet.com/6/d/0/1113218936.jpg</t>
  </si>
  <si>
    <t>A0055042123</t>
  </si>
  <si>
    <t>Meet Fern, a dog with a charming personality. Her happy spirit is infectious; she's sweet, and friendly with a side of unexpected energy. Her goofiness is endearing, often making you laugh at running full speed once she hits the yard or entertaining herself by throwing a rope toy up in the air. Fern is not just a dog, she's a companion who will bring joy, laughter, and companionship to your life. By adopting Fern, you're not just getting a pet, you're gaining a friend who will love you unconditionally and make every day brighter.</t>
  </si>
  <si>
    <t>https://pet-uploads.adoptapet.com/b/b/f/1113206842.jpg</t>
  </si>
  <si>
    <t>https://pet-uploads.adoptapet.com/7/5/7/1113206851.jpg</t>
  </si>
  <si>
    <t>A0055403623</t>
  </si>
  <si>
    <t>Frida</t>
  </si>
  <si>
    <t>https://pet-uploads.adoptapet.com/4/2/2/1113219393.jpg</t>
  </si>
  <si>
    <t>https://pet-uploads.adoptapet.com/5/9/9/1113219513.jpg</t>
  </si>
  <si>
    <t>https://pet-uploads.adoptapet.com/3/2/2/1113219546.jpg</t>
  </si>
  <si>
    <t>https://pet-uploads.adoptapet.com/a/b/d/1113212953.jpg</t>
  </si>
  <si>
    <t>https://pet-uploads.adoptapet.com/0/d/8/1113212962.jpg</t>
  </si>
  <si>
    <t>https://pet-uploads.adoptapet.com/5/4/b/1113212968.jpg</t>
  </si>
  <si>
    <t>https://pet-uploads.adoptapet.com/f/7/9/1113212979.jpg</t>
  </si>
  <si>
    <t>A0055067979</t>
  </si>
  <si>
    <t>https://pet-uploads.adoptapet.com/f/2/3/1113125978.jpg</t>
  </si>
  <si>
    <t>https://pet-uploads.adoptapet.com/e/5/1/1113216693.jpg</t>
  </si>
  <si>
    <t>A0055138753</t>
  </si>
  <si>
    <t>Mack</t>
  </si>
  <si>
    <t>https://pet-uploads.adoptapet.com/0/a/0/1117125408.jpg</t>
  </si>
  <si>
    <t>https://pet-uploads.adoptapet.com/d/0/d/1113213912.jpg</t>
  </si>
  <si>
    <t>https://pet-uploads.adoptapet.com/a/f/1/1113213921.jpg</t>
  </si>
  <si>
    <t>A0055114953</t>
  </si>
  <si>
    <t>Rosanne</t>
  </si>
  <si>
    <t>https://pet-uploads.adoptapet.com/5/7/e/1113207396.jpg</t>
  </si>
  <si>
    <t>Meet Sarah, a dog with a heart as big as her personality. If you're looking for a dog with a lot of personality, Sarah is the dog for you. She's the epitome of sweetness, always ready to greet you with a wagging tail and her famous "woowoo" talk. Sarah will quickly mellow out and melt in your arms with a belly rub. She walks wonderful on leash and is very well behaved. She's the perfect cuddle buddy, and her gentle nature makes her a joy to be around. Sarah's love for hugs is unmatched, a testament to her affectionate personality. Adopting Sarah means bringing home a companion who will fill your life with laughter, love, and loyalty.</t>
  </si>
  <si>
    <t>https://pet-uploads.adoptapet.com/3/0/0/1113126691.jpg</t>
  </si>
  <si>
    <t>A0054757787</t>
  </si>
  <si>
    <t>Wendy</t>
  </si>
  <si>
    <t>https://pet-uploads.adoptapet.com/c/a/4/1113214066.jpg</t>
  </si>
  <si>
    <t>https://pet-uploads.adoptapet.com/c/c/2/1113214075.jpg</t>
  </si>
  <si>
    <t>A0055232256</t>
  </si>
  <si>
    <t>Zelda</t>
  </si>
  <si>
    <t>https://pet-uploads.adoptapet.com/8/f/4/1117125444.jpg</t>
  </si>
  <si>
    <t>A0055084916</t>
  </si>
  <si>
    <t>Binky</t>
  </si>
  <si>
    <t>https://pet-uploads.adoptapet.com/b/1/0/1113878908.jpg</t>
  </si>
  <si>
    <t>https://pet-uploads.adoptapet.com/4/6/d/1113878917.jpg</t>
  </si>
  <si>
    <t>A0055119011</t>
  </si>
  <si>
    <t>Camilla</t>
  </si>
  <si>
    <t>https://pet-uploads.adoptapet.com/f/0/a/1113882352.jpg</t>
  </si>
  <si>
    <t>A0055115298</t>
  </si>
  <si>
    <t>Chandler</t>
  </si>
  <si>
    <t>https://pet-uploads.adoptapet.com/f/3/f/1113882218.jpg</t>
  </si>
  <si>
    <t>A0055223696</t>
  </si>
  <si>
    <t>Maci</t>
  </si>
  <si>
    <t>https://pet-uploads.adoptapet.com/7/2/c/1113882032.jpg</t>
  </si>
  <si>
    <t>A0055085610</t>
  </si>
  <si>
    <t>Peyton</t>
  </si>
  <si>
    <t>https://pet-uploads.adoptapet.com/f/6/6/1113882718.jpg</t>
  </si>
  <si>
    <t>https://pet-uploads.adoptapet.com/4/e/6/1113882727.jpg</t>
  </si>
  <si>
    <t>A0055409160</t>
  </si>
  <si>
    <t>Shamu</t>
  </si>
  <si>
    <t>https://pet-uploads.adoptapet.com/0/3/3/1117125417.jpg</t>
  </si>
  <si>
    <t>A0054771089</t>
  </si>
  <si>
    <t>Todd</t>
  </si>
  <si>
    <t>https://pet-uploads.adoptapet.com/3/6/1/1113879304.jpg</t>
  </si>
  <si>
    <t>https://pet-uploads.adoptapet.com/0/f/c/1114717938.jpg</t>
  </si>
  <si>
    <t>Bobo</t>
  </si>
  <si>
    <t>https://pet-uploads.adoptapet.com/c/9/3/1114747929.jpg</t>
  </si>
  <si>
    <t>https://pet-uploads.adoptapet.com/4/3/9/1114716258.jpg</t>
  </si>
  <si>
    <t>https://pet-uploads.adoptapet.com/7/a/5/1114723646.jpg</t>
  </si>
  <si>
    <t>Eden</t>
  </si>
  <si>
    <t>https://pet-uploads.adoptapet.com/c/8/c/1114749088.jpg</t>
  </si>
  <si>
    <t>Fred</t>
  </si>
  <si>
    <t>https://pet-uploads.adoptapet.com/a/d/b/1114747769.jpg</t>
  </si>
  <si>
    <t>https://pet-uploads.adoptapet.com/6/8/f/1114715759.jpg</t>
  </si>
  <si>
    <t>Kenny</t>
  </si>
  <si>
    <t>https://pet-uploads.adoptapet.com/0/4/9/1114748832.jpg</t>
  </si>
  <si>
    <t>Kip</t>
  </si>
  <si>
    <t>https://pet-uploads.adoptapet.com/8/0/0/1114696497.jpg</t>
  </si>
  <si>
    <t>Lena</t>
  </si>
  <si>
    <t>Orange or Red (Mostly)</t>
  </si>
  <si>
    <t>https://pet-uploads.adoptapet.com/e/c/d/1114749771.jpg</t>
  </si>
  <si>
    <t>Squeak</t>
  </si>
  <si>
    <t>Siamese</t>
  </si>
  <si>
    <t>https://pet-uploads.adoptapet.com/c/f/2/1114749860.jpg</t>
  </si>
  <si>
    <t>Squeakie</t>
  </si>
  <si>
    <t>https://pet-uploads.adoptapet.com/1/d/a/1114754100.jpg</t>
  </si>
  <si>
    <t>Squirt</t>
  </si>
  <si>
    <t>https://pet-uploads.adoptapet.com/0/b/0/1114716642.jpg</t>
  </si>
  <si>
    <t>Orange or Red Tabby</t>
  </si>
  <si>
    <t>https://pet-uploads.adoptapet.com/6/6/c/1114817470.jpg</t>
  </si>
  <si>
    <t>Junior</t>
  </si>
  <si>
    <t>https://pet-uploads.adoptapet.com/0/b/b/1114817461.jpg</t>
  </si>
  <si>
    <t>Lucy</t>
  </si>
  <si>
    <t>https://pet-uploads.adoptapet.com/7/6/c/1114817518.jpg</t>
  </si>
  <si>
    <t>https://pet-uploads.adoptapet.com/d/5/d/1114817500.jpg</t>
  </si>
  <si>
    <t>Black (Mostly)</t>
  </si>
  <si>
    <t>https://pet-uploads.adoptapet.com/9/d/9/1114984084.jpg</t>
  </si>
  <si>
    <t>BooBoo@PetSmart</t>
  </si>
  <si>
    <t>BooBoo is currently being fostered by PetSmart, Beaufort SC and is available for adoption there.</t>
  </si>
  <si>
    <t>https://pet-uploads.adoptapet.com/d/e/3/1114998704.jpg</t>
  </si>
  <si>
    <t>Boris</t>
  </si>
  <si>
    <t>Tiger Striped</t>
  </si>
  <si>
    <t>https://pet-uploads.adoptapet.com/f/d/8/1117564019.jpg</t>
  </si>
  <si>
    <t>https://pet-uploads.adoptapet.com/c/b/e/1114983935.jpg</t>
  </si>
  <si>
    <t>Charlotte</t>
  </si>
  <si>
    <t>https://pet-uploads.adoptapet.com/f/1/1/1117444616.jpg</t>
  </si>
  <si>
    <t>https://pet-uploads.adoptapet.com/b/6/7/1114983857.jpg</t>
  </si>
  <si>
    <t>Cookie@PetSmart</t>
  </si>
  <si>
    <t>Cookie is currently being fostered by PetSmart in Beaufort SC, and is available for adoption there.</t>
  </si>
  <si>
    <t>https://pet-uploads.adoptapet.com/9/5/4/1114999165.jpg</t>
  </si>
  <si>
    <t>Cressie</t>
  </si>
  <si>
    <t>Cressie is currently in a foster home. Contact Colleton County Animal Services for more information or to arrange a meet and greet.</t>
  </si>
  <si>
    <t>https://pet-uploads.adoptapet.com/a/9/1/1114994314.jpg</t>
  </si>
  <si>
    <t>Crosby@PetSmart</t>
  </si>
  <si>
    <t>Crosby is being fostered by PetSmart in Beaufort SC and is available for adoption there.</t>
  </si>
  <si>
    <t>https://pet-uploads.adoptapet.com/8/9/1/1114999096.jpg</t>
  </si>
  <si>
    <t>Doja</t>
  </si>
  <si>
    <t>https://pet-uploads.adoptapet.com/3/d/a/1114984009.jpg</t>
  </si>
  <si>
    <t>Ebby</t>
  </si>
  <si>
    <t>Faline@PetSmart</t>
  </si>
  <si>
    <t>Faline is currently being fostered by PetSmart in Beaufort SC and is available for adoption there.</t>
  </si>
  <si>
    <t>https://pet-uploads.adoptapet.com/1/d/b/1114999707.jpg</t>
  </si>
  <si>
    <t>Fritz@PetSmart</t>
  </si>
  <si>
    <t>Fritz is currently being fostered by PetSmart in Beaufort SC and is available for adoption there.</t>
  </si>
  <si>
    <t>https://pet-uploads.adoptapet.com/6/1/8/1114998966.jpg</t>
  </si>
  <si>
    <t>Handy</t>
  </si>
  <si>
    <t>https://pet-uploads.adoptapet.com/3/e/6/1114993105.jpg</t>
  </si>
  <si>
    <t>Opal</t>
  </si>
  <si>
    <t>https://pet-uploads.adoptapet.com/2/0/9/1114983806.jpg</t>
  </si>
  <si>
    <t>Pecan@Petsense</t>
  </si>
  <si>
    <t>Orange and white Pecan is a sweet boy. He is currently being fostered by Petsense Goose Creek, 98 Davenport Street, Goose Creek, SC. He is available for adoption there.</t>
  </si>
  <si>
    <t>https://pet-uploads.adoptapet.com/b/7/a/1114996183.jpg</t>
  </si>
  <si>
    <t>Petit Roge</t>
  </si>
  <si>
    <t>https://pet-uploads.adoptapet.com/2/a/f/1117444938.jpg</t>
  </si>
  <si>
    <t>https://pet-uploads.adoptapet.com/a/e/b/1115000516.jpg</t>
  </si>
  <si>
    <t>Pluto</t>
  </si>
  <si>
    <t>https://pet-uploads.adoptapet.com/f/4/5/1114992320.jpg</t>
  </si>
  <si>
    <t>Snowball Barn Cat</t>
  </si>
  <si>
    <t>https://pet-uploads.adoptapet.com/b/2/5/1114983770.jpg</t>
  </si>
  <si>
    <t>Steve - Barn Cat</t>
  </si>
  <si>
    <t>https://pet-uploads.adoptapet.com/0/5/6/1114984120.jpg</t>
  </si>
  <si>
    <t>Zeke Barn Cat</t>
  </si>
  <si>
    <t>https://pet-uploads.adoptapet.com/3/b/a/1115757039.jpg</t>
  </si>
  <si>
    <t>https://pet-uploads.adoptapet.com/3/4/b/1117127551.jpg</t>
  </si>
  <si>
    <t>https://pet-uploads.adoptapet.com/b/4/6/1117127571.jpg</t>
  </si>
  <si>
    <t>A0055395177</t>
  </si>
  <si>
    <t>https://pet-uploads.adoptapet.com/e/1/f/1116744241.jpg</t>
  </si>
  <si>
    <t>https://pet-uploads.adoptapet.com/4/4/0/1116744255.jpg</t>
  </si>
  <si>
    <t>A0054619059</t>
  </si>
  <si>
    <t>Draco</t>
  </si>
  <si>
    <t>https://pet-uploads.adoptapet.com/6/8/0/1116744438.jpg</t>
  </si>
  <si>
    <t>A0055653660</t>
  </si>
  <si>
    <t>Fido</t>
  </si>
  <si>
    <t>https://pet-uploads.adoptapet.com/1/e/7/1117125363.jpg</t>
  </si>
  <si>
    <t>A0039320669</t>
  </si>
  <si>
    <t>Gypsy</t>
  </si>
  <si>
    <t>https://pet-uploads.adoptapet.com/e/9/d/1116731280.jpg</t>
  </si>
  <si>
    <t>A0055386242</t>
  </si>
  <si>
    <t>Happy Gilmore</t>
  </si>
  <si>
    <t>https://pet-uploads.adoptapet.com/e/4/c/1116726865.jpg</t>
  </si>
  <si>
    <t>A0055541430</t>
  </si>
  <si>
    <t>Juliette</t>
  </si>
  <si>
    <t>https://pet-uploads.adoptapet.com/7/6/0/1117125399.jpg</t>
  </si>
  <si>
    <t>A0055612502</t>
  </si>
  <si>
    <t>Kaylee</t>
  </si>
  <si>
    <t>A0054937174</t>
  </si>
  <si>
    <t>Marvin</t>
  </si>
  <si>
    <t>https://pet-uploads.adoptapet.com/8/f/2/1116727045.jpg</t>
  </si>
  <si>
    <t>https://pet-uploads.adoptapet.com/e/6/f/1116727054.jpg</t>
  </si>
  <si>
    <t>A0055548658</t>
  </si>
  <si>
    <t>Otis</t>
  </si>
  <si>
    <t>https://pet-uploads.adoptapet.com/1/0/7/1116736610.jpg</t>
  </si>
  <si>
    <t>A0055068480</t>
  </si>
  <si>
    <t>Pixie</t>
  </si>
  <si>
    <t>https://pet-uploads.adoptapet.com/9/1/b/1116732134.jpg</t>
  </si>
  <si>
    <t>https://pet-uploads.adoptapet.com/f/7/c/1116732146.jpg</t>
  </si>
  <si>
    <t>https://pet-uploads.adoptapet.com/e/c/3/1116732155.jpg</t>
  </si>
  <si>
    <t>A0055532620</t>
  </si>
  <si>
    <t>Toto</t>
  </si>
  <si>
    <t>https://pet-uploads.adoptapet.com/8/8/c/1117125426.jpg</t>
  </si>
  <si>
    <t>A0055148268</t>
  </si>
  <si>
    <t>Turbo</t>
  </si>
  <si>
    <t>https://pet-uploads.adoptapet.com/b/f/a/1116731229.jpg</t>
  </si>
  <si>
    <t>A0055604434</t>
  </si>
  <si>
    <t>Woody</t>
  </si>
  <si>
    <t>https://pet-uploads.adoptapet.com/6/5/0/1116730859.jpg</t>
  </si>
  <si>
    <t>A0055243359</t>
  </si>
  <si>
    <t>Zola</t>
  </si>
  <si>
    <t>https://pet-uploads.adoptapet.com/2/a/8/1116727262.jpg</t>
  </si>
  <si>
    <t>A0055465747</t>
  </si>
  <si>
    <t>Blossom</t>
  </si>
  <si>
    <t>https://pet-uploads.adoptapet.com/8/4/8/1118537528.jpg</t>
  </si>
  <si>
    <t>https://pet-uploads.adoptapet.com/2/e/5/1118537744.jpg</t>
  </si>
  <si>
    <t>A0055465829</t>
  </si>
  <si>
    <t>Bubbles</t>
  </si>
  <si>
    <t>A0055465869</t>
  </si>
  <si>
    <t>Buttercup</t>
  </si>
  <si>
    <t>https://pet-uploads.adoptapet.com/5/0/3/1118539191.jpg</t>
  </si>
  <si>
    <t>A0055395150</t>
  </si>
  <si>
    <t>Carmen</t>
  </si>
  <si>
    <t>https://pet-uploads.adoptapet.com/9/7/1/1118537949.jpg</t>
  </si>
  <si>
    <t>A0055541433</t>
  </si>
  <si>
    <t>Chocolate Chip</t>
  </si>
  <si>
    <t>A0055395142</t>
  </si>
  <si>
    <t>Cinnamon</t>
  </si>
  <si>
    <t>A0055429768</t>
  </si>
  <si>
    <t>Erin</t>
  </si>
  <si>
    <t>https://pet-uploads.adoptapet.com/2/e/5/1118538810.jpg</t>
  </si>
  <si>
    <t>https://pet-uploads.adoptapet.com/9/9/1/1118538829.jpg</t>
  </si>
  <si>
    <t>A0055427709</t>
  </si>
  <si>
    <t>Marilyn</t>
  </si>
  <si>
    <t>https://pet-uploads.adoptapet.com/4/6/7/1118539365.jpg</t>
  </si>
  <si>
    <t>https://pet-uploads.adoptapet.com/7/d/3/1118539379.jpg</t>
  </si>
  <si>
    <t>A0055009826</t>
  </si>
  <si>
    <t>https://pet-uploads.adoptapet.com/1/f/d/1118533544.jpg</t>
  </si>
  <si>
    <t>A0055366667</t>
  </si>
  <si>
    <t>Romeo</t>
  </si>
  <si>
    <t>https://pet-uploads.adoptapet.com/b/7/c/1118533858.jpg</t>
  </si>
  <si>
    <t>A0055081844</t>
  </si>
  <si>
    <t>Bingo</t>
  </si>
  <si>
    <t>https://pet-uploads.adoptapet.com/6/a/3/1121205410.jpg</t>
  </si>
  <si>
    <t>A0055494252</t>
  </si>
  <si>
    <t>Brock</t>
  </si>
  <si>
    <t>https://pet-uploads.adoptapet.com/7/f/0/1121205359.jpg</t>
  </si>
  <si>
    <t>https://pet-uploads.adoptapet.com/d/a/e/1121205368.jpg</t>
  </si>
  <si>
    <t>A0055583680</t>
  </si>
  <si>
    <t>Ernie</t>
  </si>
  <si>
    <t>https://pet-uploads.adoptapet.com/8/c/3/1121205626.jpg</t>
  </si>
  <si>
    <t>https://pet-uploads.adoptapet.com/1/e/2/1121205635.jpg</t>
  </si>
  <si>
    <t>A0055613725</t>
  </si>
  <si>
    <t>Lady</t>
  </si>
  <si>
    <t>https://pet-uploads.adoptapet.com/2/b/5/1121205335.jpg</t>
  </si>
  <si>
    <t>https://pet-uploads.adoptapet.com/2/0/f/1121205344.jpg</t>
  </si>
  <si>
    <t>A0054917253</t>
  </si>
  <si>
    <t>Truman</t>
  </si>
  <si>
    <t>https://pet-uploads.adoptapet.com/e/0/b/1121205452.jpg</t>
  </si>
  <si>
    <t>https://pet-uploads.adoptapet.com/8/a/b/1121205461.jpg</t>
  </si>
  <si>
    <t>Meet Angel, a charming dog who's sure to make your days brighter. She's always ready to greet you with a friendly wag. Angel will keep you laughing, and her goofy personality is guaranteed to bring joy into your home. Her playful spirit and boundless energy make her the perfect companion for active families or individuals. Angel loves to run and play. Adopting Angel means gaining a loyal friend who will make every day an adventure. Don't miss the chance to give this wonderful dog the loving home she deserves. Adoption fee is $90.00 which includes a microchip, spay/neuter, heart worm test, rabies, vaccinations, and boosters.</t>
  </si>
  <si>
    <t>https://pet-uploads.adoptapet.com/7/0/9/1125559924.jpg</t>
  </si>
  <si>
    <t>https://pet-uploads.adoptapet.com/d/0/b/1125559933.jpg</t>
  </si>
  <si>
    <t>Meet Boone, a sweet and friendly boy who is sure to steal your heart. He's the perfect blend of curiosity and intelligence, always eager to explore new environments. Boone is wonderfully mellow, preferring to spend his days lounging or taking leisurely strolls in the yard. He's independent, but that doesn't mean he doesn't enjoy a good cuddle session. Boone's calm personality makes him a joy to be around. He's been selected as a behavior testing dog on several occasions. He's well behaved in his kennel and prefers to do his business outside when possible. He's not just a pet, but will be a friend who'll bring companionship into your life. Adopt Boone, and let his sweet nature and charming personality fill your home with happiness. Adoption fee is $90.00 which includes a microchip, spay/neuter, heart worm test, rabies, vaccinations, and boosters.</t>
  </si>
  <si>
    <t>https://pet-uploads.adoptapet.com/7/8/f/1125560946.jpg</t>
  </si>
  <si>
    <t>https://pet-uploads.adoptapet.com/d/5/8/1125560955.jpg</t>
  </si>
  <si>
    <t>https://pet-uploads.adoptapet.com/6/c/e/1125560961.jpg</t>
  </si>
  <si>
    <t>Clyde's start in life was neglect, coming in with a broken spirit and many health issues. He has now transformed into a healthy and happy boy who just enjoys life and playing with toys. He mostly likes anything rubber or something that squeaks and is content entertaining himself for a while. He's good with other dogs. Adoption fee is $90.00 which includes a microchip, spay/neuter, heart worm test, rabies, vaccinations, and boosters.</t>
  </si>
  <si>
    <t>https://pet-uploads.adoptapet.com/b/8/f/1125559714.jpg</t>
  </si>
  <si>
    <t>https://pet-uploads.adoptapet.com/8/5/f/1125559726.jpg</t>
  </si>
  <si>
    <t>https://pet-uploads.adoptapet.com/e/8/0/1125569997.jpg</t>
  </si>
  <si>
    <t>https://pet-uploads.adoptapet.com/3/2/d/1125570030.jpg</t>
  </si>
  <si>
    <t>https://pet-uploads.adoptapet.com/2/6/f/1125570039.jpg</t>
  </si>
  <si>
    <t>https://pet-uploads.adoptapet.com/3/c/5/1125563305.jpg</t>
  </si>
  <si>
    <t>https://pet-uploads.adoptapet.com/2/f/9/1125563326.jpg</t>
  </si>
  <si>
    <t>https://pet-uploads.adoptapet.com/3/c/d/1125563336.jpg</t>
  </si>
  <si>
    <t>https://pet-uploads.adoptapet.com/e/8/5/1125570362.jpg</t>
  </si>
  <si>
    <t>https://pet-uploads.adoptapet.com/f/e/6/1125570371.jpg</t>
  </si>
  <si>
    <t>https://pet-uploads.adoptapet.com/0/d/4/1125570377.jpg</t>
  </si>
  <si>
    <t>https://pet-uploads.adoptapet.com/3/e/8/1125570383.jpg</t>
  </si>
  <si>
    <t>https://pet-uploads.adoptapet.com/1/1/f/1125565340.jpg</t>
  </si>
  <si>
    <t>https://pet-uploads.adoptapet.com/5/7/c/1125565370.jpg</t>
  </si>
  <si>
    <t>https://pet-uploads.adoptapet.com/b/1/8/1125565391.jpg</t>
  </si>
  <si>
    <t>https://pet-uploads.adoptapet.com/a/a/f/1125562261.jpg</t>
  </si>
  <si>
    <t>https://pet-uploads.adoptapet.com/9/d/3/1125562275.jpg</t>
  </si>
  <si>
    <t>https://pet-uploads.adoptapet.com/3/c/c/1125562291.jpg</t>
  </si>
  <si>
    <t>https://pet-uploads.adoptapet.com/b/3/4/1125562313.jpg</t>
  </si>
  <si>
    <t>Meet Lucas, aka "Ducky" who's a bright and happy boy. His personality is a delightful blend of friendly, funny, playful, cuddly, and curious. His curiosity keeps him engaged with the world around him, and his cuddly nature makes him the perfect companion for cozy nights in. Lucas has a unique feature that sets him apart from other dogs - his adorable looking duck feet, hence the nickname Ducky! Lucas is more than just a pet with cute pointy ears; he's a friend and a source of endless joy and laughter. His future family will be lucky to have such a charming and loving companion. Adopt Lucas and fill your home with love, laughter, and a lifetime of wonderful memories. Adoption fee is $90.00 which includes a microchip, spay/neuter, heart worm test, rabies, vaccinations, and boosters.</t>
  </si>
  <si>
    <t>https://pet-uploads.adoptapet.com/2/a/1/1125566914.jpg</t>
  </si>
  <si>
    <t>https://pet-uploads.adoptapet.com/e/5/a/1125566950.jpg</t>
  </si>
  <si>
    <t>https://pet-uploads.adoptapet.com/b/c/6/1125566969.jpg</t>
  </si>
  <si>
    <t>https://pet-uploads.adoptapet.com/0/c/9/1125566984.jpg</t>
  </si>
  <si>
    <t>Where are our brindle boy lovers? Our beautiful Magnus has been looking for his forever home since October 20, 2023. He is a big ol boy who loves to play in the play yard and is smiles for days. He recently went on a Pretty Pup Pack Walk with three other large big boy land seals and absolutely loved spending time outside of the shelter walls. He was so excited to be out on a walk and getting fresh air and exercise, after the initial excitement of getting a chance outside, he calmed down and walked incredibly well on a leash. He would be a great adventure companion. I mean, look at that smile üòç come scoop this perfect boy right on up!</t>
  </si>
  <si>
    <t>https://pet-uploads.adoptapet.com/1/b/6/1125564065.jpg</t>
  </si>
  <si>
    <t>https://pet-uploads.adoptapet.com/d/9/d/1125564102.jpg</t>
  </si>
  <si>
    <t>Tyrone is on one of the best kennel dogs. He remains calm &amp; composed in his kennel, as he patiently awaits his time in the play yard. Tyrone has been at the shelter, found as a stray since 9/18/23 and is an absolute wonderful dog. As you can see in his reel, he is kid friendly, dog friendly, and is great out in public. He went out on one of our Pretty Pup Pack Walks and did exceptional well on his hike with his hiking family, as well as behaved amazing with all the other dogs on the hike too. We are so shocked that he is still here because he checks off everything you‚Äôd want in a dog ‚Äî plus, he‚Äôs beautiful!</t>
  </si>
  <si>
    <t>https://pet-uploads.adoptapet.com/1/e/a/1125559909.jpg</t>
  </si>
  <si>
    <t>https://pet-uploads.adoptapet.com/2/3/a/1125559918.jpg</t>
  </si>
  <si>
    <t>When I think of a bullet proof dog, that‚Äôs Wendy. Wendy loves absolutely anyone &amp; everyone. She‚Äôs kind, gentle, walks well on a leash, loves being pet, wonderful with other dogs, and confident with children. She would make THE BEST family pet. She‚Äôs not too big &amp; because of her gentle nature, she would do great with children in the homes. She has come a long way from when she first came in, but, it‚Äôs hitting her six month mark and it‚Äôs time for her to find the perfect family to let her join</t>
  </si>
  <si>
    <t>https://pet-uploads.adoptapet.com/7/f/8/1125569553.jpg</t>
  </si>
  <si>
    <t>https://pet-uploads.adoptapet.com/6/0/9/1125569562.jpg</t>
  </si>
  <si>
    <t>https://pet-uploads.adoptapet.com/a/2/0/1125569568.jpg</t>
  </si>
  <si>
    <t>A0054801139</t>
  </si>
  <si>
    <t>Zeus</t>
  </si>
  <si>
    <t>https://pet-uploads.adoptapet.com/c/6/6/1125570171.jpg</t>
  </si>
  <si>
    <t>https://pet-uploads.adoptapet.com/4/4/0/1125570180.jpg</t>
  </si>
  <si>
    <t>https://pet-uploads.adoptapet.com/3/b/1/1125570186.jpg</t>
  </si>
  <si>
    <t>Mountain Cur</t>
  </si>
  <si>
    <t>Meet Bear, a resident of our shelter who's brimming with charm and affection. He's a hoot, always ready with a goofy antic to make you chuckle. His playful spirit is infectious, especially when he's engrossed in a game of tug of war, his favorite pastime. Despite being in a shelter, Bear's optimism never wavers. He's quick to learn, eager to please, and a joy to be around. Adopting Bear means gaining a loyal companion who'll bring laughter, love, and a touch of silliness into your life. Adoption fee is $90.00 which includes a microchip, spay/neuter, heart worm test, rabies, vaccinations, and boosters.</t>
  </si>
  <si>
    <t>https://pet-uploads.adoptapet.com/6/8/c/1126401481.jpg</t>
  </si>
  <si>
    <t>https://pet-uploads.adoptapet.com/8/6/9/1126401490.jpg</t>
  </si>
  <si>
    <t>https://pet-uploads.adoptapet.com/2/3/1/1126401496.jpg</t>
  </si>
  <si>
    <t>Meet Brandy, the epitome of joy and energy! She has a playful spirit. Brandy's funny antics are sure to keep you entertained. She loves taking a dip in the pool, so expect plenty of water-filled escapades. She would make the perfect water park, lake or beach companion! With her energetic personality and sweet nature, Brandy promises to be a loving and loyal companion. Adopt Brandy, and let her bring an abundance of happiness and laughter into your life. Adoption fee is $90.00 which includes a microchip, spay/neuter, heart worm test, rabies, vaccinations, and boosters.</t>
  </si>
  <si>
    <t>https://pet-uploads.adoptapet.com/8/7/7/1126414875.jpg</t>
  </si>
  <si>
    <t>https://pet-uploads.adoptapet.com/9/1/2/1126414884.jpg</t>
  </si>
  <si>
    <t>https://pet-uploads.adoptapet.com/b/2/8/1126414890.jpg</t>
  </si>
  <si>
    <t>Dogo Argentino</t>
  </si>
  <si>
    <t>Dalmatian</t>
  </si>
  <si>
    <t>We are all honestly shocked Truman has been with us for so long. This gentle giant is exactly what that term means, he‚Äôs just a large &amp; tall boy who is as docile and chill as they come. Truman has been at our shelter since Dec of 2023, patiently waiting at his kennel door for his second chance with a loving family. Truman does really good with other dogs, doesn‚Äôt seem to really mind them much at all. He can be a great couch dog, but is also athletic enough to enjoy a peaceful hike with his people. He walks amazing on leash and can handle any sort of distance you throw his way. He really is such a wonderful and BEAUTIFUL dog and we can‚Äôt believe he‚Äôs been here for so long!</t>
  </si>
  <si>
    <t>https://pet-uploads.adoptapet.com/4/f/3/1126417850.jpg</t>
  </si>
  <si>
    <t>https://pet-uploads.adoptapet.com/3/d/2/1126417876.jpg</t>
  </si>
  <si>
    <t>https://pet-uploads.adoptapet.com/7/3/f/1126417932.jpg</t>
  </si>
  <si>
    <t>Bindi is a sweet, charming bundle of joy that's sure to brighten up any home. She's always ready to greet you with a friendly tail wag. She likes exploring her surroundings and enjoys playing fetch. But she's also content to just laze around. She's a snuggler, and dreams of having a home where she can curl up by your side. Adopt Bindi, and you'll gain not just a pet, but a loyal companion, a source of endless laughter, and a comforting presence to come home to. Adoption fee is $90.00 which includes a microchip, spay/neuter, heart worm test, rabies, vaccinations, and boosters.</t>
  </si>
  <si>
    <t>https://pet-uploads.adoptapet.com/b/6/3/1127734085.jpg</t>
  </si>
  <si>
    <t>https://pet-uploads.adoptapet.com/5/2/3/1127734107.jpg</t>
  </si>
  <si>
    <t>https://pet-uploads.adoptapet.com/3/4/c/1127734119.jpg</t>
  </si>
  <si>
    <t>Our sweet Bingo has been here since January at only SIX MONTHS OLD. He‚Äôs been living here for the last six months, almost over half his life so far. Not to mention, his very short part of his life, he already contracted Heartworms. He‚Äôs thankfully been treated with our resources &amp; is on his way to recovery. However, Bingo is truly the winner of any game. This sweet boy LOVES playing with toys in the play yard and can totally entertain himself, although he loves when his humans engage with him. He‚Äôs also amazing out in public and did so great on our PPPW, he walked well on a leash, played nicely with others, and nailed the 3.5 mile hike. Don‚Äôt miss out on bingo ‚Äî he‚Äôs not only cute &amp; unique looking, but a total star of the show.</t>
  </si>
  <si>
    <t>https://pet-uploads.adoptapet.com/7/f/0/1127731614.jpg</t>
  </si>
  <si>
    <t>Binky absolutely wrecks our heart everytime we see her in her kennel. She always has tear stains in her eyes, and it makes us feel like she‚Äôs just always sad to be in the shelter. Binky is such a wonderful and docile dog. She‚Äôs very chill in the play yard, often times just sniffing around and stretching her legs. She‚Äôs very low maintenance. She went on a Pretty Pup Pack Walk and walked amazing on leash &amp; enjoyed meeting all the new people &amp; dogs. She became especially best friends with her twin look alike, Louis. Thankfully, Louis has been adopted and into his forever home. But unfortunately, Binky is left to a summer of loneliness. Binky is the kind of sweet girl who would love to just hang inside with you on a soft dog bed while you work from home &amp; then enjoy an evening walk together before snuggles on the couch. She‚Äôs so beautiful ‚Äî what are you waiting for?</t>
  </si>
  <si>
    <t>https://pet-uploads.adoptapet.com/e/f/2/1127732817.jpg</t>
  </si>
  <si>
    <t>https://pet-uploads.adoptapet.com/b/d/2/1127732826.jpg</t>
  </si>
  <si>
    <t>https://pet-uploads.adoptapet.com/a/3/8/1127732832.jpg</t>
  </si>
  <si>
    <t>https://pet-uploads.adoptapet.com/a/9/e/1127732838.jpg</t>
  </si>
  <si>
    <t>A0055720556</t>
  </si>
  <si>
    <t>Bugs</t>
  </si>
  <si>
    <t>Sweet and docile Bugs is just looking for a nice home that she can enjoy with people who love her. Bugs landed in the shelter as a stray in April &amp; was then adopted in June. Although she got along with the family‚Äôs dogs, cats and children‚Äôs, Bugs has a thing for chickens and was not a fan of them in the yard, so they returned her. Bugs is now more than ever confused on why she‚Äôs back in jail when in her mind, she was just being a dog? She didn‚Äôt know better. Bugs is very calm. Out in the play yard she trots around, sniffs, does her business, and takes treats very gently. She is great on leash, even enough so that children could walk her with a loose lead! Bugs went on a #PPPW with some of our hiking friends and shelter besties and she was great with all of her four legged friends &amp; walked exceptional on a leash. She would be a great family dog for anyone that doesn‚Äôt plan on having chickens</t>
  </si>
  <si>
    <t>https://pet-uploads.adoptapet.com/f/0/9/1127734798.jpg</t>
  </si>
  <si>
    <t>https://pet-uploads.adoptapet.com/5/4/e/1127734807.jpg</t>
  </si>
  <si>
    <t>https://pet-uploads.adoptapet.com/8/4/e/1127733893.jpg</t>
  </si>
  <si>
    <t>https://pet-uploads.adoptapet.com/f/8/e/1127733902.jpg</t>
  </si>
  <si>
    <t>A0055752814</t>
  </si>
  <si>
    <t>King</t>
  </si>
  <si>
    <t>https://pet-uploads.adoptapet.com/9/2/9/1127734769.jpg</t>
  </si>
  <si>
    <t>https://pet-uploads.adoptapet.com/0/0/d/1127734778.jpg</t>
  </si>
  <si>
    <t>https://pet-uploads.adoptapet.com/9/3/8/1127734784.jpg</t>
  </si>
  <si>
    <t>https://pet-uploads.adoptapet.com/a/0/8/1127731585.jpg</t>
  </si>
  <si>
    <t>https://pet-uploads.adoptapet.com/d/0/e/1127731594.jpg</t>
  </si>
  <si>
    <t>https://pet-uploads.adoptapet.com/4/e/0/1127731600.jpg</t>
  </si>
  <si>
    <t>https://pet-uploads.adoptapet.com/9/8/c/1127733009.jpg</t>
  </si>
  <si>
    <t>https://pet-uploads.adoptapet.com/c/8/5/1127733033.jpg</t>
  </si>
  <si>
    <t>https://pet-uploads.adoptapet.com/a/2/9/1127733050.jpg</t>
  </si>
  <si>
    <t>Turbo doesn‚Äôt really live up to his name, and probably for the good. This big ol boy is as sweet as can be and walks wonderful on a leash out in public. Turbo landed himself in the shelter as a stray on January 23, 2024. He loves to play with all the toys in the play yard and pretty much entertains himself. After he‚Äôs been out for only a little playing, he‚Äôs exhausted and ready to lie down for belly rubs and an afternoon siesta. He recently went on one of our Pretty Pup Pack Walks and did excellent in a group setting with other dogs &amp; humans, he rode great in the car as we were taking him to the hike and was a gentleman. Unfortunately, we have so many black and white pit bulls who are completely overlooked and are desperately needing a second chance.</t>
  </si>
  <si>
    <t>https://pet-uploads.adoptapet.com/5/5/b/1127734185.jpg</t>
  </si>
  <si>
    <t>https://pet-uploads.adoptapet.com/c/2/2/1127734196.jpg</t>
  </si>
  <si>
    <t>https://pet-uploads.adoptapet.com/1/c/e/1127734202.jpg</t>
  </si>
  <si>
    <t>https://pet-uploads.adoptapet.com/8/6/6/1127734209.jpg</t>
  </si>
  <si>
    <t>A0055193306</t>
  </si>
  <si>
    <t>Baron</t>
  </si>
  <si>
    <t>Oh, sweet and calm Baron. This lug of a dog is such a short and squatty thick boy who just wants to lay in the AC &amp; nap all day. Baron is very chill and we often wonder what life he had before the shelter based on all of the scaring on his face ‚Äî it couldn‚Äôt have been a good one. He had the ultimate soulful eyes and it‚Äôs difficult to walk past him without wanting to give him the biggest hug in the world. He enjoys the play yard, but often times he likes to just sniff and lay in the shade and enjoy fresh air. Baron went on a PPPW and walked perfect on a leash. He is definitely not your hiking adventure buddy, but more of your Netflix and chill buddy. He did so well despite the 3 miles of torture :) Baron rode well as shot gun rider too, not even attempting to get in the drivers seat or messing with his buddies in the back. Unfortunately, Baron was adopted and when he thought he found his forever home, he was bullied by the family‚Äôs cat, and was returned back to the shelter, completely defeated. Who‚Äôs ready to welcome this lug bug into their home?</t>
  </si>
  <si>
    <t>https://pet-uploads.adoptapet.com/e/0/8/1128708992.jpg</t>
  </si>
  <si>
    <t>https://pet-uploads.adoptapet.com/5/d/b/1128709012.jpg</t>
  </si>
  <si>
    <t>https://pet-uploads.adoptapet.com/e/b/0/1128709028.jpg</t>
  </si>
  <si>
    <t>Barry is a friendly and happy boy with everyone he meets. He's quick to draw attention to his unique looking markings. He enjoys going for walks and does well on leash. He's well behaved and enjoys his treats. He likes other dogs. Adoption fee is $90.00 which includes a microchip, spay/neuter, heart worm test, rabies, vaccinations, and boosters.</t>
  </si>
  <si>
    <t>https://pet-uploads.adoptapet.com/f/7/5/1128707861.jpg</t>
  </si>
  <si>
    <t>https://pet-uploads.adoptapet.com/7/9/f/1128707875.jpg</t>
  </si>
  <si>
    <t>https://pet-uploads.adoptapet.com/b/c/c/1128707883.jpg</t>
  </si>
  <si>
    <t>Our girl Carmen landed at the shelter in February with her twin sister, Cinnamon. They are not a bonded pair but they do love each other a lot. Unfortunately, Carmen came in and tested heartworm positive, her sister Cinnamon was luckily negative. Carmen loves to please her people and could spend hours in your lap getting all the pets in the world. She is learning how to sit for treats and takes them SO kindly. She loves our jolly ball in the play yards and to stretch her legs out in the yard. She loved loved loved her PPPPW hike where she got to play with so many of her shelter friends and walked so well on a leash ‚Äî she did amazing for a hot 3.5 mile hike! Are you looking for the perfect mix of couch potato // Netflix &amp; chill with a little spice of adventure and flair? Carmen is your girl.</t>
  </si>
  <si>
    <t>https://pet-uploads.adoptapet.com/f/0/c/1128730802.jpg</t>
  </si>
  <si>
    <t>https://pet-uploads.adoptapet.com/b/7/f/1128730826.jpg</t>
  </si>
  <si>
    <t>https://pet-uploads.adoptapet.com/6/6/1/1128730859.jpg</t>
  </si>
  <si>
    <t>A0055462163</t>
  </si>
  <si>
    <t>Chipper landed at the shelter in March 2024 with his girlfriend (or sister), Salsa. Salsa ended up being heartworm positive, so after treatment she left to recover in a foster home while Chipper finds himself still stuck at the shelter. Don‚Äôt be overwhelmed by his size, he maybe meaty, but he‚Äôs a gentle giant. He loves to play with the jolly balls in the play yard, but he loves more than anything to get huge and attention from his humans. He went on a #PPPW and was the best behaved on the walk. He walked right next to his hiking partner and was a total gentleman on leash. He was pretty exhausted after the hike, and if he could talk, he‚Äôd probably say he would have preferred a comfy couch and AC, but he definitely seemed to enjoy himself while out there! Who is looking for a big ol love bug?</t>
  </si>
  <si>
    <t>https://pet-uploads.adoptapet.com/1/a/2/1128735353.jpg</t>
  </si>
  <si>
    <t>https://pet-uploads.adoptapet.com/8/2/9/1128735370.jpg</t>
  </si>
  <si>
    <t>Our girl Cinnamon landed at the shelter in February with her twin sister, Carmen. They are not a bonded pair but they do love each other a lot. Cinnamon loves, loves, loves her jolly ball and could entertain herself for hours in your backyard with it. She‚Äôll play fetch all day long or find a shady spot in your backyard to chew on it. She recently went on a Pretty Pup Pack Walk and loved playing with all of her shelter friends and walked so well on a leash ‚Äî she did amazing for a hot 3.5 mile hike! Cinnamon would thrive in a family environment where she can get all the attention in the world!</t>
  </si>
  <si>
    <t>https://pet-uploads.adoptapet.com/9/2/7/1128730554.jpg</t>
  </si>
  <si>
    <t>https://pet-uploads.adoptapet.com/5/e/b/1128730565.jpg</t>
  </si>
  <si>
    <t>https://pet-uploads.adoptapet.com/c/f/d/1128730571.jpg</t>
  </si>
  <si>
    <t>Redbone Coonhound</t>
  </si>
  <si>
    <t>Vizsla</t>
  </si>
  <si>
    <t>https://pet-uploads.adoptapet.com/1/9/8/1128731309.jpg</t>
  </si>
  <si>
    <t>https://pet-uploads.adoptapet.com/c/6/4/1128731318.jpg</t>
  </si>
  <si>
    <t>https://pet-uploads.adoptapet.com/4/3/8/1128731324.jpg</t>
  </si>
  <si>
    <t>Meet Dandy, a shelter dog with a heart full of love and a spirit full of play. He's ready for a game of fetch or a romp around the yard. Yet, Dandy also knows when it's time to slow down. His mellow side shines through where he's most content to simply lie down and enjoy a good belly rub. His friendly nature and love for cuddles make him a joy to be around and the perfect companion. His sweet disposition and fun-loving personality are sure to brighten up any home. Adopt Dandy and let his love and laughter fill your life. Adoption fee is $90.00 which includes a microchip, spay/neuter, heart worm test, rabies, vaccinations, and boosters.</t>
  </si>
  <si>
    <t>https://pet-uploads.adoptapet.com/6/e/f/1128732727.jpg</t>
  </si>
  <si>
    <t>https://pet-uploads.adoptapet.com/5/3/a/1128732753.jpg</t>
  </si>
  <si>
    <t>https://pet-uploads.adoptapet.com/7/8/5/1128732759.jpg</t>
  </si>
  <si>
    <t>https://pet-uploads.adoptapet.com/d/7/8/1128734233.jpg</t>
  </si>
  <si>
    <t>https://pet-uploads.adoptapet.com/9/9/5/1128734258.jpg</t>
  </si>
  <si>
    <t>https://pet-uploads.adoptapet.com/0/2/2/1128734264.jpg</t>
  </si>
  <si>
    <t>Goose was found by one of our sweet volunteers on the side of the road back in January. He was extremely emaciated &amp; was in need of some TLC. She took him home to her house where she has dogs, cats, horses and kids. Goose loved doing all the things dogs do best ‚Äî socializing with other animals, chasing the kids in the yard, running with the golf cart, &amp; riding in the back seat of the car. Goose did amazing in a family home, but he was not a fan of the barn cats &amp; continued to chase them, which due to their safety, he ended up having to live the remainder of his homeless life in the shelter. Goose has been hanging in the shelter life since March and he is desperately getting anxious in his kennel. Goose loves to please his people and loves doing tricks for treats. He would be an excellent family pet or your next adventure buddy.</t>
  </si>
  <si>
    <t>https://pet-uploads.adoptapet.com/a/7/c/1128707647.jpg</t>
  </si>
  <si>
    <t>https://pet-uploads.adoptapet.com/2/c/5/1128707673.jpg</t>
  </si>
  <si>
    <t>https://pet-uploads.adoptapet.com/9/f/f/1128707686.jpg</t>
  </si>
  <si>
    <t>https://pet-uploads.adoptapet.com/8/1/5/1128707692.jpg</t>
  </si>
  <si>
    <t>Are you looking for the chilliest Oreo terrier? Gypsy is your girl. She‚Äôll first steal you with your beautiful brown eyes &amp; then sucker you right in for a good pet &amp; snuggle session. This sweet girl is so calm &amp; chill and would love to have a soft bed, some AC &amp; some afternoon naps just living the good life. She‚Äôs really about as chill as they come and would be a great addition to any family. She does well out in the play yard, but doesn‚Äôt seem to mind playing with toys ‚Äî she mainly wants to sniff, do her business and come back for pets. On her Pretty Pup Pack Walk, she walked perfectly on a leash and was very polite to her other shelter friends. She did amazing and we really think she enjoyed a nice outing to stretch her legs.</t>
  </si>
  <si>
    <t>https://pet-uploads.adoptapet.com/9/2/0/1128731966.jpg</t>
  </si>
  <si>
    <t>https://pet-uploads.adoptapet.com/c/f/b/1128731985.jpg</t>
  </si>
  <si>
    <t>https://pet-uploads.adoptapet.com/3/3/3/1128732005.jpg</t>
  </si>
  <si>
    <t>https://pet-uploads.adoptapet.com/5/b/2/1128733839.jpg</t>
  </si>
  <si>
    <t>A0055429919</t>
  </si>
  <si>
    <t>Dutch Shepherd</t>
  </si>
  <si>
    <t>Belgian Shepherd</t>
  </si>
  <si>
    <t>Our girl Mazie has been really having the hardest time at the shelter. For one, she‚Äôs in an all outdoor pen off to the side of the shelter, where she often gets missed and overlooked when adopters come by to look at her. For two, she‚Äôs in one of our smaller enclosures, which is only a 4‚Äôx8‚Äô. She doesn‚Äôt do well in the adoption wing due to all the loud noise &amp; she would never settle. Mazie is a very active shepherd who is extremely intelligent and eager to please. Once she gets her exercise out, she is the perfect well behaved pal. She would THRIVE to have a family who is active and would love to take her places as she does AMAZING in public settings. She could go on hikes for miles or play in your backyard with the ball all day long. After she‚Äôs got her energy out, she‚Äôs ready to be snuggling up in your lap for the remainder of the day. Mazie knows how to sit and takes treats very politely. She loves, loves, loves other dogs and if a dog will match her energy, she will play for days. We desperately want to see Mazie find her forever home where she can get that energy out and get more of a routine in her life.</t>
  </si>
  <si>
    <t>https://pet-uploads.adoptapet.com/2/a/c/1128734972.jpg</t>
  </si>
  <si>
    <t>https://pet-uploads.adoptapet.com/5/3/c/1128735003.jpg</t>
  </si>
  <si>
    <t>A0055462174</t>
  </si>
  <si>
    <t>Salsa</t>
  </si>
  <si>
    <t>https://pet-uploads.adoptapet.com/1/4/8/1128743042.jpg</t>
  </si>
  <si>
    <t>https://pet-uploads.adoptapet.com/9/f/f/1128743051.jpg</t>
  </si>
  <si>
    <t>https://pet-uploads.adoptapet.com/2/0/9/1128743057.jpg</t>
  </si>
  <si>
    <t>Silver &amp; Tan (Yorkie colors)</t>
  </si>
  <si>
    <t>Zelda is a little cutie and the most lovable girl. She is very well behaved and has the sweetest disposition. She likes attention and getting scratches. She will get so excited with the zoomies afterwards. She walks very well on leash. Perfect family or companion dog. Adoption fee is $90.00 which includes a microchip, spay/neuter, heart worm test, rabies, vaccinations, and boosters.</t>
  </si>
  <si>
    <t>https://pet-uploads.adoptapet.com/d/9/0/1128709613.jpg</t>
  </si>
  <si>
    <t>https://pet-uploads.adoptapet.com/9/c/8/1128709635.jpg</t>
  </si>
  <si>
    <t>https://pet-uploads.adoptapet.com/b/a/2/1128709656.jpg</t>
  </si>
  <si>
    <t>A0055784236</t>
  </si>
  <si>
    <t>Bart</t>
  </si>
  <si>
    <t>https://pet-uploads.adoptapet.com/a/7/3/1130040306.jpg</t>
  </si>
  <si>
    <t>A0055583730</t>
  </si>
  <si>
    <t>Bert</t>
  </si>
  <si>
    <t>Hi there, I'm Bert! Life in the shelter is okay, but I dream of a home where I can share my sweetness and friendliness. I have lots of energy to play and explore. I love being goofy, it's my way of showing I'm happy. Cuddles? Oh, I adore them! I'm a bit of a cuddle bug, you see. I can't wait to meet you, become your loyal companion, and fill your life with joy and laughter. Why should you adopt me? Because I promise to love you unconditionally and bring a spark of happiness to your everyday life!  Adoption fee is $90.00 which includes a microchip, spay/neuter, heart worm test, rabies, vaccinations, and boosters.</t>
  </si>
  <si>
    <t>https://pet-uploads.adoptapet.com/4/c/5/1129994072.jpg</t>
  </si>
  <si>
    <t>https://pet-uploads.adoptapet.com/8/3/d/1129994085.jpg</t>
  </si>
  <si>
    <t>A0055594718</t>
  </si>
  <si>
    <t>Bojack</t>
  </si>
  <si>
    <t>https://pet-uploads.adoptapet.com/8/f/9/1129994160.jpg</t>
  </si>
  <si>
    <t>https://pet-uploads.adoptapet.com/b/c/0/1129994169.jpg</t>
  </si>
  <si>
    <t>Hello there! I'm Brock, a sweet soul with a playful spirit. My curious nature keeps me on my toes, sniffing out new adventures and making friends along the way. I'm not just friendly, I'm also energetic, always ready to go for a walk or play fetch. I've got a funny side too, my silly antics are sure to bring a smile to your face. But it's not all fun and games, I'm also a great listener and a loyal companion. Adopting me means endless love, laughter, and a friend who's always there for you.Adoption  fee is $90.00 which includes a microchip, spay/neuter, heart worm test, rabies, vaccinations, and boosters.</t>
  </si>
  <si>
    <t>https://pet-uploads.adoptapet.com/1/a/c/1129992311.jpg</t>
  </si>
  <si>
    <t>https://pet-uploads.adoptapet.com/a/3/c/1129992326.jpg</t>
  </si>
  <si>
    <t>A0055730139</t>
  </si>
  <si>
    <t>Elvira</t>
  </si>
  <si>
    <t>Our hearts genuinely break for this family. Momma Samantha arrived with her (8) 6 week old puppies on April 8, 2024. They found themselves growing up in our medical wing, which has no outdoor guillotine door, meaning the puppies rarely saw fresh air and never stepped foot on grass. Over the course of TWELVE weeks, only (3) of the (8) puppies have been adopted and Momma Samantha was pulled into rescue so she could begin her heartworm treatment and without committed fosters, it was impossible for the rescue to take the whole family. The remaining (5) puppies continued to grow up in the shelter. They began getting too big for the kennel they were living in since their arrival, so they were moved three weeks ago to an outdoor 10x10 concrete kennel where they live 24/7. They do not have access to AC &amp; are located in a spot where it‚Äôs heavy foot traffic, keeping them constantly interested in anything &amp; everything that walks by them. It‚Äôs a very stressful area for the puppies to be constantly alert and not able to get their energy out or their rest. The fact of the matter is, they‚Äôve spent more time in their life here on earth at our shelter than they haven‚Äôt, and now their first 18 weeks of life have either been living homeless or living on the shelter grounds. We DESPERATELY need rescue or adopters to step up and help these pups out. They are sweet as pie, spayed / neutered, microchipped and fully vaccinated.</t>
  </si>
  <si>
    <t>https://pet-uploads.adoptapet.com/0/d/3/1130015375.jpg</t>
  </si>
  <si>
    <t>https://pet-uploads.adoptapet.com/6/f/b/1129993784.jpg</t>
  </si>
  <si>
    <t>https://pet-uploads.adoptapet.com/5/e/9/1129993793.jpg</t>
  </si>
  <si>
    <t>https://pet-uploads.adoptapet.com/0/8/a/1129993799.jpg</t>
  </si>
  <si>
    <t>A0055943693</t>
  </si>
  <si>
    <t>Jade</t>
  </si>
  <si>
    <t>https://pet-uploads.adoptapet.com/8/4/e/1130066813.jpg</t>
  </si>
  <si>
    <t>https://pet-uploads.adoptapet.com/7/2/3/1130066837.jpg</t>
  </si>
  <si>
    <t>https://pet-uploads.adoptapet.com/e/0/4/1130066843.jpg</t>
  </si>
  <si>
    <t>https://pet-uploads.adoptapet.com/4/4/d/1130066849.jpg</t>
  </si>
  <si>
    <t>Australian Kelpie</t>
  </si>
  <si>
    <t>Our sweet Juliette arrived at our shelter in March with her lover, Romeo. Upon intake &amp; vetting, it was discovered she was pregnant while we were spaying her. The heart breaking loss of her puppies, but we are thankful that it did not continue the cycle of overpopulation. Nonetheless, Juliette‚Äôs lover was adopted and she still remains at the shelter, just waiting on her fairytale ending. Juliette is a sweet girl who loves giving kisses to anyone willing to take them. She walks excellent on a leash and is pretty calm natured. She gets along well with others and tends to be pretty laid back and go with the flow. Juliette would love to find her forever home this summer.</t>
  </si>
  <si>
    <t>https://pet-uploads.adoptapet.com/8/5/9/1129993450.jpg</t>
  </si>
  <si>
    <t>https://pet-uploads.adoptapet.com/9/4/a/1129993459.jpg</t>
  </si>
  <si>
    <t>https://pet-uploads.adoptapet.com/f/5/c/1129993465.jpg</t>
  </si>
  <si>
    <t>A0055678307</t>
  </si>
  <si>
    <t>https://pet-uploads.adoptapet.com/3/5/4/1129994465.jpg</t>
  </si>
  <si>
    <t>https://pet-uploads.adoptapet.com/c/7/1/1129994474.jpg</t>
  </si>
  <si>
    <t>https://pet-uploads.adoptapet.com/1/4/5/1129994480.jpg</t>
  </si>
  <si>
    <t>A0055730215</t>
  </si>
  <si>
    <t>https://pet-uploads.adoptapet.com/c/5/7/1130000975.jpg</t>
  </si>
  <si>
    <t>A0055730086</t>
  </si>
  <si>
    <t>Marsha</t>
  </si>
  <si>
    <t>https://pet-uploads.adoptapet.com/1/b/c/1130001619.jpg</t>
  </si>
  <si>
    <t>A0055730112</t>
  </si>
  <si>
    <t>Rhett</t>
  </si>
  <si>
    <t>https://pet-uploads.adoptapet.com/2/8/4/1129994701.jpg</t>
  </si>
  <si>
    <t>https://pet-uploads.adoptapet.com/8/3/f/1129992538.jpg</t>
  </si>
  <si>
    <t>https://pet-uploads.adoptapet.com/4/b/d/1129992555.jpg</t>
  </si>
  <si>
    <t>https://pet-uploads.adoptapet.com/5/c/5/1129992576.jpg</t>
  </si>
  <si>
    <t>A0055709544</t>
  </si>
  <si>
    <t>Smiley</t>
  </si>
  <si>
    <t>Brown/Chocolate - with Tan</t>
  </si>
  <si>
    <t>Smiley is named just like you‚Äôd think, this boy is all smiles. He‚Äôs young, so he‚Äôs also got those beautiful white teeth to razzle dazzle you. Smiley enjoys playing in the play yard and really needs the time outside to play and get his energy out. He‚Äôs really starting to struggle in the shelter environment. He‚Äôs in our adoption wing &amp; it‚Äôs very overwhelming and loud in there, causing the dogs to rarely ever settle and relax. Smiley craves human attention and enjoys a good cuddle session. He went on our #PPPW program and loved every bit of it. He would be an awesome hiking buddy or a dog that someone would love to take out and about with. Who‚Äôs lookin for their chocolate prince? Look no further!</t>
  </si>
  <si>
    <t>https://pet-uploads.adoptapet.com/d/c/4/1130037310.jpg</t>
  </si>
  <si>
    <t>https://pet-uploads.adoptapet.com/0/7/1/1130037320.jpg</t>
  </si>
  <si>
    <t>https://pet-uploads.adoptapet.com/5/d/a/1130037326.jpg</t>
  </si>
  <si>
    <t>https://pet-uploads.adoptapet.com/2/b/a/1130037332.jpg</t>
  </si>
  <si>
    <t>A0055730129</t>
  </si>
  <si>
    <t>Wallace</t>
  </si>
  <si>
    <t>https://pet-uploads.adoptapet.com/4/2/6/1130000597.jpg</t>
  </si>
  <si>
    <t>A0055926583</t>
  </si>
  <si>
    <t>Hi there, I'm Angelica! I'm super sweet and friendly. My days are filled with dreams of playing with a jolly ball. I can entertain myself for a long time swinging it around. I also love making new friends and I'm always ready for a cuddle. I may be a little goofy at times, but that's just part of my charm. Life with me is never dull, I promise. If you're looking for a loyal companion who will always keep you entertained, I'm your girl. Adopt me and let's start our fun-filled journey together! Adoption fee is $90.00 which includes a microchip, spay/neuter, heart worm test, rabies, vaccinations, and boosters.</t>
  </si>
  <si>
    <t>https://pet-uploads.adoptapet.com/2/8/a/1131309845.jpg</t>
  </si>
  <si>
    <t>https://pet-uploads.adoptapet.com/3/3/2/1131309871.jpg</t>
  </si>
  <si>
    <t>https://pet-uploads.adoptapet.com/c/5/6/1131309889.jpg</t>
  </si>
  <si>
    <t>A0055881559</t>
  </si>
  <si>
    <t>Maisie</t>
  </si>
  <si>
    <t>https://pet-uploads.adoptapet.com/6/5/0/1131308112.jpg</t>
  </si>
  <si>
    <t>https://pet-uploads.adoptapet.com/b/e/7/1131308132.jpg</t>
  </si>
  <si>
    <t>https://pet-uploads.adoptapet.com/c/f/2/1131308152.jpg</t>
  </si>
  <si>
    <t>A0051534925</t>
  </si>
  <si>
    <t>Mellow</t>
  </si>
  <si>
    <t>https://pet-uploads.adoptapet.com/f/4/a/1131306141.jpg</t>
  </si>
  <si>
    <t>https://pet-uploads.adoptapet.com/d/b/7/1131306171.jpg</t>
  </si>
  <si>
    <t>https://pet-uploads.adoptapet.com/c/e/a/1131306195.jpg</t>
  </si>
  <si>
    <t>A0055733789</t>
  </si>
  <si>
    <t>Are you looking for a bomb proof dog? Meet Wilson. There‚Äôs so many good qualities about him that I‚Äôm genuinely shocked he‚Äôs still with us. Don‚Äôt let his size fool you, this boy stands tall, making him one of the most gentle giants I‚Äôve ever met. He is perfect on a leash, walks right beside you with a relaxed lead and never pulls, even from the start of your walk. Children can even walk this big boy! He doesn‚Äôt jump, so no worries about him knocking over small children, in fact, he walks slowly towards them and then sits down for pets. It‚Äôs incredible! Not only does he have manners with the little one &amp; a gentle personality, but Wilson also knows sit &amp; shake, which means he was definitely someone‚Äôs dog, which makes us so sad. Due to Wilson‚Äôs size, he has been living in our Teen Pens, which is a 10x10 outdoor run and with this heat, it‚Äôs really a struggle for him to cool down. When he was taken out on a #prettypuppackwalk and #PamperedPupDay he rode perfect in the car, not a peep came out of him and he had a calm demeanor the whole time. He did amazing with all of his shelter pals and then when he had an adventure in Charleston, he never met a stranger he didn‚Äôt love. He was so gentle with everyone and sat right at our feet when we were eating or sitting. He‚Äôs the PERFECT dog to take anywhere &amp; everywhere! Every dog needs to learn leash &amp; public manners like Wilson!</t>
  </si>
  <si>
    <t>https://pet-uploads.adoptapet.com/b/7/9/1131305097.jpg</t>
  </si>
  <si>
    <t>https://pet-uploads.adoptapet.com/9/9/e/1131305118.jpg</t>
  </si>
  <si>
    <t>https://pet-uploads.adoptapet.com/5/a/4/1131305135.jpg</t>
  </si>
  <si>
    <t>A0055879858</t>
  </si>
  <si>
    <t>Carolina</t>
  </si>
  <si>
    <t>https://pet-uploads.adoptapet.com/9/8/5/1131544063.jpg</t>
  </si>
  <si>
    <t>https://pet-uploads.adoptapet.com/2/4/7/1131544072.jpg</t>
  </si>
  <si>
    <t>https://pet-uploads.adoptapet.com/3/3/8/1131544078.jpg</t>
  </si>
  <si>
    <t>A0055986888</t>
  </si>
  <si>
    <t>Zuko</t>
  </si>
  <si>
    <t>https://pet-uploads.adoptapet.com/0/9/9/1131536138.jpg</t>
  </si>
  <si>
    <t>https://pet-uploads.adoptapet.com/e/f/5/1131536156.jpg</t>
  </si>
  <si>
    <t>https://pet-uploads.adoptapet.com/b/7/f/1131536164.jpg</t>
  </si>
  <si>
    <t>A0055997511</t>
  </si>
  <si>
    <t>Allison</t>
  </si>
  <si>
    <t>https://pet-uploads.adoptapet.com/e/f/4/1133671398.jpg</t>
  </si>
  <si>
    <t>https://pet-uploads.adoptapet.com/b/7/4/1133671411.jpg</t>
  </si>
  <si>
    <t>https://pet-uploads.adoptapet.com/1/0/0/1133671417.jpg</t>
  </si>
  <si>
    <t>Aslan</t>
  </si>
  <si>
    <t>Where is our senior shepherd lovers? Meet Aslan. The chilliest man on the block. We are shocked he‚Äôs still with us due to his calming personality, he could mesh well in just about anyone‚Äôs home. He arrived very skinny and has sores &amp; missing patches of fur all over his body. He has bulked up a little while being with us, but he‚Äôs so unhappy at the shelter that he doesn‚Äôt often eat his food. Aslan is so content with just getting all the hugs &amp; kisses in the play yard. He doesn‚Äôt care about toys and is just happy to be outside of his kennel. On his Pretty Pup Pack Walk he rode shot gun in the Tahoe and was a perfect co-pilot the entire ride. He also walked perfect on a leash and never pulled and allowed other dogs to get in his face with a nice greeting. Aslan is such a sweet older boy who really doesn‚Äôt deserve to live a life in the shelter.</t>
  </si>
  <si>
    <t>https://pet-uploads.adoptapet.com/5/9/9/1133659416.jpg</t>
  </si>
  <si>
    <t>https://pet-uploads.adoptapet.com/f/a/3/1133659425.jpg</t>
  </si>
  <si>
    <t>https://pet-uploads.adoptapet.com/e/5/f/1133659431.jpg</t>
  </si>
  <si>
    <t>Forrest arrived at the shelter in January as just a young teen pup ‚Äî roughly 6-8months old. He was adopted in March and then returned back to the shelter in June. He is utterly confused why he‚Äôs back at the shelter, as he was loving life in his home with other dogs &amp; kids. However, he wouldn‚Äôt stop chasing the cat. So, we‚Äôre looking for Forrest to find a home that doesn‚Äôt include cats. He is a great pup who could benefit from some structure, routine and a second chance at a new life. He is young &amp; eager to please and would make a great family pet for anyone who is looking for a young beautiful dog. He did great on how #PPPW outing with all of his other shelter friends &amp; after about a half mile in, he walked so well on a leash. He was so happy to be outside of the shelter &amp; exploring. As we always say, it takes sometimes a few months for a dog to truly feel at home &amp; at peace. Please give our dogs the chance they truly deserve.</t>
  </si>
  <si>
    <t>https://pet-uploads.adoptapet.com/1/6/c/1133659669.jpg</t>
  </si>
  <si>
    <t>https://pet-uploads.adoptapet.com/8/0/6/1133659678.jpg</t>
  </si>
  <si>
    <t>A0055886238</t>
  </si>
  <si>
    <t>https://pet-uploads.adoptapet.com/1/6/6/1133661956.jpg</t>
  </si>
  <si>
    <t>https://pet-uploads.adoptapet.com/9/b/e/1133661965.jpg</t>
  </si>
  <si>
    <t>https://pet-uploads.adoptapet.com/5/d/a/1133661971.jpg</t>
  </si>
  <si>
    <t>A0055881515</t>
  </si>
  <si>
    <t>Hank</t>
  </si>
  <si>
    <t>https://pet-uploads.adoptapet.com/e/b/e/1133660570.jpg</t>
  </si>
  <si>
    <t>https://pet-uploads.adoptapet.com/4/9/f/1133660579.jpg</t>
  </si>
  <si>
    <t>https://pet-uploads.adoptapet.com/5/f/6/1133660585.jpg</t>
  </si>
  <si>
    <t>A0055563606</t>
  </si>
  <si>
    <t>Hazel</t>
  </si>
  <si>
    <t>https://pet-uploads.adoptapet.com/3/a/5/1133671805.jpg</t>
  </si>
  <si>
    <t>https://pet-uploads.adoptapet.com/6/c/4/1133671814.jpg</t>
  </si>
  <si>
    <t>https://pet-uploads.adoptapet.com/9/7/4/1133671820.jpg</t>
  </si>
  <si>
    <t>A0056011707</t>
  </si>
  <si>
    <t>Shining Armor</t>
  </si>
  <si>
    <t>https://pet-uploads.adoptapet.com/5/1/1/1133673239.jpg</t>
  </si>
  <si>
    <t>https://pet-uploads.adoptapet.com/6/7/f/1133673258.jpg</t>
  </si>
  <si>
    <t>https://pet-uploads.adoptapet.com/c/2/5/1133673286.jpg</t>
  </si>
  <si>
    <t>A0056011679</t>
  </si>
  <si>
    <t>Twilight Sparkle</t>
  </si>
  <si>
    <t>https://pet-uploads.adoptapet.com/e/b/a/1133672828.jpg</t>
  </si>
  <si>
    <t>https://pet-uploads.adoptapet.com/a/6/f/1133672837.jpg</t>
  </si>
  <si>
    <t>https://pet-uploads.adoptapet.com/8/f/3/1133672843.jpg</t>
  </si>
  <si>
    <t>Chilli</t>
  </si>
  <si>
    <t>Calico or Dilute Calico</t>
  </si>
  <si>
    <t>https://pet-uploads.adoptapet.com/4/1/1/1134601994.jpg</t>
  </si>
  <si>
    <t>Francine @ PetSmart</t>
  </si>
  <si>
    <t>https://pet-uploads.adoptapet.com/b/f/4/1134601040.jpg</t>
  </si>
  <si>
    <t>Ninja</t>
  </si>
  <si>
    <t>Friendly, playful. Adorable little guy.</t>
  </si>
  <si>
    <t>https://pet-uploads.adoptapet.com/8/e/d/1134601213.jpg</t>
  </si>
  <si>
    <t>Boots</t>
  </si>
  <si>
    <t>https://pet-uploads.adoptapet.com/6/d/7/1135080977.jpg</t>
  </si>
  <si>
    <t>Gracie</t>
  </si>
  <si>
    <t>https://pet-uploads.adoptapet.com/6/e/b/1135079926.jpg</t>
  </si>
  <si>
    <t>Kitty</t>
  </si>
  <si>
    <t>Very friendly. She is free-roaming in the cat adoption room and loves to greet visitors.</t>
  </si>
  <si>
    <t>https://pet-uploads.adoptapet.com/9/a/8/1137834131.jpg</t>
  </si>
  <si>
    <t>https://pet-uploads.adoptapet.com/3/6/9/1135081189.jpg</t>
  </si>
  <si>
    <t>Nyla</t>
  </si>
  <si>
    <t>https://pet-uploads.adoptapet.com/d/1/4/1137838517.jpg</t>
  </si>
  <si>
    <t>Callie</t>
  </si>
  <si>
    <t>https://pet-uploads.adoptapet.com/f/8/8/1138629100.jpg</t>
  </si>
  <si>
    <t>https://pet-uploads.adoptapet.com/d/5/e/1137839362.jpg</t>
  </si>
  <si>
    <t>https://pet-uploads.adoptapet.com/a/a/a/1162789976.jpg</t>
  </si>
  <si>
    <t>Dakota</t>
  </si>
  <si>
    <t>https://pet-uploads.adoptapet.com/9/e/3/1137848733.jpg</t>
  </si>
  <si>
    <t>Jerry</t>
  </si>
  <si>
    <t>Tan or Fawn Tabby</t>
  </si>
  <si>
    <t>https://pet-uploads.adoptapet.com/8/2/a/1137841518.jpg</t>
  </si>
  <si>
    <t>https://pet-uploads.adoptapet.com/3/7/2/1139175972.jpg</t>
  </si>
  <si>
    <t>Mystic</t>
  </si>
  <si>
    <t>https://pet-uploads.adoptapet.com/1/4/4/1161604953.jpg</t>
  </si>
  <si>
    <t>https://pet-uploads.adoptapet.com/9/8/3/1137841905.jpg</t>
  </si>
  <si>
    <t>Tom</t>
  </si>
  <si>
    <t>https://pet-uploads.adoptapet.com/1/9/e/1137840812.jpg</t>
  </si>
  <si>
    <t>Tulip</t>
  </si>
  <si>
    <t>https://pet-uploads.adoptapet.com/a/6/a/1137842274.jpg</t>
  </si>
  <si>
    <t>https://pet-uploads.adoptapet.com/b/d/9/1137842283.jpg</t>
  </si>
  <si>
    <t>A0055868348</t>
  </si>
  <si>
    <t>Aria</t>
  </si>
  <si>
    <t>Hello there, I'm Aria! I've got a heart full of sweetness. I love meeting new people and making friends! I keep the cleanest kennel and wait so patiently to be taken outside to potty. I prefer not to mess where I sleep ;) I'm a quick learner, so if you're patient and kind, I'll be your best doggie student. Life in the shelter is okay, but I've been here long enough and I dream of a forever home where I can share my love with you. If you're looking for a loyal companion who will always be there to cheer you up with a wagging tail and a friendly nuzzle, then I'm your girl! Adoption fee is $90.00 which includes a microchip, spay/neuter, heart worm test, rabies, vaccinations, and boosters.</t>
  </si>
  <si>
    <t>https://pet-uploads.adoptapet.com/4/c/8/1138481565.jpg</t>
  </si>
  <si>
    <t>https://pet-uploads.adoptapet.com/8/d/c/1138481574.jpg</t>
  </si>
  <si>
    <t>https://pet-uploads.adoptapet.com/c/4/b/1138481580.jpg</t>
  </si>
  <si>
    <t>Bailey</t>
  </si>
  <si>
    <t>https://pet-uploads.adoptapet.com/d/1/f/1162790278.jpg</t>
  </si>
  <si>
    <t>https://pet-uploads.adoptapet.com/d/7/a/1138638432.jpg</t>
  </si>
  <si>
    <t>https://pet-uploads.adoptapet.com/d/4/d/1138482109.jpg</t>
  </si>
  <si>
    <t>https://pet-uploads.adoptapet.com/4/b/1/1138482126.jpg</t>
  </si>
  <si>
    <t>https://pet-uploads.adoptapet.com/0/0/1/1138482132.jpg</t>
  </si>
  <si>
    <t>https://pet-uploads.adoptapet.com/0/6/8/1138635926.jpg</t>
  </si>
  <si>
    <t>A0054846342</t>
  </si>
  <si>
    <t>Domino</t>
  </si>
  <si>
    <t>https://pet-uploads.adoptapet.com/a/0/0/1138481756.jpg</t>
  </si>
  <si>
    <t>https://pet-uploads.adoptapet.com/4/7/c/1138481773.jpg</t>
  </si>
  <si>
    <t>https://pet-uploads.adoptapet.com/a/f/2/1138481783.jpg</t>
  </si>
  <si>
    <t>Meet sweet Gibbs! This boy is the perfect size for just about any family -- whether you iive in an apartment, townhome, or single family home, this is your sweet boy. He is very dog friendly and great with kids. He's your typical hound, who enjoys an outdoor adventure and some play yard activities, but also loves a good couch snuggle. He is currently living in a foster home where he is enjoying that home life, but he's desperately waiting for that forever. Could that be you?</t>
  </si>
  <si>
    <t>https://pet-uploads.adoptapet.com/9/9/c/1138470628.jpg</t>
  </si>
  <si>
    <t>https://pet-uploads.adoptapet.com/4/f/d/1138470788.jpg</t>
  </si>
  <si>
    <t>Herb</t>
  </si>
  <si>
    <t>https://pet-uploads.adoptapet.com/d/4/1/1138638247.jpg</t>
  </si>
  <si>
    <t>A0056018444</t>
  </si>
  <si>
    <t>Katara</t>
  </si>
  <si>
    <t>English Pointer</t>
  </si>
  <si>
    <t>Hi, I'm Katara. My day is made when I find a cozy spot to curl up in while I share my kennel with another dog. I'm a bit shy, but don't let that fool you, I have a heart full of love to give. I enjoy the quiet moments, a gentle pat on the head, a soft voice telling me I'm a good girl. I'm mellow and easygoing, I won't ask for much, just a little bit of your time and love. I'm a cuddle bug too, there's nothing better than snuggling up with someone who cares for me. Adopting me means gaining a loyal friend, a constant companion who will offer unconditional love and warmth. I promise, I'll fill your home with calm and happiness. Adoption fee is $90.00 which includes a microchip, spay/neuter, heart worm test, rabies, vaccinations, and boosters.</t>
  </si>
  <si>
    <t>https://pet-uploads.adoptapet.com/3/d/9/1138481952.jpg</t>
  </si>
  <si>
    <t>https://pet-uploads.adoptapet.com/9/5/c/1138481961.jpg</t>
  </si>
  <si>
    <t>https://pet-uploads.adoptapet.com/6/6/a/1138481967.jpg</t>
  </si>
  <si>
    <t>https://pet-uploads.adoptapet.com/5/8/c/1138481973.jpg</t>
  </si>
  <si>
    <t>Naomi</t>
  </si>
  <si>
    <t>https://pet-uploads.adoptapet.com/4/4/f/1138637241.jpg</t>
  </si>
  <si>
    <t>Saffron</t>
  </si>
  <si>
    <t>https://pet-uploads.adoptapet.com/7/f/d/1138639151.jpg</t>
  </si>
  <si>
    <t>A0056166445</t>
  </si>
  <si>
    <t>Ash</t>
  </si>
  <si>
    <t>https://pet-uploads.adoptapet.com/8/8/a/1142053705.jpg</t>
  </si>
  <si>
    <t>https://pet-uploads.adoptapet.com/8/e/c/1142053714.jpg</t>
  </si>
  <si>
    <t>https://pet-uploads.adoptapet.com/5/e/d/1142053723.jpg</t>
  </si>
  <si>
    <t>A0056054120</t>
  </si>
  <si>
    <t>Cassie</t>
  </si>
  <si>
    <t>Hi, I'm Cassie! I really well behaved and I'm always ready for a treat or a good belly rub. I'm as sweet as can be, and I promise to shower you with kisses and wagging tails. I also found out I'm a big fan of golf cart rides! I'm currently sharing my kennel with another dog, who's real sweet and we get along great but I really would like to break out of this shelter! I'm a cuddle bug and I'll always be there to keep you company. I'm gentle, so I'll fit right into any home. I have a lot of love to give, and I can't wait to find a forever home where I can share all that love. Adopt me, and let's make some happy memories together! Adoption fee is $90.00 which includes a microchip, spay/neuter, heart worm test, rabies, vaccinations, and boosters.</t>
  </si>
  <si>
    <t>https://pet-uploads.adoptapet.com/6/3/7/1142053873.jpg</t>
  </si>
  <si>
    <t>https://pet-uploads.adoptapet.com/f/9/e/1142053882.jpg</t>
  </si>
  <si>
    <t>https://pet-uploads.adoptapet.com/f/3/7/1142053888.jpg</t>
  </si>
  <si>
    <t>A0056166461</t>
  </si>
  <si>
    <t>Colby</t>
  </si>
  <si>
    <t>https://pet-uploads.adoptapet.com/c/9/7/1142052971.jpg</t>
  </si>
  <si>
    <t>https://pet-uploads.adoptapet.com/d/9/b/1142052980.jpg</t>
  </si>
  <si>
    <t>https://pet-uploads.adoptapet.com/8/a/b/1142052986.jpg</t>
  </si>
  <si>
    <t>https://pet-uploads.adoptapet.com/b/b/f/1141992322.jpg</t>
  </si>
  <si>
    <t>https://pet-uploads.adoptapet.com/2/1/c/1141992331.jpg</t>
  </si>
  <si>
    <t>A0055987012</t>
  </si>
  <si>
    <t>George</t>
  </si>
  <si>
    <t>https://pet-uploads.adoptapet.com/8/5/9/1156749642.jpg</t>
  </si>
  <si>
    <t>https://pet-uploads.adoptapet.com/b/9/b/1156749659.jpg</t>
  </si>
  <si>
    <t>https://pet-uploads.adoptapet.com/f/d/c/1156749671.jpg</t>
  </si>
  <si>
    <t>A0056218376</t>
  </si>
  <si>
    <t>Moonshine</t>
  </si>
  <si>
    <t>Presa Canario</t>
  </si>
  <si>
    <t>https://pet-uploads.adoptapet.com/2/c/c/1142049375.jpg</t>
  </si>
  <si>
    <t>https://pet-uploads.adoptapet.com/6/9/9/1142049404.jpg</t>
  </si>
  <si>
    <t>https://pet-uploads.adoptapet.com/7/b/6/1142049420.jpg</t>
  </si>
  <si>
    <t>https://pet-uploads.adoptapet.com/c/a/a/1142049438.jpg</t>
  </si>
  <si>
    <t>A0055987044</t>
  </si>
  <si>
    <t>Paul</t>
  </si>
  <si>
    <t>https://pet-uploads.adoptapet.com/8/b/f/1142108258.jpg</t>
  </si>
  <si>
    <t>A0055986978</t>
  </si>
  <si>
    <t>Ringo</t>
  </si>
  <si>
    <t>https://pet-uploads.adoptapet.com/9/9/0/1165549879.jpg</t>
  </si>
  <si>
    <t>https://pet-uploads.adoptapet.com/2/c/e/1165549894.jpg</t>
  </si>
  <si>
    <t>https://pet-uploads.adoptapet.com/0/c/2/1165549909.jpg</t>
  </si>
  <si>
    <t>A0054098709</t>
  </si>
  <si>
    <t>Smooth</t>
  </si>
  <si>
    <t>https://pet-uploads.adoptapet.com/9/4/5/1142048746.jpg</t>
  </si>
  <si>
    <t>https://pet-uploads.adoptapet.com/c/9/1/1142048755.jpg</t>
  </si>
  <si>
    <t>https://pet-uploads.adoptapet.com/5/f/f/1142048762.jpg</t>
  </si>
  <si>
    <t>A0056060371</t>
  </si>
  <si>
    <t>Sweetie Bell</t>
  </si>
  <si>
    <t>Hello there, I'm Sweetie Bell! My happy world would be full of fun, water, and lots of tail wagging. I love to explore, sniff out new things, and I'm always ready for a good run. I'm a bundle of energy, always ready for a game of fetch. But do you know what I love more than anything? Swimming! I'm a natural in the water, and it's my absolute favorite pastime. I'm not just all play though, I can also be your loyal friend, always ready to lend a comforting paw or cuddle. My dream is to find a forever home where I can share all my love, joy, and playful energy. Adopt me, and let's make a splash together! Adoption fee is $90.00 which includes a microchip, spay/neuter, heart worm test, rabies, vaccinations, and boosters.</t>
  </si>
  <si>
    <t>https://pet-uploads.adoptapet.com/6/a/2/1142054274.jpg</t>
  </si>
  <si>
    <t>https://pet-uploads.adoptapet.com/0/2/c/1142054283.jpg</t>
  </si>
  <si>
    <t>https://pet-uploads.adoptapet.com/a/3/c/1142054289.jpg</t>
  </si>
  <si>
    <t>A0056166419</t>
  </si>
  <si>
    <t>https://pet-uploads.adoptapet.com/e/5/f/1142052649.jpg</t>
  </si>
  <si>
    <t>https://pet-uploads.adoptapet.com/c/2/9/1142052658.jpg</t>
  </si>
  <si>
    <t>https://pet-uploads.adoptapet.com/1/f/e/1142052664.jpg</t>
  </si>
  <si>
    <t>https://pet-uploads.adoptapet.com/9/c/7/1141992097.jpg</t>
  </si>
  <si>
    <t>https://pet-uploads.adoptapet.com/f/5/e/1141992088.jpg</t>
  </si>
  <si>
    <t>https://pet-uploads.adoptapet.com/4/e/1/1141992103.jpg</t>
  </si>
  <si>
    <t>A0056244980</t>
  </si>
  <si>
    <t>Chester</t>
  </si>
  <si>
    <t>https://pet-uploads.adoptapet.com/4/f/1/1146511218.jpg</t>
  </si>
  <si>
    <t>https://pet-uploads.adoptapet.com/5/d/4/1146511227.jpg</t>
  </si>
  <si>
    <t>https://pet-uploads.adoptapet.com/1/e/a/1146511233.jpg</t>
  </si>
  <si>
    <t>A0056013691</t>
  </si>
  <si>
    <t>Elmer</t>
  </si>
  <si>
    <t>Hi, I'm Elmer. I might be a bit timid at first, but once I get to know you, my sweetness shines through. I'm quite the smarty too, always eager to learn new tricks. I love quiet afternoons hanging in the kennel with my bestie, Maxwell. I recently discovered I like playing with toys especially the rope ones. I love all kind of treats. Life's been a bit confusing, but I'm hopeful to get out of this shelter. I'm not just looking for a home, I'm looking for a forever friend. Someone who'll appreciate my unconditional love and gentle nature. I promise to be the best companion you've ever had. Adopt me and let's start our adventure together. Hope to see you soon! Adoption fee is $90.00 which includes a microchip, spay/neuter, heart worm test, rabies, vaccinations, and boosters.</t>
  </si>
  <si>
    <t>https://pet-uploads.adoptapet.com/0/9/f/1146510803.jpg</t>
  </si>
  <si>
    <t>https://pet-uploads.adoptapet.com/5/c/2/1146510812.jpg</t>
  </si>
  <si>
    <t>https://pet-uploads.adoptapet.com/5/c/b/1146510818.jpg</t>
  </si>
  <si>
    <t>A0056020963</t>
  </si>
  <si>
    <t>John</t>
  </si>
  <si>
    <t>Basenji</t>
  </si>
  <si>
    <t>Chihuahua</t>
  </si>
  <si>
    <t>https://pet-uploads.adoptapet.com/6/e/8/1146511016.jpg</t>
  </si>
  <si>
    <t>https://pet-uploads.adoptapet.com/1/3/1/1146511025.jpg</t>
  </si>
  <si>
    <t>https://pet-uploads.adoptapet.com/b/5/f/1146511031.jpg</t>
  </si>
  <si>
    <t>A0055947768</t>
  </si>
  <si>
    <t>Link</t>
  </si>
  <si>
    <t>Hi there, I'm Link! I've got a spirit as adventurous as my namesake. I'm a friendly guy who loves to play, but I also know when it's time to relax and enjoy a good cuddle. I'm independent enough to entertain myself, but I'll never turn down a game of fetch or a nice long walk. I've got a curious nature, always ready to explore new places and sniff out new scents. But at the end of the day, I just want a place to call home and a family to call my own. Why should you adopt me? Well, if you're looking for a loyal friend who will keep you on your toes and always be there to cheer you up, I'm your guy. I promise to fill your days with laughter, love, and plenty of fun. So, what do you say? Are you ready to embark on this adventure with me? Adoption fee is $90.00 which includes a microchip, spay/neuter, heart worm test, rabies, vaccinations, and boosters.</t>
  </si>
  <si>
    <t>https://pet-uploads.adoptapet.com/c/9/a/1146507118.jpg</t>
  </si>
  <si>
    <t>https://pet-uploads.adoptapet.com/8/1/7/1146507139.jpg</t>
  </si>
  <si>
    <t>A0055784207</t>
  </si>
  <si>
    <t>Lisa</t>
  </si>
  <si>
    <t>https://pet-uploads.adoptapet.com/9/0/d/1146507694.jpg</t>
  </si>
  <si>
    <t>https://pet-uploads.adoptapet.com/1/4/1/1146507706.jpg</t>
  </si>
  <si>
    <t>https://pet-uploads.adoptapet.com/e/0/c/1146507712.jpg</t>
  </si>
  <si>
    <t>A0056335557</t>
  </si>
  <si>
    <t>https://pet-uploads.adoptapet.com/6/3/d/1147799185.jpg</t>
  </si>
  <si>
    <t>https://pet-uploads.adoptapet.com/2/c/3/1147799194.jpg</t>
  </si>
  <si>
    <t>A0056245045</t>
  </si>
  <si>
    <t>Preston</t>
  </si>
  <si>
    <t>https://pet-uploads.adoptapet.com/f/0/7/1147799164.jpg</t>
  </si>
  <si>
    <t>https://pet-uploads.adoptapet.com/a/6/7/1147799173.jpg</t>
  </si>
  <si>
    <t>https://pet-uploads.adoptapet.com/9/1/b/1147799179.jpg</t>
  </si>
  <si>
    <t>A0056050987</t>
  </si>
  <si>
    <t>Dolly</t>
  </si>
  <si>
    <t>https://pet-uploads.adoptapet.com/7/f/3/1150978211.jpg</t>
  </si>
  <si>
    <t>https://pet-uploads.adoptapet.com/c/8/6/1150978226.jpg</t>
  </si>
  <si>
    <t>https://pet-uploads.adoptapet.com/c/7/c/1150978232.jpg</t>
  </si>
  <si>
    <t>A0056051376</t>
  </si>
  <si>
    <t>Fenway</t>
  </si>
  <si>
    <t>Fenway and his brother Wrigley landed at our shelter on 6/2/24 &amp; we are hoping we can have them adopted or rescued before they hit TWO months of being in the shelter! The worst part ‚Äî these two went from being in the medical kennels, which was all indoors &amp; they never got to experience grass to then an outdoor 4x8 concrete kennel, where they rarely get to experience grass. However, look how absolutely PUMPED they are to get to be puppies in the play yard when volunteers have the time to take them out to play with them. They very rarely get these opportunities to just be PUPPIES. These two boys are so sweet and absolutely love to steal your attention. They had an opportunity to join us on a #PPPW with a bunch of other puppies and did AMAZING for their first experience on a leash. Who‚Äôs ready to give them their forever home?</t>
  </si>
  <si>
    <t>https://pet-uploads.adoptapet.com/e/a/d/1151006901.jpg</t>
  </si>
  <si>
    <t>https://pet-uploads.adoptapet.com/8/b/a/1151006910.jpg</t>
  </si>
  <si>
    <t>https://pet-uploads.adoptapet.com/f/c/2/1151006916.jpg</t>
  </si>
  <si>
    <t>A0056158116</t>
  </si>
  <si>
    <t>Ivy</t>
  </si>
  <si>
    <t>https://pet-uploads.adoptapet.com/3/f/8/1151008279.jpg</t>
  </si>
  <si>
    <t>https://pet-uploads.adoptapet.com/7/b/2/1151008302.jpg</t>
  </si>
  <si>
    <t>https://pet-uploads.adoptapet.com/d/4/f/1151008312.jpg</t>
  </si>
  <si>
    <t>A0056179519</t>
  </si>
  <si>
    <t>Millie</t>
  </si>
  <si>
    <t>https://pet-uploads.adoptapet.com/d/d/5/1151020873.jpg</t>
  </si>
  <si>
    <t>https://pet-uploads.adoptapet.com/d/b/c/1151020885.jpg</t>
  </si>
  <si>
    <t>https://pet-uploads.adoptapet.com/5/0/0/1151020903.jpg</t>
  </si>
  <si>
    <t>A0056393429</t>
  </si>
  <si>
    <t>Peanut</t>
  </si>
  <si>
    <t>Parson Russell Terrier</t>
  </si>
  <si>
    <t>https://pet-uploads.adoptapet.com/8/5/0/1151023151.jpg</t>
  </si>
  <si>
    <t>https://pet-uploads.adoptapet.com/a/b/7/1151023168.jpg</t>
  </si>
  <si>
    <t>https://pet-uploads.adoptapet.com/8/6/1/1151023185.jpg</t>
  </si>
  <si>
    <t>Poppy</t>
  </si>
  <si>
    <t>https://pet-uploads.adoptapet.com/6/d/4/1151009125.jpg</t>
  </si>
  <si>
    <t>https://pet-uploads.adoptapet.com/e/e/d/1151009218.jpg</t>
  </si>
  <si>
    <t>https://pet-uploads.adoptapet.com/0/6/2/1151009304.jpg</t>
  </si>
  <si>
    <t>A0056147212</t>
  </si>
  <si>
    <t>Reba</t>
  </si>
  <si>
    <t>https://pet-uploads.adoptapet.com/1/3/1/1151008119.jpg</t>
  </si>
  <si>
    <t>https://pet-uploads.adoptapet.com/9/c/4/1151008136.jpg</t>
  </si>
  <si>
    <t>https://pet-uploads.adoptapet.com/b/d/1/1151008143.jpg</t>
  </si>
  <si>
    <t>A0054057920</t>
  </si>
  <si>
    <t>Remy</t>
  </si>
  <si>
    <t>https://pet-uploads.adoptapet.com/3/9/a/1151018276.jpg</t>
  </si>
  <si>
    <t>https://pet-uploads.adoptapet.com/4/7/0/1151018617.jpg</t>
  </si>
  <si>
    <t>https://pet-uploads.adoptapet.com/9/e/6/1151018811.jpg</t>
  </si>
  <si>
    <t>A0056340900</t>
  </si>
  <si>
    <t>https://pet-uploads.adoptapet.com/4/c/e/1151021989.jpg</t>
  </si>
  <si>
    <t>https://pet-uploads.adoptapet.com/0/2/c/1151021998.jpg</t>
  </si>
  <si>
    <t>https://pet-uploads.adoptapet.com/b/b/d/1151022004.jpg</t>
  </si>
  <si>
    <t>A0056086307</t>
  </si>
  <si>
    <t>Toby</t>
  </si>
  <si>
    <t>https://pet-uploads.adoptapet.com/6/c/2/1151007744.jpg</t>
  </si>
  <si>
    <t>https://pet-uploads.adoptapet.com/e/b/7/1151007753.jpg</t>
  </si>
  <si>
    <t>https://pet-uploads.adoptapet.com/a/9/9/1151007759.jpg</t>
  </si>
  <si>
    <t>A0056051352</t>
  </si>
  <si>
    <t>Wrigley</t>
  </si>
  <si>
    <t>Wrigley and his brother, Fenway landed at our shelter on 6/2/24 &amp; we are hoping we can have them adopted or rescued before they hit TWO months of being in the shelter! The worst part ‚Äî these two went from being in the medical kennels, which was all indoors &amp; they never got to experience grass to then an outdoor 4x8 concrete kennel, where they rarely get to experience grass. However, look how absolutely PUMPED they are to get to be puppies in the play yard when volunteers have the time to take them out to play with them. They very rarely get these opportunities to just be PUPPIES. These two boys are so sweet and absolutely love to steal your attention. They had an opportunity to join us on a #PPPW with a bunch of other puppies and did AMAZING for their first experience on a leash. Who‚Äôs ready to give them their forever home?</t>
  </si>
  <si>
    <t>https://pet-uploads.adoptapet.com/c/8/0/1151007341.jpg</t>
  </si>
  <si>
    <t>https://pet-uploads.adoptapet.com/c/f/a/1151007350.jpg</t>
  </si>
  <si>
    <t>https://pet-uploads.adoptapet.com/0/6/6/1151007367.jpg</t>
  </si>
  <si>
    <t>A0056418497</t>
  </si>
  <si>
    <t>Thunder</t>
  </si>
  <si>
    <t>https://pet-uploads.adoptapet.com/8/2/5/1151667036.jpg</t>
  </si>
  <si>
    <t>https://pet-uploads.adoptapet.com/2/0/a/1151667045.jpg</t>
  </si>
  <si>
    <t>https://pet-uploads.adoptapet.com/4/d/9/1151667051.jpg</t>
  </si>
  <si>
    <t>A0056293247</t>
  </si>
  <si>
    <t>Bernard</t>
  </si>
  <si>
    <t>https://pet-uploads.adoptapet.com/2/a/f/1156723562.jpg</t>
  </si>
  <si>
    <t>https://pet-uploads.adoptapet.com/3/4/7/1156723571.jpg</t>
  </si>
  <si>
    <t>https://pet-uploads.adoptapet.com/5/7/d/1156723577.jpg</t>
  </si>
  <si>
    <t>A0056349776</t>
  </si>
  <si>
    <t>Duke</t>
  </si>
  <si>
    <t>https://pet-uploads.adoptapet.com/2/e/9/1156723853.jpg</t>
  </si>
  <si>
    <t>https://pet-uploads.adoptapet.com/0/3/1/1156723862.jpg</t>
  </si>
  <si>
    <t>A0056293275</t>
  </si>
  <si>
    <t>Enzo</t>
  </si>
  <si>
    <t>https://pet-uploads.adoptapet.com/c/e/a/1156723808.jpg</t>
  </si>
  <si>
    <t>https://pet-uploads.adoptapet.com/5/2/c/1156723817.jpg</t>
  </si>
  <si>
    <t>A0056471444</t>
  </si>
  <si>
    <t>Sheeba</t>
  </si>
  <si>
    <t>https://pet-uploads.adoptapet.com/3/a/b/1156749143.jpg</t>
  </si>
  <si>
    <t>https://pet-uploads.adoptapet.com/6/1/0/1156749153.jpg</t>
  </si>
  <si>
    <t>https://pet-uploads.adoptapet.com/3/d/d/1156749159.jpg</t>
  </si>
  <si>
    <t>A0056283053</t>
  </si>
  <si>
    <t>https://pet-uploads.adoptapet.com/8/0/9/1161543026.jpg</t>
  </si>
  <si>
    <t>https://pet-uploads.adoptapet.com/f/d/7/1161543035.jpg</t>
  </si>
  <si>
    <t>https://pet-uploads.adoptapet.com/5/1/0/1161543041.jpg</t>
  </si>
  <si>
    <t>A0056300863</t>
  </si>
  <si>
    <t>Rick</t>
  </si>
  <si>
    <t>https://pet-uploads.adoptapet.com/3/f/1/1161543120.jpg</t>
  </si>
  <si>
    <t>https://pet-uploads.adoptapet.com/1/2/c/1161543129.jpg</t>
  </si>
  <si>
    <t>https://pet-uploads.adoptapet.com/5/4/3/1161543135.jpg</t>
  </si>
  <si>
    <t>A0056628692</t>
  </si>
  <si>
    <t>Blazer</t>
  </si>
  <si>
    <t>I bring the charm when I get to socialize with people and other dogs. I have tons of energy being a lab. I am well rounded and must have access to toys. I do not only have the looks but the personality to go with it! I am heart-worm negative, but my stay at the shelter is long overdue! I have been here since August 2024. With all these great qualities, I am wondering if I could find my forever home with someone who will appreciate me.</t>
  </si>
  <si>
    <t>https://pet-uploads.adoptapet.com/b/6/f/1165563297.jpg</t>
  </si>
  <si>
    <t>https://pet-uploads.adoptapet.com/4/6/7/1165563306.jpg</t>
  </si>
  <si>
    <t>https://pet-uploads.adoptapet.com/c/9/0/1165563312.jpg</t>
  </si>
  <si>
    <t>A0056553890</t>
  </si>
  <si>
    <t>Hallie</t>
  </si>
  <si>
    <t>https://pet-uploads.adoptapet.com/c/c/9/1165552508.jpg</t>
  </si>
  <si>
    <t>https://pet-uploads.adoptapet.com/e/d/3/1165552593.jpg</t>
  </si>
  <si>
    <t>https://pet-uploads.adoptapet.com/6/4/1/1165552682.jpg</t>
  </si>
  <si>
    <t>A0056649069</t>
  </si>
  <si>
    <t>Jackie Daniels</t>
  </si>
  <si>
    <t>https://pet-uploads.adoptapet.com/c/e/f/1165563391.jpg</t>
  </si>
  <si>
    <t>https://pet-uploads.adoptapet.com/6/6/a/1165563400.jpg</t>
  </si>
  <si>
    <t>https://pet-uploads.adoptapet.com/f/9/6/1165563406.jpg</t>
  </si>
  <si>
    <t>A0056649053</t>
  </si>
  <si>
    <t>Jameson</t>
  </si>
  <si>
    <t>https://pet-uploads.adoptapet.com/d/9/e/1165563675.jpg</t>
  </si>
  <si>
    <t>https://pet-uploads.adoptapet.com/9/6/5/1165563692.jpg</t>
  </si>
  <si>
    <t>https://pet-uploads.adoptapet.com/2/8/0/1165563698.jpg</t>
  </si>
  <si>
    <t>https://pet-uploads.adoptapet.com/7/3/6/1165563710.jpg</t>
  </si>
  <si>
    <t>A0056417371</t>
  </si>
  <si>
    <t>Pickle</t>
  </si>
  <si>
    <t>https://pet-uploads.adoptapet.com/4/8/8/1165550626.jpg</t>
  </si>
  <si>
    <t>https://pet-uploads.adoptapet.com/c/4/7/1165550635.jpg</t>
  </si>
  <si>
    <t>https://pet-uploads.adoptapet.com/5/8/9/1165550641.jpg</t>
  </si>
  <si>
    <t>A0056628215</t>
  </si>
  <si>
    <t>Scooby-Dee [Pending Adoption]</t>
  </si>
  <si>
    <t>I came to Colton Animal Services as a stray in August 2024. I have a very active and loving personality. I love being around people, but cats are not my strong suit. I need a caretaker who does not mind cuddling and loyalty ! Someone who understands I can be selective with my dog friends. I am strong on the leash and will lead you to fun, crazy adventures if you are willing to take a chance on me. I am still a young adult and with patience, easily trainable.</t>
  </si>
  <si>
    <t>https://pet-uploads.adoptapet.com/c/5/c/1165563152.jpg</t>
  </si>
  <si>
    <t>https://pet-uploads.adoptapet.com/2/6/0/1165563167.jpg</t>
  </si>
  <si>
    <t>https://pet-uploads.adoptapet.com/b/5/e/1165563176.jpg</t>
  </si>
  <si>
    <t>A0056374623</t>
  </si>
  <si>
    <t>Talia</t>
  </si>
  <si>
    <t>https://pet-uploads.adoptapet.com/7/4/7/1165550125.jpg</t>
  </si>
  <si>
    <t>https://pet-uploads.adoptapet.com/0/7/4/1165550134.jpg</t>
  </si>
  <si>
    <t>https://pet-uploads.adoptapet.com/e/8/2/1165550140.jpg</t>
  </si>
  <si>
    <t>A0056176662</t>
  </si>
  <si>
    <t>Bubs</t>
  </si>
  <si>
    <t>https://pet-uploads.adoptapet.com/9/d/4/1165719515.jpg</t>
  </si>
  <si>
    <t>https://pet-uploads.adoptapet.com/5/9/4/1165719524.jpg</t>
  </si>
  <si>
    <t>https://pet-uploads.adoptapet.com/2/6/8/1165719530.jpg</t>
  </si>
  <si>
    <t>A0056301912</t>
  </si>
  <si>
    <t>Flynn</t>
  </si>
  <si>
    <t>https://pet-uploads.adoptapet.com/3/3/0/1165719632.jpg</t>
  </si>
  <si>
    <t>https://pet-uploads.adoptapet.com/f/b/e/1165719641.jpg</t>
  </si>
  <si>
    <t>https://pet-uploads.adoptapet.com/7/a/5/1165719647.jpg</t>
  </si>
  <si>
    <t>A0056427159</t>
  </si>
  <si>
    <t>Jazz</t>
  </si>
  <si>
    <t>https://pet-uploads.adoptapet.com/e/b/6/1165719731.jpg</t>
  </si>
  <si>
    <t>https://pet-uploads.adoptapet.com/a/5/6/1165719749.jpg</t>
  </si>
  <si>
    <t>https://pet-uploads.adoptapet.com/e/8/0/1165719758.jpg</t>
  </si>
  <si>
    <t>A0056560858</t>
  </si>
  <si>
    <t>Lucille</t>
  </si>
  <si>
    <t>https://pet-uploads.adoptapet.com/6/0/7/1165721009.jpg</t>
  </si>
  <si>
    <t>https://pet-uploads.adoptapet.com/2/7/2/1165721018.jpg</t>
  </si>
  <si>
    <t>https://pet-uploads.adoptapet.com/a/2/7/1165721024.jpg</t>
  </si>
  <si>
    <t>A0056560868</t>
  </si>
  <si>
    <t>https://pet-uploads.adoptapet.com/2/1/4/1165721161.jpg</t>
  </si>
  <si>
    <t>https://pet-uploads.adoptapet.com/1/f/2/1165721188.jpg</t>
  </si>
  <si>
    <t>https://pet-uploads.adoptapet.com/d/9/7/1165721195.jpg</t>
  </si>
  <si>
    <t>A0056535451</t>
  </si>
  <si>
    <t>Shakira</t>
  </si>
  <si>
    <t>https://pet-uploads.adoptapet.com/b/9/8/1165720048.jpg</t>
  </si>
  <si>
    <t>https://pet-uploads.adoptapet.com/9/7/e/1165720057.jpg</t>
  </si>
  <si>
    <t>https://pet-uploads.adoptapet.com/d/c/b/1165720063.jpg</t>
  </si>
  <si>
    <t>A0056657708</t>
  </si>
  <si>
    <t>Steeler</t>
  </si>
  <si>
    <t>https://pet-uploads.adoptapet.com/e/a/f/1165721437.jpg</t>
  </si>
  <si>
    <t>https://pet-uploads.adoptapet.com/7/8/5/1165721451.jpg</t>
  </si>
  <si>
    <t>https://pet-uploads.adoptapet.com/2/b/7/1165721466.jpg</t>
  </si>
  <si>
    <t>A0056311360</t>
  </si>
  <si>
    <t>Arlo</t>
  </si>
  <si>
    <t>https://pet-uploads.adoptapet.com/1/8/1/1172964641.jpg</t>
  </si>
  <si>
    <t>https://pet-uploads.adoptapet.com/4/0/9/1172964933.jpg</t>
  </si>
  <si>
    <t>https://pet-uploads.adoptapet.com/0/6/2/1172965372.jpg</t>
  </si>
  <si>
    <t>A0056637444</t>
  </si>
  <si>
    <t>Aurora</t>
  </si>
  <si>
    <t>https://pet-uploads.adoptapet.com/d/e/7/1172974157.jpg</t>
  </si>
  <si>
    <t>https://pet-uploads.adoptapet.com/a/1/0/1172974363.jpg</t>
  </si>
  <si>
    <t>https://pet-uploads.adoptapet.com/b/b/9/1172974468.jpg</t>
  </si>
  <si>
    <t>A0056365663</t>
  </si>
  <si>
    <t>Bronco</t>
  </si>
  <si>
    <t>https://pet-uploads.adoptapet.com/c/b/e/1172957429.jpg</t>
  </si>
  <si>
    <t>https://pet-uploads.adoptapet.com/5/e/3/1172957438.jpg</t>
  </si>
  <si>
    <t>https://pet-uploads.adoptapet.com/2/2/9/1172957444.jpg</t>
  </si>
  <si>
    <t>A0056489567</t>
  </si>
  <si>
    <t>Goober</t>
  </si>
  <si>
    <t>https://pet-uploads.adoptapet.com/5/8/2/1172972189.jpg</t>
  </si>
  <si>
    <t>https://pet-uploads.adoptapet.com/a/d/2/1172972226.jpg</t>
  </si>
  <si>
    <t>https://pet-uploads.adoptapet.com/4/2/5/1172972233.jpg</t>
  </si>
  <si>
    <t>A0056896390</t>
  </si>
  <si>
    <t>Jacie</t>
  </si>
  <si>
    <t>https://pet-uploads.adoptapet.com/7/5/6/1172949589.jpg</t>
  </si>
  <si>
    <t>https://pet-uploads.adoptapet.com/0/3/3/1172949606.jpg</t>
  </si>
  <si>
    <t>https://pet-uploads.adoptapet.com/d/b/b/1172949613.jpg</t>
  </si>
  <si>
    <t>A0056896414</t>
  </si>
  <si>
    <t>Jax</t>
  </si>
  <si>
    <t>https://pet-uploads.adoptapet.com/7/f/0/1172953797.jpg</t>
  </si>
  <si>
    <t>https://pet-uploads.adoptapet.com/2/d/6/1172953816.jpg</t>
  </si>
  <si>
    <t>https://pet-uploads.adoptapet.com/6/3/a/1172953831.jpg</t>
  </si>
  <si>
    <t>A0056393304</t>
  </si>
  <si>
    <t>https://pet-uploads.adoptapet.com/0/f/b/1172966811.jpg</t>
  </si>
  <si>
    <t>https://pet-uploads.adoptapet.com/b/2/e/1172966820.jpg</t>
  </si>
  <si>
    <t>https://pet-uploads.adoptapet.com/2/8/e/1172966836.jpg</t>
  </si>
  <si>
    <t>A0056545492</t>
  </si>
  <si>
    <t>https://pet-uploads.adoptapet.com/b/0/d/1172972868.jpg</t>
  </si>
  <si>
    <t>https://pet-uploads.adoptapet.com/e/3/8/1172972877.jpg</t>
  </si>
  <si>
    <t>https://pet-uploads.adoptapet.com/e/9/8/1172972883.jpg</t>
  </si>
  <si>
    <t>A0056122187</t>
  </si>
  <si>
    <t>Anatolian Shepherd</t>
  </si>
  <si>
    <t>https://pet-uploads.adoptapet.com/e/f/8/1172955081.jpg</t>
  </si>
  <si>
    <t>https://pet-uploads.adoptapet.com/7/e/8/1172955090.jpg</t>
  </si>
  <si>
    <t>https://pet-uploads.adoptapet.com/a/e/d/1172955096.jpg</t>
  </si>
  <si>
    <t>A0056179508</t>
  </si>
  <si>
    <t>https://pet-uploads.adoptapet.com/7/5/6/1172955227.jpg</t>
  </si>
  <si>
    <t>https://pet-uploads.adoptapet.com/5/1/4/1172955236.jpg</t>
  </si>
  <si>
    <t>https://pet-uploads.adoptapet.com/8/a/4/1172955242.jpg</t>
  </si>
  <si>
    <t>A0056510981</t>
  </si>
  <si>
    <t>Mylo</t>
  </si>
  <si>
    <t>https://pet-uploads.adoptapet.com/9/f/b/1172972355.jpg</t>
  </si>
  <si>
    <t>https://pet-uploads.adoptapet.com/4/6/f/1172972377.jpg</t>
  </si>
  <si>
    <t>https://pet-uploads.adoptapet.com/1/0/0/1172972385.jpg</t>
  </si>
  <si>
    <t>A0056218237</t>
  </si>
  <si>
    <t>Natasha</t>
  </si>
  <si>
    <t>Border Terrier</t>
  </si>
  <si>
    <t>Schnauzer (Standard)</t>
  </si>
  <si>
    <t>https://pet-uploads.adoptapet.com/b/1/6/1172957216.jpg</t>
  </si>
  <si>
    <t>https://pet-uploads.adoptapet.com/6/1/8/1172957225.jpg</t>
  </si>
  <si>
    <t>https://pet-uploads.adoptapet.com/9/2/1/1172957234.jpg</t>
  </si>
  <si>
    <t>A0056342305</t>
  </si>
  <si>
    <t>Scotty</t>
  </si>
  <si>
    <t>Dogue de Bordeaux</t>
  </si>
  <si>
    <t>https://pet-uploads.adoptapet.com/d/6/6/1172966302.jpg</t>
  </si>
  <si>
    <t>https://pet-uploads.adoptapet.com/5/8/3/1172966316.jpg</t>
  </si>
  <si>
    <t>https://pet-uploads.adoptapet.com/4/6/4/1172966330.jpg</t>
  </si>
  <si>
    <t>A0056448540</t>
  </si>
  <si>
    <t>Shaggy</t>
  </si>
  <si>
    <t>https://pet-uploads.adoptapet.com/c/9/e/1172968477.jpg</t>
  </si>
  <si>
    <t>https://pet-uploads.adoptapet.com/6/1/1/1172968486.jpg</t>
  </si>
  <si>
    <t>https://pet-uploads.adoptapet.com/8/4/a/1172968492.jpg</t>
  </si>
  <si>
    <t>A0056532394</t>
  </si>
  <si>
    <t>Sid</t>
  </si>
  <si>
    <t>https://pet-uploads.adoptapet.com/d/2/d/1172972785.jpg</t>
  </si>
  <si>
    <t>https://pet-uploads.adoptapet.com/c/b/1/1172972794.jpg</t>
  </si>
  <si>
    <t>https://pet-uploads.adoptapet.com/8/0/e/1172972800.jpg</t>
  </si>
  <si>
    <t>A0056836723</t>
  </si>
  <si>
    <t>Tia</t>
  </si>
  <si>
    <t>https://pet-uploads.adoptapet.com/f/3/f/1172953909.jpg</t>
  </si>
  <si>
    <t>https://pet-uploads.adoptapet.com/7/c/a/1172953918.jpg</t>
  </si>
  <si>
    <t>https://pet-uploads.adoptapet.com/5/7/f/1172953924.jpg</t>
  </si>
  <si>
    <t>A0056556966</t>
  </si>
  <si>
    <t>Tooley</t>
  </si>
  <si>
    <t>https://pet-uploads.adoptapet.com/a/b/c/1172972992.jpg</t>
  </si>
  <si>
    <t>https://pet-uploads.adoptapet.com/5/5/a/1172973001.jpg</t>
  </si>
  <si>
    <t>https://pet-uploads.adoptapet.com/e/8/9/1172973007.jpg</t>
  </si>
  <si>
    <t>https://pet-uploads.adoptapet.com/2/8/e/1172973013.jpg</t>
  </si>
  <si>
    <t>A0056708907</t>
  </si>
  <si>
    <t>Alice</t>
  </si>
  <si>
    <t>https://pet-uploads.adoptapet.com/6/1/3/1177604386.jpg</t>
  </si>
  <si>
    <t>https://pet-uploads.adoptapet.com/5/a/9/1177604395.jpg</t>
  </si>
  <si>
    <t>A0056685602</t>
  </si>
  <si>
    <t>Austin</t>
  </si>
  <si>
    <t>https://pet-uploads.adoptapet.com/2/2/2/1177602795.jpg</t>
  </si>
  <si>
    <t>A0056849474</t>
  </si>
  <si>
    <t>Axel</t>
  </si>
  <si>
    <t>https://pet-uploads.adoptapet.com/9/9/a/1177620394.jpg</t>
  </si>
  <si>
    <t>https://pet-uploads.adoptapet.com/8/f/5/1177620412.jpg</t>
  </si>
  <si>
    <t>A0056685666</t>
  </si>
  <si>
    <t>Cheyenne</t>
  </si>
  <si>
    <t>https://pet-uploads.adoptapet.com/9/0/9/1177604213.jpg</t>
  </si>
  <si>
    <t>A0056869690</t>
  </si>
  <si>
    <t>Elsie</t>
  </si>
  <si>
    <t>https://pet-uploads.adoptapet.com/0/e/1/1177618273.jpg</t>
  </si>
  <si>
    <t>https://pet-uploads.adoptapet.com/c/f/3/1177618282.jpg</t>
  </si>
  <si>
    <t>A0056685588</t>
  </si>
  <si>
    <t>Helena</t>
  </si>
  <si>
    <t>https://pet-uploads.adoptapet.com/5/3/9/1177602813.jpg</t>
  </si>
  <si>
    <t>https://pet-uploads.adoptapet.com/4/6/0/1177602822.jpg</t>
  </si>
  <si>
    <t>A0056685684</t>
  </si>
  <si>
    <t>https://pet-uploads.adoptapet.com/6/b/e/1177604302.jpg</t>
  </si>
  <si>
    <t>A0056838939</t>
  </si>
  <si>
    <t>Liquor</t>
  </si>
  <si>
    <t>https://pet-uploads.adoptapet.com/5/7/d/1177618573.jpg</t>
  </si>
  <si>
    <t>https://pet-uploads.adoptapet.com/c/3/8/1177618582.jpg</t>
  </si>
  <si>
    <t>https://pet-uploads.adoptapet.com/6/e/e/1177618588.jpg</t>
  </si>
  <si>
    <t>A0056685653</t>
  </si>
  <si>
    <t>Madison</t>
  </si>
  <si>
    <t>https://pet-uploads.adoptapet.com/0/d/0/1177604067.jpg</t>
  </si>
  <si>
    <t>A0056853362</t>
  </si>
  <si>
    <t>Mallard</t>
  </si>
  <si>
    <t>https://pet-uploads.adoptapet.com/4/a/3/1177604490.jpg</t>
  </si>
  <si>
    <t>https://pet-uploads.adoptapet.com/7/f/a/1177604500.jpg</t>
  </si>
  <si>
    <t>A0056685634</t>
  </si>
  <si>
    <t>Olympia</t>
  </si>
  <si>
    <t>https://pet-uploads.adoptapet.com/e/e/6/1177603951.jpg</t>
  </si>
  <si>
    <t>A0056685620</t>
  </si>
  <si>
    <t>Salem</t>
  </si>
  <si>
    <t>https://pet-uploads.adoptapet.com/a/e/5/1177603048.jpg</t>
  </si>
  <si>
    <t>https://pet-uploads.adoptapet.com/1/3/d/1177603057.jpg</t>
  </si>
  <si>
    <t>A0056869688</t>
  </si>
  <si>
    <t>Timber</t>
  </si>
  <si>
    <t>https://pet-uploads.adoptapet.com/f/c/e/1177604904.jpg</t>
  </si>
  <si>
    <t>https://pet-uploads.adoptapet.com/5/c/4/1177604913.jpg</t>
  </si>
  <si>
    <t>A0057001449</t>
  </si>
  <si>
    <t>Zuul</t>
  </si>
  <si>
    <t>https://pet-uploads.adoptapet.com/2/3/6/1177614753.jpg</t>
  </si>
  <si>
    <t>https://pet-uploads.adoptapet.com/1/9/2/1177614762.jpg</t>
  </si>
  <si>
    <t>https://pet-uploads.adoptapet.com/8/a/4/1183961181.jpg</t>
  </si>
  <si>
    <t>https://pet-uploads.adoptapet.com/9/4/9/1183961190.jpg</t>
  </si>
  <si>
    <t>https://pet-uploads.adoptapet.com/d/1/0/1183961196.jpg</t>
  </si>
  <si>
    <t>A0056906696</t>
  </si>
  <si>
    <t>Bertie</t>
  </si>
  <si>
    <t>https://pet-uploads.adoptapet.com/5/3/c/1183963081.jpg</t>
  </si>
  <si>
    <t>https://pet-uploads.adoptapet.com/6/9/1/1183963090.jpg</t>
  </si>
  <si>
    <t>https://pet-uploads.adoptapet.com/1/2/5/1183963096.jpg</t>
  </si>
  <si>
    <t>https://pet-uploads.adoptapet.com/f/6/b/1183963102.jpg</t>
  </si>
  <si>
    <t>A0056955668</t>
  </si>
  <si>
    <t>Blakely</t>
  </si>
  <si>
    <t>https://pet-uploads.adoptapet.com/c/4/5/1183963182.jpg</t>
  </si>
  <si>
    <t>https://pet-uploads.adoptapet.com/0/0/a/1183963191.jpg</t>
  </si>
  <si>
    <t>https://pet-uploads.adoptapet.com/c/4/2/1183963197.jpg</t>
  </si>
  <si>
    <t>https://pet-uploads.adoptapet.com/d/c/b/1183963421.jpg</t>
  </si>
  <si>
    <t>https://pet-uploads.adoptapet.com/0/3/6/1183963430.jpg</t>
  </si>
  <si>
    <t>https://pet-uploads.adoptapet.com/8/c/4/1183963436.jpg</t>
  </si>
  <si>
    <t>https://pet-uploads.adoptapet.com/1/b/2/1183963442.jpg</t>
  </si>
  <si>
    <t>Fonzie is  beautiful boy who is full of love and energy. He forgets his size sometimes so care should be taken with small children. He is good with other dogs and enjoys a good romp with a sturdy playmate, and tennis balls are a favorite. He loves all toys, but stuffed toys may explode. Fonzie is still learning about what is or is not a toy. He tried to play with a potato last week. Fonzie is crate trained. House training and obedience have been slower, but given the opportunity I think he will get there. He is okay on a leash, but I wouldn't let a young child walk him just yet. He tolerates baths and nail trims, but they do make him nervous. He has gotten more relaxed each time.    Based on Fonzie's reaction to the kittens he has encountered, balls, and my son's remote control car, I definitely think a home free of small prey animals would be best.     Fonzie really just wants a bed to lay on, lots of treats and cuddles.</t>
  </si>
  <si>
    <t>https://pet-uploads.adoptapet.com/a/a/e/1183965363.jpg</t>
  </si>
  <si>
    <t>https://pet-uploads.adoptapet.com/a/3/8/1183965372.jpg</t>
  </si>
  <si>
    <t>https://pet-uploads.adoptapet.com/7/1/4/1183965378.jpg</t>
  </si>
  <si>
    <t>https://pet-uploads.adoptapet.com/4/2/7/1256532219.jpg</t>
  </si>
  <si>
    <t>A0056858759</t>
  </si>
  <si>
    <t>https://pet-uploads.adoptapet.com/8/7/1/1183962886.jpg</t>
  </si>
  <si>
    <t>https://pet-uploads.adoptapet.com/a/6/f/1183962895.jpg</t>
  </si>
  <si>
    <t>https://pet-uploads.adoptapet.com/f/8/0/1183962901.jpg</t>
  </si>
  <si>
    <t>https://pet-uploads.adoptapet.com/f/7/b/1183962907.jpg</t>
  </si>
  <si>
    <t>A0057074882</t>
  </si>
  <si>
    <t>Hoss</t>
  </si>
  <si>
    <t>https://pet-uploads.adoptapet.com/3/e/0/1183968094.jpg</t>
  </si>
  <si>
    <t>https://pet-uploads.adoptapet.com/a/f/3/1183968117.jpg</t>
  </si>
  <si>
    <t>https://pet-uploads.adoptapet.com/b/2/f/1183968123.jpg</t>
  </si>
  <si>
    <t>A0057074830</t>
  </si>
  <si>
    <t>Kate</t>
  </si>
  <si>
    <t>https://pet-uploads.adoptapet.com/4/f/0/1183967809.jpg</t>
  </si>
  <si>
    <t>https://pet-uploads.adoptapet.com/f/5/b/1183967818.jpg</t>
  </si>
  <si>
    <t>https://pet-uploads.adoptapet.com/e/2/0/1183967824.jpg</t>
  </si>
  <si>
    <t>A0057074867</t>
  </si>
  <si>
    <t>Lass</t>
  </si>
  <si>
    <t>https://pet-uploads.adoptapet.com/9/2/9/1183967914.jpg</t>
  </si>
  <si>
    <t>https://pet-uploads.adoptapet.com/3/5/2/1183967923.jpg</t>
  </si>
  <si>
    <t>https://pet-uploads.adoptapet.com/6/e/5/1183967929.jpg</t>
  </si>
  <si>
    <t>A0051904096</t>
  </si>
  <si>
    <t>Luna [Foster Home]</t>
  </si>
  <si>
    <t>Luna here! I have been told I‚Äôm such a well behaved girl. I take direction well and I have great leash manners. I enjoy a beautiful day in the play yard, I can even play fetch. Playtime is a must for me, so being in an active home would be something I look forward to. I have been returned to the shelter a couple times so I‚Äôm really hoping luck is on my side with a good companion who is ready for commitment.</t>
  </si>
  <si>
    <t>https://pet-uploads.adoptapet.com/d/2/5/1183960454.jpg</t>
  </si>
  <si>
    <t>https://pet-uploads.adoptapet.com/5/b/d/1183960463.jpg</t>
  </si>
  <si>
    <t>https://pet-uploads.adoptapet.com/f/2/5/1183960469.jpg</t>
  </si>
  <si>
    <t>A0056955695</t>
  </si>
  <si>
    <t>Rayne</t>
  </si>
  <si>
    <t>https://pet-uploads.adoptapet.com/4/2/7/1183959724.jpg</t>
  </si>
  <si>
    <t>https://pet-uploads.adoptapet.com/d/3/2/1183959742.jpg</t>
  </si>
  <si>
    <t>https://pet-uploads.adoptapet.com/4/6/1/1183959756.jpg</t>
  </si>
  <si>
    <t>A0057109619</t>
  </si>
  <si>
    <t>Sia</t>
  </si>
  <si>
    <t>https://pet-uploads.adoptapet.com/5/d/6/1183967213.jpg</t>
  </si>
  <si>
    <t>https://pet-uploads.adoptapet.com/0/e/c/1183967223.jpg</t>
  </si>
  <si>
    <t>https://pet-uploads.adoptapet.com/e/7/4/1183967229.jpg</t>
  </si>
  <si>
    <t>A0056859317</t>
  </si>
  <si>
    <t>https://pet-uploads.adoptapet.com/b/1/a/1183958604.jpg</t>
  </si>
  <si>
    <t>https://pet-uploads.adoptapet.com/b/a/5/1183958630.jpg</t>
  </si>
  <si>
    <t>https://pet-uploads.adoptapet.com/8/d/2/1183958639.jpg</t>
  </si>
  <si>
    <t>A0056849855</t>
  </si>
  <si>
    <t>Taylor</t>
  </si>
  <si>
    <t>https://pet-uploads.adoptapet.com/7/2/f/1183962762.jpg</t>
  </si>
  <si>
    <t>https://pet-uploads.adoptapet.com/8/a/5/1183962781.jpg</t>
  </si>
  <si>
    <t>https://pet-uploads.adoptapet.com/0/1/0/1183962791.jpg</t>
  </si>
  <si>
    <t>A0057062917</t>
  </si>
  <si>
    <t>Ace</t>
  </si>
  <si>
    <t>https://pet-uploads.adoptapet.com/1/e/8/1191249396.jpg</t>
  </si>
  <si>
    <t>https://pet-uploads.adoptapet.com/f/6/6/1191249405.jpg</t>
  </si>
  <si>
    <t>A0054701545</t>
  </si>
  <si>
    <t>Bella</t>
  </si>
  <si>
    <t>https://pet-uploads.adoptapet.com/5/7/e/1197664067.jpg</t>
  </si>
  <si>
    <t>https://pet-uploads.adoptapet.com/8/d/b/1197664076.jpg</t>
  </si>
  <si>
    <t>https://pet-uploads.adoptapet.com/f/b/4/1197664091.jpg</t>
  </si>
  <si>
    <t>https://pet-uploads.adoptapet.com/7/1/7/1197664097.jpg</t>
  </si>
  <si>
    <t>A0057295384</t>
  </si>
  <si>
    <t>Brownie</t>
  </si>
  <si>
    <t>https://pet-uploads.adoptapet.com/9/6/d/1197653631.jpg</t>
  </si>
  <si>
    <t>https://pet-uploads.adoptapet.com/7/1/e/1197653641.jpg</t>
  </si>
  <si>
    <t>https://pet-uploads.adoptapet.com/1/8/5/1197653647.jpg</t>
  </si>
  <si>
    <t>A0057300407</t>
  </si>
  <si>
    <t>https://pet-uploads.adoptapet.com/f/1/5/1197663252.jpg</t>
  </si>
  <si>
    <t>https://pet-uploads.adoptapet.com/4/d/b/1197663261.jpg</t>
  </si>
  <si>
    <t>A0057170299</t>
  </si>
  <si>
    <t>Frannie</t>
  </si>
  <si>
    <t>https://pet-uploads.adoptapet.com/4/b/6/1197663452.jpg</t>
  </si>
  <si>
    <t>https://pet-uploads.adoptapet.com/1/8/9/1197663461.jpg</t>
  </si>
  <si>
    <t>https://pet-uploads.adoptapet.com/e/7/c/1197663467.jpg</t>
  </si>
  <si>
    <t>A0057109850</t>
  </si>
  <si>
    <t>Frodo [Foster To Adopt]</t>
  </si>
  <si>
    <t>Frodo is as sweet as he is handsome. This boy loves to play with other dogs and his human friends and then snuggle up for a good nap. Bonus - he has shown that he is good with cats!</t>
  </si>
  <si>
    <t>https://pet-uploads.adoptapet.com/4/2/1/1197653127.jpg</t>
  </si>
  <si>
    <t>https://pet-uploads.adoptapet.com/0/b/d/1197653140.jpg</t>
  </si>
  <si>
    <t>https://pet-uploads.adoptapet.com/c/8/2/1197653158.jpg</t>
  </si>
  <si>
    <t>A0057284013</t>
  </si>
  <si>
    <t>Harmony</t>
  </si>
  <si>
    <t>A0057202602</t>
  </si>
  <si>
    <t>Mr. Bojangles</t>
  </si>
  <si>
    <t>https://pet-uploads.adoptapet.com/e/0/2/1197653481.jpg</t>
  </si>
  <si>
    <t>https://pet-uploads.adoptapet.com/6/6/d/1197653490.jpg</t>
  </si>
  <si>
    <t>https://pet-uploads.adoptapet.com/9/2/8/1197653496.jpg</t>
  </si>
  <si>
    <t>https://pet-uploads.adoptapet.com/a/9/1/1197653502.jpg</t>
  </si>
  <si>
    <t>A0057260374</t>
  </si>
  <si>
    <t>Niblet</t>
  </si>
  <si>
    <t>https://pet-uploads.adoptapet.com/3/9/5/1197654680.jpg</t>
  </si>
  <si>
    <t>https://pet-uploads.adoptapet.com/e/c/b/1197654691.jpg</t>
  </si>
  <si>
    <t>https://pet-uploads.adoptapet.com/0/b/b/1197654710.jpg</t>
  </si>
  <si>
    <t>A0057087444</t>
  </si>
  <si>
    <t>Sly</t>
  </si>
  <si>
    <t>https://pet-uploads.adoptapet.com/4/c/9/1197652926.jpg</t>
  </si>
  <si>
    <t>https://pet-uploads.adoptapet.com/5/3/7/1197652935.jpg</t>
  </si>
  <si>
    <t>https://pet-uploads.adoptapet.com/5/b/6/1197652941.jpg</t>
  </si>
  <si>
    <t>A0057330354</t>
  </si>
  <si>
    <t>Beth</t>
  </si>
  <si>
    <t>https://pet-uploads.adoptapet.com/9/f/6/1203248978.jpg</t>
  </si>
  <si>
    <t>https://pet-uploads.adoptapet.com/c/8/2/1203248987.jpg</t>
  </si>
  <si>
    <t>https://pet-uploads.adoptapet.com/a/b/7/1203248993.jpg</t>
  </si>
  <si>
    <t>A0057342841</t>
  </si>
  <si>
    <t>Cupcake</t>
  </si>
  <si>
    <t>https://pet-uploads.adoptapet.com/9/6/8/1203248367.jpg</t>
  </si>
  <si>
    <t>https://pet-uploads.adoptapet.com/2/4/4/1203248376.jpg</t>
  </si>
  <si>
    <t>https://pet-uploads.adoptapet.com/6/1/0/1203248382.jpg</t>
  </si>
  <si>
    <t>A0057271924</t>
  </si>
  <si>
    <t>Jace [Foster Home]</t>
  </si>
  <si>
    <t>I'm a sweetheart, just look at my beautiful brown eyes! I know I can melt anyone's heart if they take the time to get to know me. I'm friendly with other dogs but take time to warm up as it is stressful in a shelter environment. I enjoy playing and can find adventure wherever I go. I am still young and adaptable, so I welcome growth and learning. As a black dog, my chances of getting adopted quickly are reduced. I am also heart-worm negative! Won't you bring this dreamboat home with you?</t>
  </si>
  <si>
    <t>https://pet-uploads.adoptapet.com/e/2/3/1203242870.jpg</t>
  </si>
  <si>
    <t>https://pet-uploads.adoptapet.com/4/e/c/1203242906.jpg</t>
  </si>
  <si>
    <t>https://pet-uploads.adoptapet.com/5/1/1/1203242937.jpg</t>
  </si>
  <si>
    <t>A0057273306</t>
  </si>
  <si>
    <t>Roy</t>
  </si>
  <si>
    <t>https://pet-uploads.adoptapet.com/a/c/c/1203246814.jpg</t>
  </si>
  <si>
    <t>https://pet-uploads.adoptapet.com/d/3/8/1203246823.jpg</t>
  </si>
  <si>
    <t>https://pet-uploads.adoptapet.com/f/1/6/1203246829.jpg</t>
  </si>
  <si>
    <t>A0057238533</t>
  </si>
  <si>
    <t>Sir Harold IV</t>
  </si>
  <si>
    <t>https://pet-uploads.adoptapet.com/2/6/2/1205026248.jpg</t>
  </si>
  <si>
    <t>https://pet-uploads.adoptapet.com/1/5/c/1205026257.jpg</t>
  </si>
  <si>
    <t>https://pet-uploads.adoptapet.com/e/3/9/1205026263.jpg</t>
  </si>
  <si>
    <t>A0056300857</t>
  </si>
  <si>
    <t>I am a show stopper. I am still young and trainable. I get along well with other dogs and love to play fetch! I have been here since January and time flys when you don‚Äôt get adopted. Cats are not my cup of tea and I have a hard time giving my toys back. Black dogs are often overlooked at shelters, please consider a new fury friend such as myself to join the family. I am loving, loyal, and sporty. Did I mention I‚Äôm awesome on my leash!?</t>
  </si>
  <si>
    <t>https://pet-uploads.adoptapet.com/1/3/7/1203248541.jpg</t>
  </si>
  <si>
    <t>https://pet-uploads.adoptapet.com/9/9/d/1203248550.jpg</t>
  </si>
  <si>
    <t>https://pet-uploads.adoptapet.com/f/5/9/1203248559.jpg</t>
  </si>
  <si>
    <t>A0057650636</t>
  </si>
  <si>
    <t>Augie</t>
  </si>
  <si>
    <t>https://pet-uploads.adoptapet.com/e/b/5/1208221709.jpg</t>
  </si>
  <si>
    <t>https://pet-uploads.adoptapet.com/a/b/4/1208221726.jpg</t>
  </si>
  <si>
    <t>https://pet-uploads.adoptapet.com/d/1/6/1208221742.jpg</t>
  </si>
  <si>
    <t>A0057355986</t>
  </si>
  <si>
    <t>Brynlee</t>
  </si>
  <si>
    <t>I enjoy seeing new faces and socializing with different people. I love affection and can't go a day without my belly rubs. Getting sunshine and fresh air gives me hope for finding the perfect family. I know once you see my smile you'll take a chance and bring me home with you! Other dogs don't bother me, as I am confident in myself.</t>
  </si>
  <si>
    <t>https://pet-uploads.adoptapet.com/8/a/5/1208214275.jpg</t>
  </si>
  <si>
    <t>https://pet-uploads.adoptapet.com/e/f/c/1208214284.jpg</t>
  </si>
  <si>
    <t>https://pet-uploads.adoptapet.com/8/9/5/1208214290.jpg</t>
  </si>
  <si>
    <t>A0057381817</t>
  </si>
  <si>
    <t>Bud</t>
  </si>
  <si>
    <t>https://pet-uploads.adoptapet.com/f/3/f/1208214797.jpg</t>
  </si>
  <si>
    <t>https://pet-uploads.adoptapet.com/4/2/4/1208214806.jpg</t>
  </si>
  <si>
    <t>https://pet-uploads.adoptapet.com/1/0/f/1208214812.jpg</t>
  </si>
  <si>
    <t>A0057492324</t>
  </si>
  <si>
    <t>Cheddar</t>
  </si>
  <si>
    <t>https://pet-uploads.adoptapet.com/b/3/c/1208233589.jpg</t>
  </si>
  <si>
    <t>https://pet-uploads.adoptapet.com/c/d/c/1208233600.jpg</t>
  </si>
  <si>
    <t>https://pet-uploads.adoptapet.com/3/1/6/1208233617.jpg</t>
  </si>
  <si>
    <t>A0057474317</t>
  </si>
  <si>
    <t>Chip</t>
  </si>
  <si>
    <t>I am still a young lad and free of heart-worms! I would make a great family pet, as I am wonderful with kids. I may start off as shy but will come out of my shell. I play well with other dogs and still have a positive outlook on life! I belong in loving home who has time and compassion for me. Having a sibling would bring me a lot of joy. Please consider me to be an addition to your family.</t>
  </si>
  <si>
    <t>https://pet-uploads.adoptapet.com/d/3/a/1208217289.jpg</t>
  </si>
  <si>
    <t>https://pet-uploads.adoptapet.com/e/6/e/1208217298.jpg</t>
  </si>
  <si>
    <t>https://pet-uploads.adoptapet.com/0/a/3/1208217306.jpg</t>
  </si>
  <si>
    <t>A0057539777</t>
  </si>
  <si>
    <t>Deeks</t>
  </si>
  <si>
    <t>Siberian Husky</t>
  </si>
  <si>
    <t>I am an active playmate and would benefit from getting out of the shelter. I love going on pack walks and getting to socialize with other dogs who have high energy. I am amazing at fetch. I am great with kids! I may get frazzled with a noisy environment, as I do not mind a quiet atmosphere. I am a gorgeous male who often gets overlooked in the shelter even though I have all the right qualities.</t>
  </si>
  <si>
    <t>https://pet-uploads.adoptapet.com/a/c/4/1208220778.jpg</t>
  </si>
  <si>
    <t>https://pet-uploads.adoptapet.com/3/9/3/1208220792.jpg</t>
  </si>
  <si>
    <t>https://pet-uploads.adoptapet.com/6/5/a/1208220808.jpg</t>
  </si>
  <si>
    <t>A0057575601</t>
  </si>
  <si>
    <t>Flower</t>
  </si>
  <si>
    <t>https://pet-uploads.adoptapet.com/0/8/9/1208234204.jpg</t>
  </si>
  <si>
    <t>https://pet-uploads.adoptapet.com/5/1/6/1208234217.jpg</t>
  </si>
  <si>
    <t>A0057753926</t>
  </si>
  <si>
    <t>Grace</t>
  </si>
  <si>
    <t>https://pet-uploads.adoptapet.com/b/e/3/1208225936.jpg</t>
  </si>
  <si>
    <t>https://pet-uploads.adoptapet.com/5/a/8/1208225945.jpg</t>
  </si>
  <si>
    <t>https://pet-uploads.adoptapet.com/2/5/6/1208225951.jpg</t>
  </si>
  <si>
    <t>A0057238643</t>
  </si>
  <si>
    <t>Kane</t>
  </si>
  <si>
    <t>https://pet-uploads.adoptapet.com/6/c/c/1208204866.jpg</t>
  </si>
  <si>
    <t>https://pet-uploads.adoptapet.com/f/3/5/1208204880.jpg</t>
  </si>
  <si>
    <t>https://pet-uploads.adoptapet.com/2/a/8/1208204891.jpg</t>
  </si>
  <si>
    <t>A0057489575</t>
  </si>
  <si>
    <t>https://pet-uploads.adoptapet.com/c/c/d/1208219101.jpg</t>
  </si>
  <si>
    <t>https://pet-uploads.adoptapet.com/3/9/b/1208219110.jpg</t>
  </si>
  <si>
    <t>https://pet-uploads.adoptapet.com/c/3/b/1208219116.jpg</t>
  </si>
  <si>
    <t>A0057376120</t>
  </si>
  <si>
    <t>Lia</t>
  </si>
  <si>
    <t>https://pet-uploads.adoptapet.com/0/d/8/1208214526.jpg</t>
  </si>
  <si>
    <t>https://pet-uploads.adoptapet.com/6/f/3/1208214535.jpg</t>
  </si>
  <si>
    <t>https://pet-uploads.adoptapet.com/7/e/d/1208214550.jpg</t>
  </si>
  <si>
    <t>A0057501249</t>
  </si>
  <si>
    <t>Malcom</t>
  </si>
  <si>
    <t>Doberman Pinscher</t>
  </si>
  <si>
    <t>https://pet-uploads.adoptapet.com/d/2/a/1208219522.jpg</t>
  </si>
  <si>
    <t>https://pet-uploads.adoptapet.com/c/a/2/1208219539.jpg</t>
  </si>
  <si>
    <t>https://pet-uploads.adoptapet.com/4/3/7/1208219551.jpg</t>
  </si>
  <si>
    <t>A0057483477</t>
  </si>
  <si>
    <t>Rhonda</t>
  </si>
  <si>
    <t>Originally when I came to the shelter in December 2024, I wasn‚Äôt in the best condition, but I‚Äôm back on track because of love and support ! I know how to play with other dogs, which I didn‚Äôt know much about. I a big supporter of getting pets and scratches. I‚Äôm really hoping to find a home who can offer me unconditional love and patience because I have had it rough !</t>
  </si>
  <si>
    <t>https://pet-uploads.adoptapet.com/5/5/6/1208218029.jpg</t>
  </si>
  <si>
    <t>https://pet-uploads.adoptapet.com/2/4/5/1208218051.jpg</t>
  </si>
  <si>
    <t>https://pet-uploads.adoptapet.com/6/f/9/1208218057.jpg</t>
  </si>
  <si>
    <t>https://pet-uploads.adoptapet.com/8/f/5/1208226781.jpg</t>
  </si>
  <si>
    <t>https://pet-uploads.adoptapet.com/b/7/e/1208226790.jpg</t>
  </si>
  <si>
    <t>https://pet-uploads.adoptapet.com/4/8/0/1208226796.jpg</t>
  </si>
  <si>
    <t>A0057489549</t>
  </si>
  <si>
    <t>Roxy</t>
  </si>
  <si>
    <t>https://pet-uploads.adoptapet.com/4/a/7/1208218463.jpg</t>
  </si>
  <si>
    <t>https://pet-uploads.adoptapet.com/2/c/0/1208218475.jpg</t>
  </si>
  <si>
    <t>https://pet-uploads.adoptapet.com/4/4/4/1208218489.jpg</t>
  </si>
  <si>
    <t>https://pet-uploads.adoptapet.com/3/0/c/1208226984.jpg</t>
  </si>
  <si>
    <t>https://pet-uploads.adoptapet.com/8/5/0/1208226993.jpg</t>
  </si>
  <si>
    <t>https://pet-uploads.adoptapet.com/0/0/1/1208226999.jpg</t>
  </si>
  <si>
    <t>A0057542629</t>
  </si>
  <si>
    <t>https://pet-uploads.adoptapet.com/0/5/5/1208221328.jpg</t>
  </si>
  <si>
    <t>https://pet-uploads.adoptapet.com/1/c/e/1208221351.jpg</t>
  </si>
  <si>
    <t>https://pet-uploads.adoptapet.com/f/1/9/1208221357.jpg</t>
  </si>
  <si>
    <t>A0057125628</t>
  </si>
  <si>
    <t>Tank</t>
  </si>
  <si>
    <t>Being part Labrador, I have a high amount of energy. I have been here since October of 2024 and even had a foster family for some time, but I‚Äôm currently back at the shelter. I play well with other dogs and love to fetch! Having a playmate for me might be a good idea, as I am a sporty breed. I‚Äôm happy to report I am heart-worm negative ! I learn well with treats. Please consider me to be apart of your family for the long term.</t>
  </si>
  <si>
    <t>https://pet-uploads.adoptapet.com/9/3/5/1208233300.jpg</t>
  </si>
  <si>
    <t>https://pet-uploads.adoptapet.com/3/4/f/1208233309.jpg</t>
  </si>
  <si>
    <t>https://pet-uploads.adoptapet.com/a/7/1/1208233315.jpg</t>
  </si>
  <si>
    <t>A0057735051</t>
  </si>
  <si>
    <t>Valentina</t>
  </si>
  <si>
    <t>https://pet-uploads.adoptapet.com/6/1/8/1208222535.jpg</t>
  </si>
  <si>
    <t>https://pet-uploads.adoptapet.com/5/6/7/1208222588.jpg</t>
  </si>
  <si>
    <t>https://pet-uploads.adoptapet.com/6/9/3/1208222596.jpg</t>
  </si>
  <si>
    <t>A0057539785</t>
  </si>
  <si>
    <t>Weeks</t>
  </si>
  <si>
    <t>https://pet-uploads.adoptapet.com/9/5/1/1208220997.jpg</t>
  </si>
  <si>
    <t>https://pet-uploads.adoptapet.com/9/9/f/1208221014.jpg</t>
  </si>
  <si>
    <t>https://pet-uploads.adoptapet.com/7/5/c/1208221031.jpg</t>
  </si>
  <si>
    <t>A0057548605</t>
  </si>
  <si>
    <t>Bambi</t>
  </si>
  <si>
    <t>https://pet-uploads.adoptapet.com/4/a/7/1212799019.jpg</t>
  </si>
  <si>
    <t>https://pet-uploads.adoptapet.com/b/b/f/1212799028.jpg</t>
  </si>
  <si>
    <t>https://pet-uploads.adoptapet.com/f/8/2/1212799049.jpg</t>
  </si>
  <si>
    <t>A0057739518</t>
  </si>
  <si>
    <t>Bumble</t>
  </si>
  <si>
    <t>https://pet-uploads.adoptapet.com/6/d/a/1212803011.jpg</t>
  </si>
  <si>
    <t>https://pet-uploads.adoptapet.com/1/0/9/1212803020.jpg</t>
  </si>
  <si>
    <t>https://pet-uploads.adoptapet.com/5/2/7/1212803026.jpg</t>
  </si>
  <si>
    <t>A0057651608</t>
  </si>
  <si>
    <t>https://pet-uploads.adoptapet.com/e/5/a/1212804040.jpg</t>
  </si>
  <si>
    <t>A0057630065</t>
  </si>
  <si>
    <t>Dollar</t>
  </si>
  <si>
    <t>I am a carefree spirit with a lot of energy and excitement. I am very playful with other fellow dog companions and people friendly. I tend to get overzealous on a leash and have been known to nip, so I would be in need of someone who has patience and commitment to help train me out of any bad habits I have. So mental stimulation is something I would benefit from! Other than that, I shine in the play yard, especially when I have access to toys ! I think with some time and commitment I would make someone happy. It is possible a playmate would alleviate some of the stress I have from being at the shelter.</t>
  </si>
  <si>
    <t>https://pet-uploads.adoptapet.com/6/1/8/1212799437.jpg</t>
  </si>
  <si>
    <t>https://pet-uploads.adoptapet.com/d/e/8/1212799446.jpg</t>
  </si>
  <si>
    <t>https://pet-uploads.adoptapet.com/2/0/f/1212799452.jpg</t>
  </si>
  <si>
    <t>A0057548603</t>
  </si>
  <si>
    <t>Fawn</t>
  </si>
  <si>
    <t>https://pet-uploads.adoptapet.com/0/9/3/1212799281.jpg</t>
  </si>
  <si>
    <t>https://pet-uploads.adoptapet.com/f/3/8/1212799291.jpg</t>
  </si>
  <si>
    <t>https://pet-uploads.adoptapet.com/a/d/c/1212799309.jpg</t>
  </si>
  <si>
    <t>A0057730074</t>
  </si>
  <si>
    <t>Froggy</t>
  </si>
  <si>
    <t>I am an extreme love bug. While I do enjoy getting fresh air, I am more of a social butterfly. I thrive with attention and in need of a genuine family. It is often a loud environment I am in and I deserve a happy home. It would benefit me to have a companion who has the patience to teach me leash skills because I can be a tad goofy and excited. I can guarantee there will be no dull moments with me!</t>
  </si>
  <si>
    <t>https://pet-uploads.adoptapet.com/1/1/e/1212802624.jpg</t>
  </si>
  <si>
    <t>https://pet-uploads.adoptapet.com/6/e/0/1212802633.jpg</t>
  </si>
  <si>
    <t>https://pet-uploads.adoptapet.com/0/7/f/1212802643.jpg</t>
  </si>
  <si>
    <t>A0057651432</t>
  </si>
  <si>
    <t>https://pet-uploads.adoptapet.com/6/c/4/1212803644.jpg</t>
  </si>
  <si>
    <t>A0057867643</t>
  </si>
  <si>
    <t>Jack</t>
  </si>
  <si>
    <t>Hello, I‚Äôm Jack! I get along with other dogs and I am friendly. I need more room to grow and socialize. I have a long life ahead of me, I‚Äôm only two and I am heartworm negative. This is wonderful news! I need a loving home, for still being a young dog I am still a bundle of energy. I have been here since February, but the less time in the shelter the healthier mindset I will have. Please consider adopting me.</t>
  </si>
  <si>
    <t>https://pet-uploads.adoptapet.com/c/c/9/1212808859.jpg</t>
  </si>
  <si>
    <t>https://pet-uploads.adoptapet.com/e/c/0/1212808868.jpg</t>
  </si>
  <si>
    <t>https://pet-uploads.adoptapet.com/d/0/5/1212808874.jpg</t>
  </si>
  <si>
    <t>https://pet-uploads.adoptapet.com/d/a/8/1212808880.jpg</t>
  </si>
  <si>
    <t>A0057817439</t>
  </si>
  <si>
    <t>Lana</t>
  </si>
  <si>
    <t>https://pet-uploads.adoptapet.com/4/a/1/1212809778.jpg</t>
  </si>
  <si>
    <t>https://pet-uploads.adoptapet.com/f/c/4/1212809787.jpg</t>
  </si>
  <si>
    <t>https://pet-uploads.adoptapet.com/1/9/e/1212809793.jpg</t>
  </si>
  <si>
    <t>A0057651624</t>
  </si>
  <si>
    <t>Lizzy</t>
  </si>
  <si>
    <t>https://pet-uploads.adoptapet.com/4/d/3/1212804167.jpg</t>
  </si>
  <si>
    <t>A0057651534</t>
  </si>
  <si>
    <t>Luna</t>
  </si>
  <si>
    <t>https://pet-uploads.adoptapet.com/6/2/6/1212804429.jpg</t>
  </si>
  <si>
    <t>A0057651595</t>
  </si>
  <si>
    <t>https://pet-uploads.adoptapet.com/e/3/d/1212804010.jpg</t>
  </si>
  <si>
    <t>A0052217130</t>
  </si>
  <si>
    <t>https://pet-uploads.adoptapet.com/0/5/a/1212808474.jpg</t>
  </si>
  <si>
    <t>https://pet-uploads.adoptapet.com/8/6/9/1212808483.jpg</t>
  </si>
  <si>
    <t>https://pet-uploads.adoptapet.com/8/2/4/1212808489.jpg</t>
  </si>
  <si>
    <t>A0057651470</t>
  </si>
  <si>
    <t>Spot</t>
  </si>
  <si>
    <t>https://pet-uploads.adoptapet.com/4/2/9/1212808194.jpg</t>
  </si>
  <si>
    <t>A0057636125</t>
  </si>
  <si>
    <t>Vance</t>
  </si>
  <si>
    <t>I'm a small teddy bear! Bring me home to the family and I'll show you. I get along well with other dogs and really enjoy cuddling. As a young adult I am still highly trainable and only require love in return. I have so many years ahead of me and I'm heart-worm negative. Why, I'm practically a puppy! If you have the time, I have the energy.</t>
  </si>
  <si>
    <t>https://pet-uploads.adoptapet.com/9/0/a/1212802366.jpg</t>
  </si>
  <si>
    <t>https://pet-uploads.adoptapet.com/6/3/d/1212802375.jpg</t>
  </si>
  <si>
    <t>https://pet-uploads.adoptapet.com/6/8/5/1212802390.jpg</t>
  </si>
  <si>
    <t>A0057629122</t>
  </si>
  <si>
    <t>https://pet-uploads.adoptapet.com/4/b/b/1212799690.jpg</t>
  </si>
  <si>
    <t>https://pet-uploads.adoptapet.com/7/0/2/1212799699.jpg</t>
  </si>
  <si>
    <t>https://pet-uploads.adoptapet.com/6/3/f/1212799705.jpg</t>
  </si>
  <si>
    <t>A0053740802</t>
  </si>
  <si>
    <t>I am a playful and sweet girl who would do best in a single dog home. If you are looking for a bestie, I am it ! I am allergic to cats by the way, but I hope that will not get in the way of our friendship. I do not  mind other dogs but I want to protect our friendship because I am very loyal. I wouldn't mind upgrading to couch potato. Please swipe yes to this old gal and give me a chance to change your world.</t>
  </si>
  <si>
    <t>https://pet-uploads.adoptapet.com/7/4/f/1216430083.jpg</t>
  </si>
  <si>
    <t>https://pet-uploads.adoptapet.com/7/7/4/1216430092.jpg</t>
  </si>
  <si>
    <t>Memphis</t>
  </si>
  <si>
    <t>Basset Hound</t>
  </si>
  <si>
    <t>I may be an older gentleman but I‚Äôm full of life. I‚Äôm heart-worm negative and I also speak my mind! I am on the smaller side, so I can fit anywhere. As an older guy, I enjoy the simple things in life and would love to spend the rest of my life in a loving home that has room for me. I am dog friendly but can be independent. Please consider an sweet older dog to adopt and open your heart up to.</t>
  </si>
  <si>
    <t>https://pet-uploads.adoptapet.com/8/f/0/1216385276.jpg</t>
  </si>
  <si>
    <t>https://pet-uploads.adoptapet.com/5/2/9/1216385285.jpg</t>
  </si>
  <si>
    <t>A0057823840</t>
  </si>
  <si>
    <t>Tundra</t>
  </si>
  <si>
    <t>I came to Colleton Shelter as a stray in February. While the stay has not been long, I am ready to find a permanent home. I enjoy the play yard and seem to get a long well with other dogs, seeing as I am still a carefree juvenile. As a young dog I have room to grow for any training requirements needed, but I am really looking for a loving home! Being only five months old I have a long life ahead of me and I am a big ball of energy.</t>
  </si>
  <si>
    <t>https://pet-uploads.adoptapet.com/e/8/9/1216790050.jpg</t>
  </si>
  <si>
    <t>https://pet-uploads.adoptapet.com/8/9/7/1216790059.jpg</t>
  </si>
  <si>
    <t>https://pet-uploads.adoptapet.com/b/a/c/1216790065.jpg</t>
  </si>
  <si>
    <t>A0057634427</t>
  </si>
  <si>
    <t>Baby Doll [Foster Home]</t>
  </si>
  <si>
    <t>https://pet-uploads.adoptapet.com/3/3/3/1220240636.jpg</t>
  </si>
  <si>
    <t>https://pet-uploads.adoptapet.com/1/9/c/1220240645.jpg</t>
  </si>
  <si>
    <t>A0057976497</t>
  </si>
  <si>
    <t>Beatrix</t>
  </si>
  <si>
    <t>https://pet-uploads.adoptapet.com/a/8/f/1220251112.jpg</t>
  </si>
  <si>
    <t>https://pet-uploads.adoptapet.com/e/a/a/1220251121.jpg</t>
  </si>
  <si>
    <t>https://pet-uploads.adoptapet.com/b/0/4/1220251127.jpg</t>
  </si>
  <si>
    <t>A0057948750</t>
  </si>
  <si>
    <t>Brooks [Foster Home]</t>
  </si>
  <si>
    <t>https://pet-uploads.adoptapet.com/d/c/3/1220251369.jpg</t>
  </si>
  <si>
    <t>https://pet-uploads.adoptapet.com/0/5/5/1220251378.jpg</t>
  </si>
  <si>
    <t>https://pet-uploads.adoptapet.com/0/0/b/1220251384.jpg</t>
  </si>
  <si>
    <t>A0053756056</t>
  </si>
  <si>
    <t>Caige [Pending Adoption]</t>
  </si>
  <si>
    <t>https://pet-uploads.adoptapet.com/b/7/b/1220241910.jpg</t>
  </si>
  <si>
    <t>https://pet-uploads.adoptapet.com/1/0/b/1220241924.jpg</t>
  </si>
  <si>
    <t>https://pet-uploads.adoptapet.com/a/d/0/1220241931.jpg</t>
  </si>
  <si>
    <t>A0057924859</t>
  </si>
  <si>
    <t>Connor [Foster To Adopt]</t>
  </si>
  <si>
    <t>https://pet-uploads.adoptapet.com/5/1/4/1220251498.jpg</t>
  </si>
  <si>
    <t>https://pet-uploads.adoptapet.com/e/4/f/1220251507.jpg</t>
  </si>
  <si>
    <t>https://pet-uploads.adoptapet.com/e/7/c/1220251513.jpg</t>
  </si>
  <si>
    <t>A0057716234</t>
  </si>
  <si>
    <t>Darling</t>
  </si>
  <si>
    <t>https://pet-uploads.adoptapet.com/1/e/c/1220241393.jpg</t>
  </si>
  <si>
    <t>https://pet-uploads.adoptapet.com/8/e/9/1220241402.jpg</t>
  </si>
  <si>
    <t>https://pet-uploads.adoptapet.com/e/1/6/1220241408.jpg</t>
  </si>
  <si>
    <t>A0058018560</t>
  </si>
  <si>
    <t>Dixie</t>
  </si>
  <si>
    <t>https://pet-uploads.adoptapet.com/e/c/d/1220243983.jpg</t>
  </si>
  <si>
    <t>https://pet-uploads.adoptapet.com/2/c/7/1220243992.jpg</t>
  </si>
  <si>
    <t>https://pet-uploads.adoptapet.com/2/5/d/1220243998.jpg</t>
  </si>
  <si>
    <t>A0057849624</t>
  </si>
  <si>
    <t>Maria</t>
  </si>
  <si>
    <t>https://pet-uploads.adoptapet.com/6/2/0/1220245656.jpg</t>
  </si>
  <si>
    <t>https://pet-uploads.adoptapet.com/9/0/7/1220245676.jpg</t>
  </si>
  <si>
    <t>https://pet-uploads.adoptapet.com/c/2/8/1220245682.jpg</t>
  </si>
  <si>
    <t>A0058069860</t>
  </si>
  <si>
    <t>https://pet-uploads.adoptapet.com/d/9/5/1220246841.jpg</t>
  </si>
  <si>
    <t>https://pet-uploads.adoptapet.com/b/e/b/1220246850.jpg</t>
  </si>
  <si>
    <t>https://pet-uploads.adoptapet.com/f/3/7/1220246856.jpg</t>
  </si>
  <si>
    <t>A0057918971</t>
  </si>
  <si>
    <t>Nola</t>
  </si>
  <si>
    <t>https://pet-uploads.adoptapet.com/5/1/a/1220251684.jpg</t>
  </si>
  <si>
    <t>https://pet-uploads.adoptapet.com/0/5/b/1220251698.jpg</t>
  </si>
  <si>
    <t>https://pet-uploads.adoptapet.com/c/6/3/1220251704.jpg</t>
  </si>
  <si>
    <t>A0057987879</t>
  </si>
  <si>
    <t>Seth [Foster Home]</t>
  </si>
  <si>
    <t>https://pet-uploads.adoptapet.com/7/9/4/1220247077.jpg</t>
  </si>
  <si>
    <t>https://pet-uploads.adoptapet.com/9/c/6/1220247086.jpg</t>
  </si>
  <si>
    <t>https://pet-uploads.adoptapet.com/e/0/c/1220247092.jpg</t>
  </si>
  <si>
    <t>https://pet-uploads.adoptapet.com/e/4/9/1220247098.jpg</t>
  </si>
  <si>
    <t>A0048879176</t>
  </si>
  <si>
    <t>Twin</t>
  </si>
  <si>
    <t>https://pet-uploads.adoptapet.com/5/8/1/1220244338.jpg</t>
  </si>
  <si>
    <t>https://pet-uploads.adoptapet.com/9/8/5/1220244347.jpg</t>
  </si>
  <si>
    <t>https://pet-uploads.adoptapet.com/5/6/c/1220244353.jpg</t>
  </si>
  <si>
    <t>A0057939124</t>
  </si>
  <si>
    <t>Cook</t>
  </si>
  <si>
    <t>https://pet-uploads.adoptapet.com/0/b/b/1223889751.jpg</t>
  </si>
  <si>
    <t>https://pet-uploads.adoptapet.com/1/c/6/1223889760.jpg</t>
  </si>
  <si>
    <t>https://pet-uploads.adoptapet.com/4/c/7/1223889766.jpg</t>
  </si>
  <si>
    <t>A0058069805</t>
  </si>
  <si>
    <t>Dawn</t>
  </si>
  <si>
    <t>https://pet-uploads.adoptapet.com/9/5/b/1223887801.jpg</t>
  </si>
  <si>
    <t>https://pet-uploads.adoptapet.com/8/e/e/1223887818.jpg</t>
  </si>
  <si>
    <t>https://pet-uploads.adoptapet.com/6/7/e/1223887837.jpg</t>
  </si>
  <si>
    <t>https://pet-uploads.adoptapet.com/9/6/d/1223887843.jpg</t>
  </si>
  <si>
    <t>A0058304170</t>
  </si>
  <si>
    <t>Drew [Foster To Adopt]</t>
  </si>
  <si>
    <t>Drew is a 2‚Äì3 year old lab mix who‚Äôs as close to perfect as they come. He‚Äôs low to mid energy, loves people, and gets along great with dogs of all sizes‚Äîhe even adjusts his play style to match his playmates.    He‚Äôs house trained, crate trained, and walks well on a leash. Drew enjoys short play sessions but is happiest snoozing on the couch or relaxing nearby. He‚Äôs also got a little mischievous streak that‚Äôs more charming than troublesome‚Äîhe‚Äôll definitely keep you smiling.    Drew came to Colleton County Animal Shelter as a stray and is currently recovering from heartworm treatment. He‚Äôs ready for a calm, loving home where he can continue to heal and thrive.        If you're looking for an easygoing, affectionate companion, Drew might be the one.</t>
  </si>
  <si>
    <t>https://pet-uploads.adoptapet.com/d/0/3/1234072368.jpg</t>
  </si>
  <si>
    <t>https://pet-uploads.adoptapet.com/9/6/5/1234072377.jpg</t>
  </si>
  <si>
    <t>https://pet-uploads.adoptapet.com/5/3/2/1234072383.jpg</t>
  </si>
  <si>
    <t>https://pet-uploads.adoptapet.com/b/0/c/1234072389.jpg</t>
  </si>
  <si>
    <t>A0058329696</t>
  </si>
  <si>
    <t>Ed</t>
  </si>
  <si>
    <t>https://pet-uploads.adoptapet.com/9/8/c/1223888833.jpg</t>
  </si>
  <si>
    <t>https://pet-uploads.adoptapet.com/3/8/6/1223888842.jpg</t>
  </si>
  <si>
    <t>https://pet-uploads.adoptapet.com/6/4/e/1223888848.jpg</t>
  </si>
  <si>
    <t>A0057939082</t>
  </si>
  <si>
    <t>Gregory</t>
  </si>
  <si>
    <t>https://pet-uploads.adoptapet.com/f/0/f/1223893397.jpg</t>
  </si>
  <si>
    <t>https://pet-uploads.adoptapet.com/4/1/8/1223893409.jpg</t>
  </si>
  <si>
    <t>https://pet-uploads.adoptapet.com/a/5/3/1223893427.jpg</t>
  </si>
  <si>
    <t>Meet Kimmie ‚Äì Our Longest-Running Ray of Sunshine üíõ  Kimmie has been waiting patiently‚Äîone of our longest shelter residents‚Äîbut her spirit is just as bright and joyful as ever. This adventure-loving girl is ready to find the forever home she truly deserves.    Kimmie is a dog‚Äôs best friend‚Äîshe thrives in playgroups and loves going on group walks with her canine pals. She‚Äôs happiest when she‚Äôs splashing in the water, chasing toys, or exploring new places with her people. If you're into hiking, trail walking, or just spontaneous fun, Kimmie is the adventure buddy you've been looking for!    While she adores dogs and humans alike, Kimmie would prefer a home without cats‚Äîbut with her big heart and boundless enthusiasm, she‚Äôll more than fill your world with love and joy.    She‚Äôs waited long enough‚Äîcould you be the one to finally bring Kimmie home?</t>
  </si>
  <si>
    <t>https://pet-uploads.adoptapet.com/6/6/9/1223892950.jpg</t>
  </si>
  <si>
    <t>https://pet-uploads.adoptapet.com/a/f/5/1223892971.jpg</t>
  </si>
  <si>
    <t>https://pet-uploads.adoptapet.com/d/7/4/1223892978.jpg</t>
  </si>
  <si>
    <t>A0058323250</t>
  </si>
  <si>
    <t>https://pet-uploads.adoptapet.com/7/9/2/1223893733.jpg</t>
  </si>
  <si>
    <t>https://pet-uploads.adoptapet.com/4/b/3/1223893742.jpg</t>
  </si>
  <si>
    <t>https://pet-uploads.adoptapet.com/e/c/4/1223893748.jpg</t>
  </si>
  <si>
    <t>A0058282883</t>
  </si>
  <si>
    <t>https://pet-uploads.adoptapet.com/6/5/c/1223888306.jpg</t>
  </si>
  <si>
    <t>https://pet-uploads.adoptapet.com/0/b/a/1223888315.jpg</t>
  </si>
  <si>
    <t>https://pet-uploads.adoptapet.com/8/8/f/1223888321.jpg</t>
  </si>
  <si>
    <t>https://pet-uploads.adoptapet.com/f/2/1/1223888327.jpg</t>
  </si>
  <si>
    <t>A0058069751</t>
  </si>
  <si>
    <t>Megumi [Foster Home]</t>
  </si>
  <si>
    <t>Megumi has been just a gem in her foster home, she is such a lil cuddle bug. She will curl up into the littlest ball to snuggle into your chest or crook of your knees. If you sit down she wants to just lay on your lap. She'll wake you up to morning kisses. She's a bit of a velcro dog, always following her foster mom around everywhere.     She does well in her kennel, the first few minutes she'll cry but calms down on her own after a bit. It continuously gets better by day! She does better in the kennel with a kong and peanut butter. She absolutely loves toys and treats, but has shown no signs of resource guarding. She likes to steal socks and remotes, but never destroys them. She carries them like it's her babies.     Megumi is a very fast learner and loves to please her people. She's working on her potty training and has learned that she needs to go to the back door if she has to potty.     She does great with the foster families two older dogs, but she does love to play and would love a playful companion. She has a ton of energy, has done an actual backflip off my outdoor furniture. She does well on walks but when she gets nervous she'll start to zig zag, which isn't too bad especially for new, populated areas.     She'd do well in an active family, especially one with kids.  If she goes to a house with cats she'd have a better chance with cats that are experienced with dogs and not too old either so they can play with her as well. She'd really make a great family dog, beach dog and mild adventure dog (too clumsy for hikes).</t>
  </si>
  <si>
    <t>https://pet-uploads.adoptapet.com/c/d/1/1223892602.jpg</t>
  </si>
  <si>
    <t>https://pet-uploads.adoptapet.com/3/1/1/1234071855.jpg</t>
  </si>
  <si>
    <t>https://pet-uploads.adoptapet.com/9/7/d/1234071861.jpg</t>
  </si>
  <si>
    <t>https://pet-uploads.adoptapet.com/1/8/c/1234072448.jpg</t>
  </si>
  <si>
    <t>A0058317108</t>
  </si>
  <si>
    <t>Pepper</t>
  </si>
  <si>
    <t>https://pet-uploads.adoptapet.com/b/6/1/1223888714.jpg</t>
  </si>
  <si>
    <t>https://pet-uploads.adoptapet.com/0/0/5/1223888736.jpg</t>
  </si>
  <si>
    <t>https://pet-uploads.adoptapet.com/1/c/4/1223888743.jpg</t>
  </si>
  <si>
    <t>https://pet-uploads.adoptapet.com/d/7/f/1223888749.jpg</t>
  </si>
  <si>
    <t>A0058316952</t>
  </si>
  <si>
    <t>Ray Ray</t>
  </si>
  <si>
    <t>https://pet-uploads.adoptapet.com/f/7/6/1223892742.jpg</t>
  </si>
  <si>
    <t>https://pet-uploads.adoptapet.com/d/d/9/1223892752.jpg</t>
  </si>
  <si>
    <t>https://pet-uploads.adoptapet.com/b/1/7/1223892758.jpg</t>
  </si>
  <si>
    <t>https://pet-uploads.adoptapet.com/f/3/a/1223892772.jpg</t>
  </si>
  <si>
    <t>A0058069702</t>
  </si>
  <si>
    <t>Soma</t>
  </si>
  <si>
    <t>https://pet-uploads.adoptapet.com/1/6/e/1223884229.jpg</t>
  </si>
  <si>
    <t>https://pet-uploads.adoptapet.com/3/f/2/1223884238.jpg</t>
  </si>
  <si>
    <t>https://pet-uploads.adoptapet.com/a/f/6/1223884244.jpg</t>
  </si>
  <si>
    <t>A0057792405</t>
  </si>
  <si>
    <t>T'Challa</t>
  </si>
  <si>
    <t>https://pet-uploads.adoptapet.com/9/6/8/1223883432.jpg</t>
  </si>
  <si>
    <t>https://pet-uploads.adoptapet.com/3/e/4/1223883441.jpg</t>
  </si>
  <si>
    <t>https://pet-uploads.adoptapet.com/e/0/d/1223883447.jpg</t>
  </si>
  <si>
    <t>A0058359369</t>
  </si>
  <si>
    <t>Tofu</t>
  </si>
  <si>
    <t>https://pet-uploads.adoptapet.com/e/3/4/1223893903.jpg</t>
  </si>
  <si>
    <t>https://pet-uploads.adoptapet.com/a/5/2/1223893912.jpg</t>
  </si>
  <si>
    <t>https://pet-uploads.adoptapet.com/a/9/2/1223893918.jpg</t>
  </si>
  <si>
    <t>A0057676147</t>
  </si>
  <si>
    <t>Wally</t>
  </si>
  <si>
    <t>https://pet-uploads.adoptapet.com/6/a/a/1223889922.jpg</t>
  </si>
  <si>
    <t>https://pet-uploads.adoptapet.com/f/8/d/1223889937.jpg</t>
  </si>
  <si>
    <t>Brooklyn</t>
  </si>
  <si>
    <t>https://pet-uploads.adoptapet.com/5/7/1/1225003912.jpg</t>
  </si>
  <si>
    <t>Cider</t>
  </si>
  <si>
    <t>https://pet-uploads.adoptapet.com/f/8/1/1225003663.jpg</t>
  </si>
  <si>
    <t>Flo</t>
  </si>
  <si>
    <t>https://pet-uploads.adoptapet.com/1/f/3/1225004359.jpg</t>
  </si>
  <si>
    <t>Fritz</t>
  </si>
  <si>
    <t>https://pet-uploads.adoptapet.com/b/4/2/1225003352.jpg</t>
  </si>
  <si>
    <t>Jed</t>
  </si>
  <si>
    <t>https://pet-uploads.adoptapet.com/2/9/3/1225004172.jpg</t>
  </si>
  <si>
    <t>Manhattan</t>
  </si>
  <si>
    <t>https://pet-uploads.adoptapet.com/4/4/e/1225003073.jpg</t>
  </si>
  <si>
    <t>Monk</t>
  </si>
  <si>
    <t>https://pet-uploads.adoptapet.com/d/d/c/1225003801.jpg</t>
  </si>
  <si>
    <t>Queen</t>
  </si>
  <si>
    <t>https://pet-uploads.adoptapet.com/5/3/d/1225004530.jpg</t>
  </si>
  <si>
    <t>York</t>
  </si>
  <si>
    <t>https://pet-uploads.adoptapet.com/2/6/5/1225004438.jpg</t>
  </si>
  <si>
    <t>A0058468245</t>
  </si>
  <si>
    <t>BusBus</t>
  </si>
  <si>
    <t>https://pet-uploads.adoptapet.com/c/5/5/1234143943.jpg</t>
  </si>
  <si>
    <t>https://pet-uploads.adoptapet.com/b/d/f/1234143952.jpg</t>
  </si>
  <si>
    <t>https://pet-uploads.adoptapet.com/4/8/7/1234143958.jpg</t>
  </si>
  <si>
    <t>A0058426795</t>
  </si>
  <si>
    <t>Deogie [Foster Home]</t>
  </si>
  <si>
    <t>https://pet-uploads.adoptapet.com/4/e/6/1234081963.jpg</t>
  </si>
  <si>
    <t>https://pet-uploads.adoptapet.com/9/f/3/1234081972.jpg</t>
  </si>
  <si>
    <t>https://pet-uploads.adoptapet.com/6/b/8/1234081978.jpg</t>
  </si>
  <si>
    <t>https://pet-uploads.adoptapet.com/d/c/6/1234081990.jpg</t>
  </si>
  <si>
    <t>A0058569773</t>
  </si>
  <si>
    <t>Dina</t>
  </si>
  <si>
    <t>https://pet-uploads.adoptapet.com/9/a/3/1234188658.jpg</t>
  </si>
  <si>
    <t>https://pet-uploads.adoptapet.com/5/7/f/1234188672.jpg</t>
  </si>
  <si>
    <t>https://pet-uploads.adoptapet.com/6/c/a/1234188678.jpg</t>
  </si>
  <si>
    <t>https://pet-uploads.adoptapet.com/1/8/b/1234188684.jpg</t>
  </si>
  <si>
    <t>A0058528092</t>
  </si>
  <si>
    <t>Dublin [Foster To Adopt]</t>
  </si>
  <si>
    <t>https://pet-uploads.adoptapet.com/7/d/6/1234088841.jpg</t>
  </si>
  <si>
    <t>https://pet-uploads.adoptapet.com/a/4/f/1234088850.jpg</t>
  </si>
  <si>
    <t>https://pet-uploads.adoptapet.com/2/f/5/1234088856.jpg</t>
  </si>
  <si>
    <t>A0058469814</t>
  </si>
  <si>
    <t>Gumbo</t>
  </si>
  <si>
    <t>https://pet-uploads.adoptapet.com/6/9/6/1234086547.jpg</t>
  </si>
  <si>
    <t>https://pet-uploads.adoptapet.com/6/1/3/1234086556.jpg</t>
  </si>
  <si>
    <t>https://pet-uploads.adoptapet.com/7/1/f/1234086562.jpg</t>
  </si>
  <si>
    <t>A0058532406</t>
  </si>
  <si>
    <t>Happy</t>
  </si>
  <si>
    <t>https://pet-uploads.adoptapet.com/c/a/3/1234088623.jpg</t>
  </si>
  <si>
    <t>https://pet-uploads.adoptapet.com/a/5/b/1234088632.jpg</t>
  </si>
  <si>
    <t>https://pet-uploads.adoptapet.com/b/d/d/1234088638.jpg</t>
  </si>
  <si>
    <t>A0058415473</t>
  </si>
  <si>
    <t>Hera</t>
  </si>
  <si>
    <t>https://pet-uploads.adoptapet.com/1/9/a/1234078919.jpg</t>
  </si>
  <si>
    <t>https://pet-uploads.adoptapet.com/1/e/c/1234078947.jpg</t>
  </si>
  <si>
    <t>https://pet-uploads.adoptapet.com/e/6/3/1234078965.jpg</t>
  </si>
  <si>
    <t>https://pet-uploads.adoptapet.com/5/2/6/1234078986.jpg</t>
  </si>
  <si>
    <t>A0058366449</t>
  </si>
  <si>
    <t>Hoss [Pending Rescue]</t>
  </si>
  <si>
    <t>https://pet-uploads.adoptapet.com/e/8/a/1234126836.jpg</t>
  </si>
  <si>
    <t>https://pet-uploads.adoptapet.com/b/b/1/1234126845.jpg</t>
  </si>
  <si>
    <t>https://pet-uploads.adoptapet.com/2/7/f/1234126851.jpg</t>
  </si>
  <si>
    <t>https://pet-uploads.adoptapet.com/8/8/2/1234126857.jpg</t>
  </si>
  <si>
    <t>A0058532769</t>
  </si>
  <si>
    <t>Jazzy [Foster Home]</t>
  </si>
  <si>
    <t>Hi I'm Jazzy. I'm an energetic 4 month old, 11 lb pup who loves to play and do zoomies. I like to follow my foster brother around but he's kind of an old grump who doesn't like to play.  I really enjoy chewing sticks and toys. I'm learning how to walk on a leash and working on potty training. I can sleep all night in my crate by myself! My foster family is great but i can't wait to find my forever home!</t>
  </si>
  <si>
    <t>https://pet-uploads.adoptapet.com/a/c/2/1234066722.jpg</t>
  </si>
  <si>
    <t>https://pet-uploads.adoptapet.com/a/1/0/1234066731.jpg</t>
  </si>
  <si>
    <t>https://pet-uploads.adoptapet.com/e/6/1/1234066737.jpg</t>
  </si>
  <si>
    <t>https://pet-uploads.adoptapet.com/4/1/e/1234066743.jpg</t>
  </si>
  <si>
    <t>A0058552583</t>
  </si>
  <si>
    <t>Junebug</t>
  </si>
  <si>
    <t>https://pet-uploads.adoptapet.com/2/c/6/1234167383.jpg</t>
  </si>
  <si>
    <t>https://pet-uploads.adoptapet.com/5/c/9/1234167392.jpg</t>
  </si>
  <si>
    <t>https://pet-uploads.adoptapet.com/1/7/d/1234167398.jpg</t>
  </si>
  <si>
    <t>https://pet-uploads.adoptapet.com/a/a/a/1234167404.jpg</t>
  </si>
  <si>
    <t>A0058097793</t>
  </si>
  <si>
    <t>Juniper [Foster to Adopt]</t>
  </si>
  <si>
    <t>https://pet-uploads.adoptapet.com/3/4/d/1234094439.jpg</t>
  </si>
  <si>
    <t>https://pet-uploads.adoptapet.com/a/2/d/1234094456.jpg</t>
  </si>
  <si>
    <t>https://pet-uploads.adoptapet.com/8/9/2/1234094468.jpg</t>
  </si>
  <si>
    <t>A0058396678</t>
  </si>
  <si>
    <t>Kimchi</t>
  </si>
  <si>
    <t>Hi! Hi! Hi! I'm Kimchi! Wanna be my friend? I'm SUPER excited to meet you! So excited that my foster Mommy is still teaching me my manners. I haven't really had a chance to learn those. Mommy doesn't know much about my past, and I can't tell her. Since going to my foster home, I've been practicing lots of new things! I LOVE food. And toys. I'll do ANYTHING for snackos. So far I'm learning good manner things like Sit, Down, Wait, and Come. Once I know those a bit better I'm going to learn Stay. I also like my fun trick where I spin in a circle! I'm FAST. Like, SO fast. I think I could do Puppy Parkour! Mommy calls it Agility. So far I've made a new doggy friend here. I'm a bit too excited for Mommy to let me play with the kittens or go near the chickens yet. I get SO excited to play. I'm still a baby, so I forget I'm not supposed to jump or use my mouth when I play, but I know I can learn. I've learned not to go potty in my crate already! I definitely need a family that can help me burn off all this ENERGY. Mommy says I need big kids to play with, not little ones, because I zoom so fast I could knock them over or mistake their toys for my toys. Did I mention I love my toys? The toy bin here is AMAZING. I like to pull them ALL out and pick the bestest ones. Mommy says I need to learn to put them away if I'm going to take them ALL out. Are you going to come meet me! I think we could be best friends!</t>
  </si>
  <si>
    <t>https://pet-uploads.adoptapet.com/e/f/0/1234078339.jpg</t>
  </si>
  <si>
    <t>https://pet-uploads.adoptapet.com/1/1/8/1234078356.jpg</t>
  </si>
  <si>
    <t>https://pet-uploads.adoptapet.com/8/4/1/1234078368.jpg</t>
  </si>
  <si>
    <t>https://pet-uploads.adoptapet.com/6/d/c/1234078375.jpg</t>
  </si>
  <si>
    <t>A0058359394</t>
  </si>
  <si>
    <t>Kingston</t>
  </si>
  <si>
    <t>https://pet-uploads.adoptapet.com/b/e/b/1234126677.jpg</t>
  </si>
  <si>
    <t>https://pet-uploads.adoptapet.com/1/7/7/1234126686.jpg</t>
  </si>
  <si>
    <t>https://pet-uploads.adoptapet.com/9/c/8/1234126692.jpg</t>
  </si>
  <si>
    <t>https://pet-uploads.adoptapet.com/6/d/f/1234126698.jpg</t>
  </si>
  <si>
    <t>Koko is a bundle of joy with a heart full of play! This beautiful blue Pit Bull mix is smart, sweet, and endlessly entertaining. She adores her toys‚Äîespecially her beloved binky‚Äîand could play fetch for hours with a grin on her face. Koko‚Äôs goofy hops and frog-like pounces will have you laughing in no time, and her friendly personality makes her a hit with everyone she meets. Beneath her playful energy is a loyal, loving girl who‚Äôs happiest when she‚Äôs with her people (and her toys!). If you‚Äôre looking for a fun, affectionate companion who brings sunshine and smiles wherever she goes, Koko is your girl.</t>
  </si>
  <si>
    <t>https://pet-uploads.adoptapet.com/e/c/8/1234115871.jpg</t>
  </si>
  <si>
    <t>https://pet-uploads.adoptapet.com/c/c/1/1234115903.jpg</t>
  </si>
  <si>
    <t>https://pet-uploads.adoptapet.com/a/5/e/1234115921.jpg</t>
  </si>
  <si>
    <t>https://pet-uploads.adoptapet.com/2/3/c/1234115929.jpg</t>
  </si>
  <si>
    <t>A0058282139</t>
  </si>
  <si>
    <t>Mario [Foster To Adopt]</t>
  </si>
  <si>
    <t>https://pet-uploads.adoptapet.com/0/2/b/1234116704.jpg</t>
  </si>
  <si>
    <t>https://pet-uploads.adoptapet.com/9/1/9/1234116713.jpg</t>
  </si>
  <si>
    <t>https://pet-uploads.adoptapet.com/2/e/0/1234116719.jpg</t>
  </si>
  <si>
    <t>A0058552885</t>
  </si>
  <si>
    <t>Miss Black [Foster Home]</t>
  </si>
  <si>
    <t>https://pet-uploads.adoptapet.com/d/b/b/1234188073.jpg</t>
  </si>
  <si>
    <t>https://pet-uploads.adoptapet.com/d/b/e/1234188092.jpg</t>
  </si>
  <si>
    <t>https://pet-uploads.adoptapet.com/0/e/2/1234188107.jpg</t>
  </si>
  <si>
    <t>A0058552863</t>
  </si>
  <si>
    <t>Miss Cream [Foster Home]</t>
  </si>
  <si>
    <t>https://pet-uploads.adoptapet.com/5/b/d/1234188501.jpg</t>
  </si>
  <si>
    <t>https://pet-uploads.adoptapet.com/f/2/9/1234188516.jpg</t>
  </si>
  <si>
    <t>https://pet-uploads.adoptapet.com/4/9/d/1234188528.jpg</t>
  </si>
  <si>
    <t>A0058282875</t>
  </si>
  <si>
    <t>Nova is our sweet little girl who came in with her two sisters. Her sisters were adopted &amp; now Nova is patiently waiting her turn while learning how to be the best behaved puppy in foster care. Nova is learning potty training &amp; it is going really well! She‚Äôs a very sweet girl, she is a rambunctious puppy, and has a lot of energy, she is trying to learn some manners. She is crate trained, too!     She gets along well with other dogs, she does get pretty excited when playing so she will bark during play time. Typical puppy things -- they love to be vocal! She will hang out with you and chill out after she plays and takes a nap. She sleeps in her kennel at night and has been doing well with that also.</t>
  </si>
  <si>
    <t>https://pet-uploads.adoptapet.com/9/a/0/1234157801.jpg</t>
  </si>
  <si>
    <t>https://pet-uploads.adoptapet.com/9/5/c/1234157810.jpg</t>
  </si>
  <si>
    <t>https://pet-uploads.adoptapet.com/4/7/b/1234157816.jpg</t>
  </si>
  <si>
    <t>A0058437308</t>
  </si>
  <si>
    <t>Perdita</t>
  </si>
  <si>
    <t>https://pet-uploads.adoptapet.com/5/6/7/1234087035.jpg</t>
  </si>
  <si>
    <t>https://pet-uploads.adoptapet.com/7/f/0/1234087044.jpg</t>
  </si>
  <si>
    <t>https://pet-uploads.adoptapet.com/d/7/8/1234087050.jpg</t>
  </si>
  <si>
    <t>https://pet-uploads.adoptapet.com/8/a/b/1234087056.jpg</t>
  </si>
  <si>
    <t>A0058490499</t>
  </si>
  <si>
    <t>Pesto [Pending Adoption]</t>
  </si>
  <si>
    <t>https://pet-uploads.adoptapet.com/0/6/0/1234157214.jpg</t>
  </si>
  <si>
    <t>https://pet-uploads.adoptapet.com/6/4/7/1234157235.jpg</t>
  </si>
  <si>
    <t>https://pet-uploads.adoptapet.com/8/7/2/1234157244.jpg</t>
  </si>
  <si>
    <t>https://pet-uploads.adoptapet.com/5/2/b/1234157250.jpg</t>
  </si>
  <si>
    <t>https://pet-uploads.adoptapet.com/5/7/5/1234093611.jpg</t>
  </si>
  <si>
    <t>https://pet-uploads.adoptapet.com/3/d/1/1234093620.jpg</t>
  </si>
  <si>
    <t>https://pet-uploads.adoptapet.com/5/e/5/1234093626.jpg</t>
  </si>
  <si>
    <t>https://pet-uploads.adoptapet.com/3/3/4/1234093634.jpg</t>
  </si>
  <si>
    <t>A0058233568</t>
  </si>
  <si>
    <t>Sassy [Foster Home]</t>
  </si>
  <si>
    <t>https://pet-uploads.adoptapet.com/8/e/4/1234073676.jpg</t>
  </si>
  <si>
    <t>https://pet-uploads.adoptapet.com/e/a/b/1234073685.jpg</t>
  </si>
  <si>
    <t>https://pet-uploads.adoptapet.com/e/9/9/1234073691.jpg</t>
  </si>
  <si>
    <t>https://pet-uploads.adoptapet.com/2/7/f/1234073697.jpg</t>
  </si>
  <si>
    <t>A0058248522</t>
  </si>
  <si>
    <t>Smokey [Pre Adopted]</t>
  </si>
  <si>
    <t>https://pet-uploads.adoptapet.com/a/9/d/1234074581.jpg</t>
  </si>
  <si>
    <t>https://pet-uploads.adoptapet.com/1/3/a/1234074590.jpg</t>
  </si>
  <si>
    <t>https://pet-uploads.adoptapet.com/e/1/1/1234074596.jpg</t>
  </si>
  <si>
    <t>https://pet-uploads.adoptapet.com/e/b/5/1234074602.jpg</t>
  </si>
  <si>
    <t>A0058580090</t>
  </si>
  <si>
    <t>Stringbean [Foster Home]</t>
  </si>
  <si>
    <t>https://pet-uploads.adoptapet.com/7/a/2/1234189025.jpg</t>
  </si>
  <si>
    <t>https://pet-uploads.adoptapet.com/b/d/1/1234189034.jpg</t>
  </si>
  <si>
    <t>https://pet-uploads.adoptapet.com/3/e/b/1234189040.jpg</t>
  </si>
  <si>
    <t>A0058366827</t>
  </si>
  <si>
    <t>Sweet Pea [Foster Home]</t>
  </si>
  <si>
    <t>Sweet pea got her name because she really is just so sweet, playful, loving and great with kids &amp; other dogs! She is crate trained, leash trained and loves her some food. She loves rolling on the ground and getting pets! She loves car rides. She is just the biggest cuddle bug you could ask for and loves anyone &amp; everyone she has met. She's a thick but short statured sweet gal looking for her forever home!</t>
  </si>
  <si>
    <t>https://pet-uploads.adoptapet.com/d/7/b/1234127354.jpg</t>
  </si>
  <si>
    <t>https://pet-uploads.adoptapet.com/7/9/f/1234144511.jpg</t>
  </si>
  <si>
    <t>https://pet-uploads.adoptapet.com/2/5/8/1234144517.jpg</t>
  </si>
  <si>
    <t>A0058265699</t>
  </si>
  <si>
    <t>Tamale</t>
  </si>
  <si>
    <t>https://pet-uploads.adoptapet.com/f/a/2/1234076005.jpg</t>
  </si>
  <si>
    <t>https://pet-uploads.adoptapet.com/7/6/c/1234076014.jpg</t>
  </si>
  <si>
    <t>https://pet-uploads.adoptapet.com/2/7/9/1234076020.jpg</t>
  </si>
  <si>
    <t>https://pet-uploads.adoptapet.com/b/b/b/1234076026.jpg</t>
  </si>
  <si>
    <t>Meet Taz! üêæ  This sweet boy is the total package! Taz is a friendly, fun-loving pup who‚Äôs great with dogs, cats, and kids‚Äîmaking him a perfect fit for just about any home.    Taz previously lived in a home, so he already knows the ropes of family life. He walks like a pro on leash, making strolls around the neighborhood a breeze. He‚Äôs also a social butterfly in play groups, getting along wonderfully with other dogs.    One of Taz‚Äôs favorite things? Splashing around in a kiddie pool on a sunny day! Whether he‚Äôs playing, lounging, or just soaking his paws, water time is his happy time.    If you're looking for a well-rounded, playful, and affectionate companion, Taz is your guy. Come meet him‚Äîyou‚Äôre bound to fall in love! üíô</t>
  </si>
  <si>
    <t>https://pet-uploads.adoptapet.com/4/a/4/1234088968.jpg</t>
  </si>
  <si>
    <t>https://pet-uploads.adoptapet.com/9/1/7/1234088977.jpg</t>
  </si>
  <si>
    <t>https://pet-uploads.adoptapet.com/6/3/d/1234088983.jpg</t>
  </si>
  <si>
    <t>https://pet-uploads.adoptapet.com/0/b/f/1234088989.jpg</t>
  </si>
  <si>
    <t>A0058396670</t>
  </si>
  <si>
    <t>Wonton [Foster Home]</t>
  </si>
  <si>
    <t>https://pet-uploads.adoptapet.com/9/9/0/1234077942.jpg</t>
  </si>
  <si>
    <t>https://pet-uploads.adoptapet.com/d/d/c/1234077968.jpg</t>
  </si>
  <si>
    <t>https://pet-uploads.adoptapet.com/d/c/2/1234077978.jpg</t>
  </si>
  <si>
    <t>A0058655926</t>
  </si>
  <si>
    <t>Abraham [Adoption Trial]</t>
  </si>
  <si>
    <t>Meet Abraham ‚Äì Your Gentle Senior Companion    Abraham is a calm, sweet senior pup looking for his forever home. He‚Äôs great with cats and other dogs, and does best with older kids who can respect his gentle nature.    He enjoys quiet walks, cozy naps, and being close to his people. Abraham may be older, but his heart is full of love and loyalty to share.    Abraham is currently in a foster home, so an appointment is needed to meet him. Come spend some time with this gentle soul‚Äîyou‚Äôre sure to fall in love.</t>
  </si>
  <si>
    <t>https://pet-uploads.adoptapet.com/4/6/5/1239686325.jpg</t>
  </si>
  <si>
    <t>https://pet-uploads.adoptapet.com/a/4/7/1239686334.jpg</t>
  </si>
  <si>
    <t>https://pet-uploads.adoptapet.com/e/9/f/1239686348.jpg</t>
  </si>
  <si>
    <t>A0058575441</t>
  </si>
  <si>
    <t>Alfredo [Foster Home]</t>
  </si>
  <si>
    <t>Alfredo is a sweet and incredible boy with excellent manners and would be a great family pet. He is already potty trained, walks well on leash, recalls well and is great with kids, excellent with dogs &amp; ignores the cats in his foster home. He loves going on outings and can pretty much adapt wherever he goes!</t>
  </si>
  <si>
    <t>https://pet-uploads.adoptapet.com/5/c/1/1239685260.jpg</t>
  </si>
  <si>
    <t>https://pet-uploads.adoptapet.com/9/a/b/1239685269.jpg</t>
  </si>
  <si>
    <t>https://pet-uploads.adoptapet.com/c/c/c/1239685275.jpg</t>
  </si>
  <si>
    <t>A0058342109</t>
  </si>
  <si>
    <t>Bento [Foster to Adopt]</t>
  </si>
  <si>
    <t>Bento is an amazing dog! He loves to play with other dogs, good with kids, non-reactive to cats. He enjoys going for walks without pulling on a leash and enjoys car rides. Bento is both crate trained and housebroken. He has excellent house manners. Bento is calm with a playful side. He has a very sweet personality and is definitely a cuddlebug! Bento enjoys being close to his humans and is happy just to be near you. He is ADORABLE with a gorgeous brindle non-shedding coat with white markings. Bento is so deserving of a forever family. He will make a wonderful family dog!</t>
  </si>
  <si>
    <t>https://pet-uploads.adoptapet.com/c/6/4/1239625065.jpg</t>
  </si>
  <si>
    <t>https://pet-uploads.adoptapet.com/e/b/a/1239625074.jpg</t>
  </si>
  <si>
    <t>https://pet-uploads.adoptapet.com/1/a/c/1239625087.jpg</t>
  </si>
  <si>
    <t>A0058266930</t>
  </si>
  <si>
    <t>Briar [Petsmart]</t>
  </si>
  <si>
    <t>https://pet-uploads.adoptapet.com/2/9/4/1239653857.jpg</t>
  </si>
  <si>
    <t>A0058596293</t>
  </si>
  <si>
    <t>Buckley</t>
  </si>
  <si>
    <t>https://pet-uploads.adoptapet.com/5/1/f/1239677353.jpg</t>
  </si>
  <si>
    <t>https://pet-uploads.adoptapet.com/6/1/9/1239677371.jpg</t>
  </si>
  <si>
    <t>https://pet-uploads.adoptapet.com/a/4/f/1239677380.jpg</t>
  </si>
  <si>
    <t>A0057829368</t>
  </si>
  <si>
    <t>Caesar</t>
  </si>
  <si>
    <t>Meet Caesar! üêæüéæ  Caesar is a playful, fun-loving pup who‚Äôs all about good times and great company! He loves other dogs and thrives during romp sessions in the play yard. When he‚Äôs not chasing toys, you might find him happily taking a refreshing swim‚Äîhe‚Äôs a true water enthusiast!    Caesar is also a big fan of walks and spending time with kids, making him a wonderful family companion. He‚Äôs affectionate, energetic, and always ready for his next adventure.    For the best fit, Caesar would prefer a home without cats, so he can focus on bonding with his human and furry friends.    If you‚Äôre looking for a loyal, playful pal who‚Äôs ready to bring joy and energy to your family, Caesar is your guy!</t>
  </si>
  <si>
    <t>https://pet-uploads.adoptapet.com/f/1/9/1239675523.jpg</t>
  </si>
  <si>
    <t>https://pet-uploads.adoptapet.com/e/8/7/1239675547.jpg</t>
  </si>
  <si>
    <t>https://pet-uploads.adoptapet.com/a/f/5/1239675553.jpg</t>
  </si>
  <si>
    <t>A0058719119</t>
  </si>
  <si>
    <t>Everett [Pre Adopted]</t>
  </si>
  <si>
    <t>https://pet-uploads.adoptapet.com/4/0/2/1239691937.jpg</t>
  </si>
  <si>
    <t>https://pet-uploads.adoptapet.com/e/b/5/1239691946.jpg</t>
  </si>
  <si>
    <t>https://pet-uploads.adoptapet.com/7/8/b/1239691952.jpg</t>
  </si>
  <si>
    <t>https://pet-uploads.adoptapet.com/4/6/8/1239691958.jpg</t>
  </si>
  <si>
    <t>https://pet-uploads.adoptapet.com/a/1/6/1239693553.jpg</t>
  </si>
  <si>
    <t>https://pet-uploads.adoptapet.com/1/c/5/1239693562.jpg</t>
  </si>
  <si>
    <t>https://pet-uploads.adoptapet.com/3/a/c/1239693568.jpg</t>
  </si>
  <si>
    <t>A0058268684</t>
  </si>
  <si>
    <t>Gilligan</t>
  </si>
  <si>
    <t>https://pet-uploads.adoptapet.com/6/e/d/1239653386.jpg</t>
  </si>
  <si>
    <t>A0058369219</t>
  </si>
  <si>
    <t>Gus</t>
  </si>
  <si>
    <t>https://pet-uploads.adoptapet.com/6/3/e/1239653068.jpg</t>
  </si>
  <si>
    <t>https://pet-uploads.adoptapet.com/b/b/7/1239653077.jpg</t>
  </si>
  <si>
    <t>A0058639296</t>
  </si>
  <si>
    <t>Harlow [Foster to Adopt]</t>
  </si>
  <si>
    <t>Harlow is a smart, loving sweetheart who deserves nothing more than to be spoiled for the rest of her life. She has the softest heart and absolutely adores being loved on. This happy girl is full of energy, loves her toys (you‚Äôll rarely see her without one in her mouth), and has even gotten her ‚Äúgrumpy old man‚Äù foster brother to play, something we didn‚Äôt think was possible! Harlow reads other dogs‚Äô cues beautifully and knows when it‚Äôs time to tone it down.     She‚Äôs still working on her potty training, but she‚Äôs incredibly smart, I know she will pick it up soon. She learned ‚Äúsit‚Äù in just one day and now offers it anytime she wants something.    She‚Äôs cat-friendly, though very curious about them. Her gentle nature means she‚Äôd never hurt them, but she does enjoy a good sniff, sometimes more than the cats would prefer.    If you‚Äôre looking for a loyal, affectionate, playful companion who will fill your life with joy and cuddles, Harlow is your girl.</t>
  </si>
  <si>
    <t>https://pet-uploads.adoptapet.com/d/5/4/1239678771.jpg</t>
  </si>
  <si>
    <t>https://pet-uploads.adoptapet.com/9/d/e/1239678780.jpg</t>
  </si>
  <si>
    <t>https://pet-uploads.adoptapet.com/4/1/4/1239678786.jpg</t>
  </si>
  <si>
    <t>Karma is truly everything you could ever want in a dog. She‚Äôs the sweetest, most loving, pure-hearted companion you‚Äôll ever meet. All Karma wants is to cuddle, snuggle, and be close to her people ‚Äî if she has a hand resting on her, she‚Äôs in her happy place.    This gentle girl is wonderfully well-mannered: she‚Äôs dog-friendly, cat-friendly, fully potty-trained, and doesn‚Äôt chew on things she shouldn‚Äôt. Karma has the softest, sweetest demeanor and loves nothing more than being your loyal shadow. Whether you‚Äôre relaxing on the couch, going for a walk, or just hanging out at home, Karma will be right by your side.</t>
  </si>
  <si>
    <t>https://pet-uploads.adoptapet.com/b/b/e/1239692765.jpg</t>
  </si>
  <si>
    <t>https://pet-uploads.adoptapet.com/d/d/9/1239692774.jpg</t>
  </si>
  <si>
    <t>https://pet-uploads.adoptapet.com/f/f/b/1239692780.jpg</t>
  </si>
  <si>
    <t>A0058795641</t>
  </si>
  <si>
    <t>Maverick</t>
  </si>
  <si>
    <t>https://pet-uploads.adoptapet.com/0/b/3/1239693759.jpg</t>
  </si>
  <si>
    <t>https://pet-uploads.adoptapet.com/a/0/6/1239693801.jpg</t>
  </si>
  <si>
    <t>https://pet-uploads.adoptapet.com/a/7/4/1239693831.jpg</t>
  </si>
  <si>
    <t>https://pet-uploads.adoptapet.com/5/b/e/1239693841.jpg</t>
  </si>
  <si>
    <t>Meet Radar! üêæ‚òÄÔ∏è  Radar came into the shelter with his brother Mario, but he‚Äôs a pretty independent guy who enjoys the company of others while often keeping to himself. He loves sunbathing, relaxing in the warmth, and quietly playing with his favorite toys.    Radar is looking for a calm, loving home where he can be someone‚Äôs loyal best friend. He would do best in a home without cats, where he can enjoy a peaceful, comfortable life.    If you‚Äôre searching for a gentle, low-key companion who marches to the beat of his own drum, Radar could be the perfect fit for you. üíô</t>
  </si>
  <si>
    <t>https://pet-uploads.adoptapet.com/4/5/8/1239676235.jpg</t>
  </si>
  <si>
    <t>https://pet-uploads.adoptapet.com/1/e/a/1239676244.jpg</t>
  </si>
  <si>
    <t>https://pet-uploads.adoptapet.com/6/6/f/1239676255.jpg</t>
  </si>
  <si>
    <t>A0058590698</t>
  </si>
  <si>
    <t>https://pet-uploads.adoptapet.com/2/1/8/1239677200.jpg</t>
  </si>
  <si>
    <t>https://pet-uploads.adoptapet.com/3/5/1/1239677209.jpg</t>
  </si>
  <si>
    <t>https://pet-uploads.adoptapet.com/3/2/6/1239677215.jpg</t>
  </si>
  <si>
    <t>https://pet-uploads.adoptapet.com/f/1/2/1239677221.jpg</t>
  </si>
  <si>
    <t>A0058590676</t>
  </si>
  <si>
    <t>Rihanna</t>
  </si>
  <si>
    <t>https://pet-uploads.adoptapet.com/d/4/f/1239676800.jpg</t>
  </si>
  <si>
    <t>https://pet-uploads.adoptapet.com/d/6/6/1239676809.jpg</t>
  </si>
  <si>
    <t>https://pet-uploads.adoptapet.com/4/7/4/1239676832.jpg</t>
  </si>
  <si>
    <t>https://pet-uploads.adoptapet.com/d/1/3/1239676848.jpg</t>
  </si>
  <si>
    <t>A0058679845</t>
  </si>
  <si>
    <t>https://pet-uploads.adoptapet.com/c/6/a/1239686808.jpg</t>
  </si>
  <si>
    <t>https://pet-uploads.adoptapet.com/7/e/f/1239686817.jpg</t>
  </si>
  <si>
    <t>https://pet-uploads.adoptapet.com/c/b/0/1239686823.jpg</t>
  </si>
  <si>
    <t>A0058679857</t>
  </si>
  <si>
    <t>Samuel [Foster Home]</t>
  </si>
  <si>
    <t>https://pet-uploads.adoptapet.com/b/8/e/1239687956.jpg</t>
  </si>
  <si>
    <t>https://pet-uploads.adoptapet.com/a/b/0/1239687970.jpg</t>
  </si>
  <si>
    <t>https://pet-uploads.adoptapet.com/5/0/8/1239687980.jpg</t>
  </si>
  <si>
    <t>A0058606618</t>
  </si>
  <si>
    <t>Serena [Foster Home]</t>
  </si>
  <si>
    <t>Serena earned her nickname Sweetie on her very first day in foster care, because she truly is just the sweetest girl. About 3 years old, Serena is great with kids and other dogs, and she has a playful, gentle, loving personality that just wants to be close to her people.    It‚Äôs likely she‚Äôs never lived in a home before, so she‚Äôs learning everything from scratch but she‚Äôs making progress every day. We‚Äôre working on basic commands, and she‚Äôs adjusting beautifully. She can be a little timid in new situations (as many sights and sounds are new to her), but with encouragement (and the help of her foster dog sister), she‚Äôs finding the confidence to explore the world around her.    Serena loves toys, belly rubs, and walks nicely on a leash. She‚Äôs affectionate, playful, and full of potential. She‚Äôd do well in a home with another dog or as the center of attention. Most of all, she needs someone patient and kind who‚Äôs willing to give her the time to learn and grow ... and plenty of love, which she‚Äôll give back tenfold.</t>
  </si>
  <si>
    <t>https://pet-uploads.adoptapet.com/d/9/7/1239677856.jpg</t>
  </si>
  <si>
    <t>https://pet-uploads.adoptapet.com/7/e/1/1239677865.jpg</t>
  </si>
  <si>
    <t>https://pet-uploads.adoptapet.com/3/2/5/1239677871.jpg</t>
  </si>
  <si>
    <t>https://pet-uploads.adoptapet.com/9/4/6/1247517337.jpg</t>
  </si>
  <si>
    <t>A0058730740</t>
  </si>
  <si>
    <t>Taylor [Foster to Adopt]</t>
  </si>
  <si>
    <t>https://pet-uploads.adoptapet.com/8/f/5/1239692470.jpg</t>
  </si>
  <si>
    <t>https://pet-uploads.adoptapet.com/3/7/c/1239692479.jpg</t>
  </si>
  <si>
    <t>https://pet-uploads.adoptapet.com/5/c/1/1239692485.jpg</t>
  </si>
  <si>
    <t>https://pet-uploads.adoptapet.com/3/a/c/1239692491.jpg</t>
  </si>
  <si>
    <t>A0058606593</t>
  </si>
  <si>
    <t>Venus</t>
  </si>
  <si>
    <t>https://pet-uploads.adoptapet.com/a/8/0/1239677726.jpg</t>
  </si>
  <si>
    <t>https://pet-uploads.adoptapet.com/6/f/8/1239677735.jpg</t>
  </si>
  <si>
    <t>https://pet-uploads.adoptapet.com/e/5/a/1239677741.jpg</t>
  </si>
  <si>
    <t>A0058679864</t>
  </si>
  <si>
    <t>Virgil [Foster Home]</t>
  </si>
  <si>
    <t>https://pet-uploads.adoptapet.com/8/e/d/1239690608.jpg</t>
  </si>
  <si>
    <t>https://pet-uploads.adoptapet.com/1/2/f/1239690617.jpg</t>
  </si>
  <si>
    <t>https://pet-uploads.adoptapet.com/a/0/8/1239690623.jpg</t>
  </si>
  <si>
    <t>A0058268367</t>
  </si>
  <si>
    <t>Zion</t>
  </si>
  <si>
    <t>https://pet-uploads.adoptapet.com/6/8/1/1239652227.jpg</t>
  </si>
  <si>
    <t>A0058656959</t>
  </si>
  <si>
    <t>Andy</t>
  </si>
  <si>
    <t>https://pet-uploads.adoptapet.com/2/5/8/1242412770.jpg</t>
  </si>
  <si>
    <t>https://pet-uploads.adoptapet.com/5/b/7/1242412780.jpg</t>
  </si>
  <si>
    <t>A0058095463</t>
  </si>
  <si>
    <t>https://pet-uploads.adoptapet.com/6/e/6/1242413587.jpg</t>
  </si>
  <si>
    <t>https://pet-uploads.adoptapet.com/4/0/c/1242413614.jpg</t>
  </si>
  <si>
    <t>A0058531401</t>
  </si>
  <si>
    <t>Balto</t>
  </si>
  <si>
    <t>https://pet-uploads.adoptapet.com/e/2/3/1242418531.jpg</t>
  </si>
  <si>
    <t>https://pet-uploads.adoptapet.com/6/6/d/1242418931.jpg</t>
  </si>
  <si>
    <t>A0058752210</t>
  </si>
  <si>
    <t>Becky [Foster to Adopt]</t>
  </si>
  <si>
    <t>https://pet-uploads.adoptapet.com/f/c/d/1242420742.jpg</t>
  </si>
  <si>
    <t>https://pet-uploads.adoptapet.com/9/b/d/1242420751.jpg</t>
  </si>
  <si>
    <t>A0058657671</t>
  </si>
  <si>
    <t>Butternut</t>
  </si>
  <si>
    <t>https://pet-uploads.adoptapet.com/d/1/e/1242421249.jpg</t>
  </si>
  <si>
    <t>A0058656993</t>
  </si>
  <si>
    <t>Cameron</t>
  </si>
  <si>
    <t>https://pet-uploads.adoptapet.com/9/a/5/1242421600.jpg</t>
  </si>
  <si>
    <t>A0058657784</t>
  </si>
  <si>
    <t>Cashew</t>
  </si>
  <si>
    <t>https://pet-uploads.adoptapet.com/0/b/c/1242422270.jpg</t>
  </si>
  <si>
    <t>A0058656987</t>
  </si>
  <si>
    <t>Charity</t>
  </si>
  <si>
    <t>https://pet-uploads.adoptapet.com/3/e/a/1242422878.jpg</t>
  </si>
  <si>
    <t>A0058752218</t>
  </si>
  <si>
    <t>Chief</t>
  </si>
  <si>
    <t>https://pet-uploads.adoptapet.com/0/7/4/1242432698.jpg</t>
  </si>
  <si>
    <t>https://pet-uploads.adoptapet.com/3/a/1/1242432707.jpg</t>
  </si>
  <si>
    <t>A0058657806</t>
  </si>
  <si>
    <t>Cole</t>
  </si>
  <si>
    <t>https://pet-uploads.adoptapet.com/5/2/1/1242432908.jpg</t>
  </si>
  <si>
    <t>A0058369247</t>
  </si>
  <si>
    <t>Darla</t>
  </si>
  <si>
    <t>https://pet-uploads.adoptapet.com/b/5/9/1242433133.jpg</t>
  </si>
  <si>
    <t>A0058891897</t>
  </si>
  <si>
    <t>Alicia [Pre Adopted]</t>
  </si>
  <si>
    <t>Alicia is a sweet pup who loves dogs &amp; cats. She is doing good with crate and potty training, and has even learned to go in her crate when it's time. Alicia is working on leash manners and is getting better everyday. Her favorite activity is making new friends in the dog park. She is good with dogs of all sizes and cats. She is playful yet also loves to cuddle and be right next to you. She has a medium energy level and after a long walk she is down to relax.</t>
  </si>
  <si>
    <t>https://pet-uploads.adoptapet.com/1/f/4/1243250421.jpg</t>
  </si>
  <si>
    <t>https://pet-uploads.adoptapet.com/9/2/b/1243250430.jpg</t>
  </si>
  <si>
    <t>https://pet-uploads.adoptapet.com/9/4/f/1243250442.jpg</t>
  </si>
  <si>
    <t>https://pet-uploads.adoptapet.com/3/5/0/1246692099.jpg</t>
  </si>
  <si>
    <t>Beth Anne</t>
  </si>
  <si>
    <t>https://pet-uploads.adoptapet.com/2/7/4/1243256411.jpg</t>
  </si>
  <si>
    <t>https://pet-uploads.adoptapet.com/a/0/b/1243256423.jpg</t>
  </si>
  <si>
    <t>https://pet-uploads.adoptapet.com/a/f/e/1243256440.jpg</t>
  </si>
  <si>
    <t>A0058954170</t>
  </si>
  <si>
    <t>Bruce</t>
  </si>
  <si>
    <t>https://pet-uploads.adoptapet.com/5/b/4/1243250071.jpg</t>
  </si>
  <si>
    <t>https://pet-uploads.adoptapet.com/b/3/8/1243250080.jpg</t>
  </si>
  <si>
    <t>https://pet-uploads.adoptapet.com/8/8/b/1243250086.jpg</t>
  </si>
  <si>
    <t>A0058902151</t>
  </si>
  <si>
    <t>Esme</t>
  </si>
  <si>
    <t>https://pet-uploads.adoptapet.com/b/9/1/1243252113.jpg</t>
  </si>
  <si>
    <t>https://pet-uploads.adoptapet.com/1/e/1/1243252151.jpg</t>
  </si>
  <si>
    <t>https://pet-uploads.adoptapet.com/a/c/4/1243252202.jpg</t>
  </si>
  <si>
    <t>https://pet-uploads.adoptapet.com/b/4/f/1243252219.jpg</t>
  </si>
  <si>
    <t>A0058657749</t>
  </si>
  <si>
    <t>Fanny</t>
  </si>
  <si>
    <t>https://pet-uploads.adoptapet.com/6/7/3/1243261098.jpg</t>
  </si>
  <si>
    <t>https://pet-uploads.adoptapet.com/5/3/8/1243261109.jpg</t>
  </si>
  <si>
    <t>A0058657692</t>
  </si>
  <si>
    <t>Farrah</t>
  </si>
  <si>
    <t>https://pet-uploads.adoptapet.com/7/1/a/1243261736.jpg</t>
  </si>
  <si>
    <t>https://pet-uploads.adoptapet.com/2/7/0/1243261760.jpg</t>
  </si>
  <si>
    <t>A0058657795</t>
  </si>
  <si>
    <t>Ginny</t>
  </si>
  <si>
    <t>https://pet-uploads.adoptapet.com/4/9/c/1243266651.jpg</t>
  </si>
  <si>
    <t>https://pet-uploads.adoptapet.com/2/0/f/1243266660.jpg</t>
  </si>
  <si>
    <t>A0058657807</t>
  </si>
  <si>
    <t>Hazelnut</t>
  </si>
  <si>
    <t>https://pet-uploads.adoptapet.com/b/9/6/1243266908.jpg</t>
  </si>
  <si>
    <t>https://pet-uploads.adoptapet.com/6/7/1/1243266917.jpg</t>
  </si>
  <si>
    <t>A0058657824</t>
  </si>
  <si>
    <t>Ian</t>
  </si>
  <si>
    <t>https://pet-uploads.adoptapet.com/2/d/8/1243267099.jpg</t>
  </si>
  <si>
    <t>https://pet-uploads.adoptapet.com/9/a/e/1243267174.jpg</t>
  </si>
  <si>
    <t>A0058531376</t>
  </si>
  <si>
    <t>Kenzie</t>
  </si>
  <si>
    <t>https://pet-uploads.adoptapet.com/c/a/0/1243267300.jpg</t>
  </si>
  <si>
    <t>https://pet-uploads.adoptapet.com/1/f/e/1243267309.jpg</t>
  </si>
  <si>
    <t>A0058673719</t>
  </si>
  <si>
    <t>https://pet-uploads.adoptapet.com/e/f/8/1243244078.jpg</t>
  </si>
  <si>
    <t>https://pet-uploads.adoptapet.com/d/9/7/1243244096.jpg</t>
  </si>
  <si>
    <t>https://pet-uploads.adoptapet.com/6/9/7/1243244111.jpg</t>
  </si>
  <si>
    <t>A0058687717</t>
  </si>
  <si>
    <t>Millie is an amazing little girl. Who loves kids and loves to play. Very gentle and calm when needed but can hold her own with the best of the rambunctious. A little shy when you first meet her but warms up quickly and you can count on a friend for life once she gets to know you. She is great with other dogs both large and small as well as Great with cats and children young and older children. Has even done very well with her current homes special needs child. Doesn't very much like being outside unless it's in the water, she absolutely loves the water... but loves to binge watch TV on the couch with you. She is doing amazingly with potty training as long as you take her out often. And is also doing very well on leash training.</t>
  </si>
  <si>
    <t>https://pet-uploads.adoptapet.com/b/9/c/1243248756.jpg</t>
  </si>
  <si>
    <t>https://pet-uploads.adoptapet.com/e/0/a/1243248771.jpg</t>
  </si>
  <si>
    <t>https://pet-uploads.adoptapet.com/8/3/9/1243248777.jpg</t>
  </si>
  <si>
    <t>https://pet-uploads.adoptapet.com/7/3/c/1243248783.jpg</t>
  </si>
  <si>
    <t>A0058622631</t>
  </si>
  <si>
    <t>https://pet-uploads.adoptapet.com/9/6/3/1243267486.jpg</t>
  </si>
  <si>
    <t>https://pet-uploads.adoptapet.com/1/e/7/1243267512.jpg</t>
  </si>
  <si>
    <t>A0058657874</t>
  </si>
  <si>
    <t>https://pet-uploads.adoptapet.com/7/2/6/1243267616.jpg</t>
  </si>
  <si>
    <t>A0058657892</t>
  </si>
  <si>
    <t>Pecan [Adoption Trial]</t>
  </si>
  <si>
    <t>https://pet-uploads.adoptapet.com/1/2/f/1243268213.jpg</t>
  </si>
  <si>
    <t>A0058902157</t>
  </si>
  <si>
    <t>Renee [Foster Home]</t>
  </si>
  <si>
    <t>https://pet-uploads.adoptapet.com/b/d/2/1243260102.jpg</t>
  </si>
  <si>
    <t>https://pet-uploads.adoptapet.com/9/9/a/1243260120.jpg</t>
  </si>
  <si>
    <t>https://pet-uploads.adoptapet.com/6/b/4/1243260128.jpg</t>
  </si>
  <si>
    <t>https://pet-uploads.adoptapet.com/a/8/2/1243260134.jpg</t>
  </si>
  <si>
    <t>A0058601350</t>
  </si>
  <si>
    <t>Skyler</t>
  </si>
  <si>
    <t>https://pet-uploads.adoptapet.com/2/4/f/1243243302.jpg</t>
  </si>
  <si>
    <t>https://pet-uploads.adoptapet.com/8/c/3/1243243311.jpg</t>
  </si>
  <si>
    <t>https://pet-uploads.adoptapet.com/9/3/c/1243243317.jpg</t>
  </si>
  <si>
    <t>A0058656989</t>
  </si>
  <si>
    <t>Tina</t>
  </si>
  <si>
    <t>https://pet-uploads.adoptapet.com/2/6/5/1243269591.jpg</t>
  </si>
  <si>
    <t>A0058621895</t>
  </si>
  <si>
    <t>Truffle [Foster Home]</t>
  </si>
  <si>
    <t>Truffle lives with her foster, another dog and two cats in an apartment and is really thriving since she left the shelter! She's fully crate trained, potty trained and walks well on leash. Even though she's a hound she is very quiet and will not bark or be noisy in your home whether you are home or not. Truffle is a distinguished lady that doesn't make a lot of fuzz, in general a chill lady. She always wants to be close to her person and will follow you everywhere (yes, even to the toilet at nights :-). She especially likes to gently lay down next to you in the sofa or bed and rest her long hound snout in your lap. Truffle goes to the dog park almost every day and does well with all other dogs. She is well socialized and have always behaved well in all sorts of public environments.   Please consider her for adoption - she will adore you!</t>
  </si>
  <si>
    <t>https://pet-uploads.adoptapet.com/4/2/b/1243243672.jpg</t>
  </si>
  <si>
    <t>https://pet-uploads.adoptapet.com/1/0/1/1243243681.jpg</t>
  </si>
  <si>
    <t>https://pet-uploads.adoptapet.com/0/8/4/1243243687.jpg</t>
  </si>
  <si>
    <t>A0058657832</t>
  </si>
  <si>
    <t>Chickpea</t>
  </si>
  <si>
    <t>https://pet-uploads.adoptapet.com/d/7/0/1243929264.jpg</t>
  </si>
  <si>
    <t>A0058421093</t>
  </si>
  <si>
    <t>Donna</t>
  </si>
  <si>
    <t>Ultimate lover girl. Literally the sweetest ever, wanted pets more than she wanted Churu. Makes biscuits endlessly, has a lovely purr, and cute little meows. Seriously just wants love - she'll make a wonderful companion for lots of different family types! Can't say enough good things about her</t>
  </si>
  <si>
    <t>https://pet-uploads.adoptapet.com/1/b/f/1243923360.jpg</t>
  </si>
  <si>
    <t>https://pet-uploads.adoptapet.com/2/e/d/1243923384.jpg</t>
  </si>
  <si>
    <t>https://pet-uploads.adoptapet.com/0/0/5/1260188317.jpg</t>
  </si>
  <si>
    <t>https://pet-uploads.adoptapet.com/d/1/4/1260188323.jpg</t>
  </si>
  <si>
    <t>A0058435762</t>
  </si>
  <si>
    <t>Gonzo</t>
  </si>
  <si>
    <t>https://pet-uploads.adoptapet.com/5/0/4/1243923039.jpg</t>
  </si>
  <si>
    <t>https://pet-uploads.adoptapet.com/8/b/b/1243923048.jpg</t>
  </si>
  <si>
    <t>A0058424233</t>
  </si>
  <si>
    <t>Isabel</t>
  </si>
  <si>
    <t>https://pet-uploads.adoptapet.com/9/a/3/1243920714.jpg</t>
  </si>
  <si>
    <t>https://pet-uploads.adoptapet.com/5/9/5/1243920743.jpg</t>
  </si>
  <si>
    <t>https://pet-uploads.adoptapet.com/7/1/5/1243920749.jpg</t>
  </si>
  <si>
    <t>A0058369236</t>
  </si>
  <si>
    <t>Jane</t>
  </si>
  <si>
    <t>https://pet-uploads.adoptapet.com/5/2/4/1243917921.jpg</t>
  </si>
  <si>
    <t>https://pet-uploads.adoptapet.com/0/5/3/1243917955.jpg</t>
  </si>
  <si>
    <t>https://pet-uploads.adoptapet.com/5/4/5/1243917963.jpg</t>
  </si>
  <si>
    <t>A0058435745</t>
  </si>
  <si>
    <t>Kobe</t>
  </si>
  <si>
    <t>https://pet-uploads.adoptapet.com/0/4/8/1243922805.jpg</t>
  </si>
  <si>
    <t>https://pet-uploads.adoptapet.com/3/1/3/1243922814.jpg</t>
  </si>
  <si>
    <t>https://pet-uploads.adoptapet.com/6/5/4/1243922823.jpg</t>
  </si>
  <si>
    <t>A0058421097</t>
  </si>
  <si>
    <t>Kodiak</t>
  </si>
  <si>
    <t>https://pet-uploads.adoptapet.com/7/d/5/1243922508.jpg</t>
  </si>
  <si>
    <t>https://pet-uploads.adoptapet.com/7/e/d/1243922517.jpg</t>
  </si>
  <si>
    <t>https://pet-uploads.adoptapet.com/c/9/d/1243922533.jpg</t>
  </si>
  <si>
    <t>A0058435738</t>
  </si>
  <si>
    <t>https://pet-uploads.adoptapet.com/1/0/1/1243923156.jpg</t>
  </si>
  <si>
    <t>https://pet-uploads.adoptapet.com/3/8/6/1243923165.jpg</t>
  </si>
  <si>
    <t>A0058424241</t>
  </si>
  <si>
    <t>https://pet-uploads.adoptapet.com/7/7/d/1243920420.jpg</t>
  </si>
  <si>
    <t>https://pet-uploads.adoptapet.com/a/a/6/1243920429.jpg</t>
  </si>
  <si>
    <t>A0058436898</t>
  </si>
  <si>
    <t>Mika</t>
  </si>
  <si>
    <t>https://pet-uploads.adoptapet.com/1/4/c/1243922689.jpg</t>
  </si>
  <si>
    <t>A0058446079</t>
  </si>
  <si>
    <t>Tom [Barn Cat]</t>
  </si>
  <si>
    <t>https://pet-uploads.adoptapet.com/9/8/1/1243927838.jpg</t>
  </si>
  <si>
    <t>A0058751024</t>
  </si>
  <si>
    <t>Adrian</t>
  </si>
  <si>
    <t>https://pet-uploads.adoptapet.com/4/b/5/1246028301.jpg</t>
  </si>
  <si>
    <t>https://pet-uploads.adoptapet.com/d/7/b/1246028310.jpg</t>
  </si>
  <si>
    <t>https://pet-uploads.adoptapet.com/7/c/8/1246028332.jpg</t>
  </si>
  <si>
    <t>https://pet-uploads.adoptapet.com/9/0/4/1246028350.jpg</t>
  </si>
  <si>
    <t>A0058762926</t>
  </si>
  <si>
    <t>Cora Lee [Foster Home]</t>
  </si>
  <si>
    <t>https://pet-uploads.adoptapet.com/2/0/8/1246032988.jpg</t>
  </si>
  <si>
    <t>https://pet-uploads.adoptapet.com/3/0/6/1246033011.jpg</t>
  </si>
  <si>
    <t>https://pet-uploads.adoptapet.com/4/8/d/1246033022.jpg</t>
  </si>
  <si>
    <t>https://pet-uploads.adoptapet.com/0/0/5/1246033037.jpg</t>
  </si>
  <si>
    <t>A0058882272</t>
  </si>
  <si>
    <t>Crest</t>
  </si>
  <si>
    <t>https://pet-uploads.adoptapet.com/f/a/7/1246035757.jpg</t>
  </si>
  <si>
    <t>https://pet-uploads.adoptapet.com/1/1/4/1246035766.jpg</t>
  </si>
  <si>
    <t>https://pet-uploads.adoptapet.com/4/d/6/1246035772.jpg</t>
  </si>
  <si>
    <t>https://pet-uploads.adoptapet.com/7/d/e/1246035778.jpg</t>
  </si>
  <si>
    <t>A0058884708</t>
  </si>
  <si>
    <t>Dean</t>
  </si>
  <si>
    <t>https://pet-uploads.adoptapet.com/e/1/f/1246039590.jpg</t>
  </si>
  <si>
    <t>https://pet-uploads.adoptapet.com/d/c/a/1246039626.jpg</t>
  </si>
  <si>
    <t>https://pet-uploads.adoptapet.com/2/f/5/1246039632.jpg</t>
  </si>
  <si>
    <t>https://pet-uploads.adoptapet.com/b/f/3/1246039638.jpg</t>
  </si>
  <si>
    <t>A0058656769</t>
  </si>
  <si>
    <t>Giselle [Pre Adopted]</t>
  </si>
  <si>
    <t>Giselle is as beautiful on the inside as she is on the outside. This gentle, loving girl came into the shelter as a stray with her nine puppies. One by one, all her pups found foster homes‚Äîyet Giselle waited patiently for her turn. After two long months, she finally made it into foster care, and now she‚Äôs truly living her best life.    She adores people and gets along wonderfully with dogs of all sizes, from her tiny 10-pound foster sibling to the neighbor‚Äôs 70-pound pup. Giselle is the perfect mix of playful and relaxed‚Äîwhether she‚Äôs enjoying a walk, romping with her doggy friends, or curling up on the couch for a nap with a favorite toy.    She already knows ‚Äúsit,‚Äù is crate trained and potty trained, and walks beautifully on leash. Inside, she‚Äôs calm, well-mannered, and happy to just be part of the family.    Above all, Giselle is a sweet and gentle soul who just wants to make everyone happy. She‚Äôs eager to please, super affectionate, and ready to find a forever family who will give her the same unconditional love she‚Äôs so ready to give in return.</t>
  </si>
  <si>
    <t>https://pet-uploads.adoptapet.com/b/0/1/1246028064.jpg</t>
  </si>
  <si>
    <t>https://pet-uploads.adoptapet.com/8/8/c/1246028073.jpg</t>
  </si>
  <si>
    <t>https://pet-uploads.adoptapet.com/2/6/f/1246478792.jpg</t>
  </si>
  <si>
    <t>https://pet-uploads.adoptapet.com/2/d/7/1246478832.jpg</t>
  </si>
  <si>
    <t>Gracie Mae [Foster to Adopt]</t>
  </si>
  <si>
    <t>Meet Gracie Mae ‚Äì A Sweet Survivor with a Heart of Gold üíñ  Gracie Mae‚Äôs journey hasn‚Äôt been easy‚Äîshe came from a tough hoarding situation with four other dogs, living in very challenging conditions. But despite it all, Gracie Mae is sweet as pie and full of love to give.    She‚Äôs a bit timid at first, but once she warms up to you, she becomes a devoted and affectionate friend. Gracie Mae is great on leash, enjoys the company of other dogs, and would thrive in a calm, quiet family home where she can feel safe and cherished.    If you‚Äôre looking for a gentle soul ready to blossom with the right love and patience, Gracie Mae is waiting to fill your life with sweetness and loyalty.</t>
  </si>
  <si>
    <t>https://pet-uploads.adoptapet.com/2/d/2/1246032067.jpg</t>
  </si>
  <si>
    <t>https://pet-uploads.adoptapet.com/4/d/9/1246032118.jpg</t>
  </si>
  <si>
    <t>https://pet-uploads.adoptapet.com/e/f/a/1246032151.jpg</t>
  </si>
  <si>
    <t>https://pet-uploads.adoptapet.com/5/9/8/1246032174.jpg</t>
  </si>
  <si>
    <t>A0058890183</t>
  </si>
  <si>
    <t>Mango [Foster To Adopt]</t>
  </si>
  <si>
    <t>https://pet-uploads.adoptapet.com/1/f/e/1246038357.jpg</t>
  </si>
  <si>
    <t>https://pet-uploads.adoptapet.com/6/3/5/1246038366.jpg</t>
  </si>
  <si>
    <t>https://pet-uploads.adoptapet.com/7/1/1/1246038372.jpg</t>
  </si>
  <si>
    <t>https://pet-uploads.adoptapet.com/d/1/c/1246038378.jpg</t>
  </si>
  <si>
    <t>A0058956746</t>
  </si>
  <si>
    <t>https://pet-uploads.adoptapet.com/3/3/9/1246039381.jpg</t>
  </si>
  <si>
    <t>https://pet-uploads.adoptapet.com/2/d/9/1246039390.jpg</t>
  </si>
  <si>
    <t>https://pet-uploads.adoptapet.com/9/9/1/1246039396.jpg</t>
  </si>
  <si>
    <t>https://pet-uploads.adoptapet.com/f/c/2/1246039402.jpg</t>
  </si>
  <si>
    <t>A0058861989</t>
  </si>
  <si>
    <t>Quincy [Foster To Adopt]</t>
  </si>
  <si>
    <t>https://pet-uploads.adoptapet.com/3/b/4/1246034575.jpg</t>
  </si>
  <si>
    <t>https://pet-uploads.adoptapet.com/e/5/a/1246034590.jpg</t>
  </si>
  <si>
    <t>https://pet-uploads.adoptapet.com/d/2/a/1246034604.jpg</t>
  </si>
  <si>
    <t>https://pet-uploads.adoptapet.com/0/7/e/1246034620.jpg</t>
  </si>
  <si>
    <t>Ralph is a lovable goofball with the biggest wiggle butt you‚Äôll ever meet! This sweet Pointer/Lab mix is gentle, friendly, and oh-so-cuddly. He can be a little shy with new people at first, but he warms up quickly‚Äîand when he does, you‚Äôll have a loyal friend for life. Ralph gets along great with other dogs and loves to play, but he‚Äôs just as happy relaxing by your side. Smart, funny, and full of heart, he‚Äôs the perfect blend of mellow and playful. If you‚Äôre looking for a gentle companion who‚Äôll make you smile every single day, Ralph is ready to wag his way home.</t>
  </si>
  <si>
    <t>https://pet-uploads.adoptapet.com/6/9/4/1265577005.jpg</t>
  </si>
  <si>
    <t>https://pet-uploads.adoptapet.com/d/5/b/1246038970.jpg</t>
  </si>
  <si>
    <t>https://pet-uploads.adoptapet.com/c/9/a/1246038979.jpg</t>
  </si>
  <si>
    <t>https://pet-uploads.adoptapet.com/b/e/8/1246038991.jpg</t>
  </si>
  <si>
    <t>A0058884716</t>
  </si>
  <si>
    <t>https://pet-uploads.adoptapet.com/2/5/a/1246040010.jpg</t>
  </si>
  <si>
    <t>https://pet-uploads.adoptapet.com/5/d/0/1246040019.jpg</t>
  </si>
  <si>
    <t>https://pet-uploads.adoptapet.com/d/7/1/1246040025.jpg</t>
  </si>
  <si>
    <t>https://pet-uploads.adoptapet.com/7/5/0/1246040031.jpg</t>
  </si>
  <si>
    <t>A0058791307</t>
  </si>
  <si>
    <t>Zora</t>
  </si>
  <si>
    <t>https://pet-uploads.adoptapet.com/5/0/5/1246033363.jpg</t>
  </si>
  <si>
    <t>https://pet-uploads.adoptapet.com/3/0/9/1246033393.jpg</t>
  </si>
  <si>
    <t>https://pet-uploads.adoptapet.com/1/8/a/1246033408.jpg</t>
  </si>
  <si>
    <t>https://pet-uploads.adoptapet.com/3/e/2/1246033432.jpg</t>
  </si>
  <si>
    <t>A0059003880</t>
  </si>
  <si>
    <t>Ziggy</t>
  </si>
  <si>
    <t>https://pet-uploads.adoptapet.com/6/0/d/1246308298.jpg</t>
  </si>
  <si>
    <t>https://pet-uploads.adoptapet.com/1/e/4/1246308312.jpg</t>
  </si>
  <si>
    <t>https://pet-uploads.adoptapet.com/4/f/a/1246308326.jpg</t>
  </si>
  <si>
    <t>https://pet-uploads.adoptapet.com/b/4/0/1246308332.jpg</t>
  </si>
  <si>
    <t>A0058888075</t>
  </si>
  <si>
    <t>Zucchini [Foster to Adopt]</t>
  </si>
  <si>
    <t>Border Collie</t>
  </si>
  <si>
    <t>Black - with Gray or Silver</t>
  </si>
  <si>
    <t>Meet Zucchini ‚Äì your future best friend and loyal shadow!  This sweet, gentle pup is as loving as they come and will happily follow you from room to room, just to be near you. Zucchini has a calm, low-energy personality and impeccable manners, making him an easy companion for almost any lifestyle. He does great in his create and on the leash.     He gets along well with other dogs and is also cat-friendly, just as long as he has some space.  While he hasn‚Äôt been tested with children yet, his gentle nature suggests he could be a great fit with the right introductions. Zucchini would also be perfectly content as the only pet in the home, soaking up all the attention for himself.    Though he know‚Äôs basic commands, he‚Äôs eager to please and responds beautifully to gentle guidance. Above all, Zucchini wants nothing more than your love, your company, and a cozy spot by your side.    If you‚Äôre looking for a loyal, affectionate companion who will make your home feel warmer just by being there, Zucchini is ready to meet you</t>
  </si>
  <si>
    <t>https://pet-uploads.adoptapet.com/4/2/8/1246479576.jpg</t>
  </si>
  <si>
    <t>https://pet-uploads.adoptapet.com/f/7/b/1246479590.jpg</t>
  </si>
  <si>
    <t>https://pet-uploads.adoptapet.com/0/5/1/1246479613.jpg</t>
  </si>
  <si>
    <t>https://pet-uploads.adoptapet.com/7/c/6/1246479669.jpg</t>
  </si>
  <si>
    <t>A0058730114</t>
  </si>
  <si>
    <t>Christi [Foster Home]</t>
  </si>
  <si>
    <t>https://pet-uploads.adoptapet.com/f/3/d/1246684993.jpg</t>
  </si>
  <si>
    <t>https://pet-uploads.adoptapet.com/c/e/3/1246685002.jpg</t>
  </si>
  <si>
    <t>https://pet-uploads.adoptapet.com/2/7/0/1246685008.jpg</t>
  </si>
  <si>
    <t>A0058962621</t>
  </si>
  <si>
    <t>Zadkiel [Foster Home]</t>
  </si>
  <si>
    <t>https://pet-uploads.adoptapet.com/a/1/9/1247522837.jpg</t>
  </si>
  <si>
    <t>https://pet-uploads.adoptapet.com/0/e/f/1247522846.jpg</t>
  </si>
  <si>
    <t>https://pet-uploads.adoptapet.com/4/e/7/1247522852.jpg</t>
  </si>
  <si>
    <t>https://pet-uploads.adoptapet.com/a/c/4/1248908035.jpg</t>
  </si>
  <si>
    <t>https://pet-uploads.adoptapet.com/7/0/0/1248908044.jpg</t>
  </si>
  <si>
    <t>https://pet-uploads.adoptapet.com/7/1/a/1248908065.jpg</t>
  </si>
  <si>
    <t>https://pet-uploads.adoptapet.com/1/5/0/1248908080.jpg</t>
  </si>
  <si>
    <t>A0058730121</t>
  </si>
  <si>
    <t>Austin [Foster Home]</t>
  </si>
  <si>
    <t>https://pet-uploads.adoptapet.com/2/5/c/1248905991.jpg</t>
  </si>
  <si>
    <t>https://pet-uploads.adoptapet.com/e/5/1/1248906000.jpg</t>
  </si>
  <si>
    <t>https://pet-uploads.adoptapet.com/2/c/f/1248906006.jpg</t>
  </si>
  <si>
    <t>https://pet-uploads.adoptapet.com/9/4/9/1248906012.jpg</t>
  </si>
  <si>
    <t>https://pet-uploads.adoptapet.com/8/d/a/1248908585.jpg</t>
  </si>
  <si>
    <t>https://pet-uploads.adoptapet.com/e/8/8/1248908608.jpg</t>
  </si>
  <si>
    <t>https://pet-uploads.adoptapet.com/f/3/8/1248908623.jpg</t>
  </si>
  <si>
    <t>https://pet-uploads.adoptapet.com/4/8/d/1248908649.jpg</t>
  </si>
  <si>
    <t>A0058730077</t>
  </si>
  <si>
    <t>Houston [Foster Home]</t>
  </si>
  <si>
    <t>https://pet-uploads.adoptapet.com/0/1/8/1248913517.jpg</t>
  </si>
  <si>
    <t>https://pet-uploads.adoptapet.com/d/6/2/1248913926.jpg</t>
  </si>
  <si>
    <t>https://pet-uploads.adoptapet.com/6/2/e/1248914114.jpg</t>
  </si>
  <si>
    <t>A0058730132</t>
  </si>
  <si>
    <t>Katy [Foster Home]</t>
  </si>
  <si>
    <t>https://pet-uploads.adoptapet.com/c/a/e/1248916406.jpg</t>
  </si>
  <si>
    <t>https://pet-uploads.adoptapet.com/a/9/b/1248916420.jpg</t>
  </si>
  <si>
    <t>https://pet-uploads.adoptapet.com/e/b/b/1248916451.jpg</t>
  </si>
  <si>
    <t>A0058640843</t>
  </si>
  <si>
    <t>Fish [Foster Home]</t>
  </si>
  <si>
    <t>https://pet-uploads.adoptapet.com/8/c/0/1249179225.jpg</t>
  </si>
  <si>
    <t>https://pet-uploads.adoptapet.com/1/a/e/1249179240.jpg</t>
  </si>
  <si>
    <t>A0059205340</t>
  </si>
  <si>
    <t>Amari [Foster Home]</t>
  </si>
  <si>
    <t>https://pet-uploads.adoptapet.com/8/8/c/1252348586.jpg</t>
  </si>
  <si>
    <t>https://pet-uploads.adoptapet.com/9/2/2/1252348595.jpg</t>
  </si>
  <si>
    <t>https://pet-uploads.adoptapet.com/1/3/9/1252348601.jpg</t>
  </si>
  <si>
    <t>A0059118683</t>
  </si>
  <si>
    <t>Bootz [Foster Home]</t>
  </si>
  <si>
    <t>Bootz is a gentle, low-maintenance pup who‚Äôs happiest spending time with his people. He loves the outdoors and soaking up a little sunshine, but he‚Äôs just as content curling up for quiet cuddle time at home. His easygoing nature makes him a great fit for both apartments and houses, and he stays calm when left alone.    Social and affectionate, Bootz gets along wonderfully with other dogs, children, and loves being part of the action without ever being overwhelming. He‚Äôs nearly fully potty trained, loves mealtime (without being food-possessive), and is happy to play with any toy.</t>
  </si>
  <si>
    <t>https://pet-uploads.adoptapet.com/d/3/8/1252349212.jpg</t>
  </si>
  <si>
    <t>https://pet-uploads.adoptapet.com/4/c/6/1252349221.jpg</t>
  </si>
  <si>
    <t>https://pet-uploads.adoptapet.com/4/4/5/1252349243.jpg</t>
  </si>
  <si>
    <t>https://pet-uploads.adoptapet.com/8/e/3/1252349261.jpg</t>
  </si>
  <si>
    <t>A0059101149</t>
  </si>
  <si>
    <t>Lyla [Foster Home]</t>
  </si>
  <si>
    <t>https://pet-uploads.adoptapet.com/c/4/0/1252222364.jpg</t>
  </si>
  <si>
    <t>https://pet-uploads.adoptapet.com/f/8/0/1252222379.jpg</t>
  </si>
  <si>
    <t>A0059117646</t>
  </si>
  <si>
    <t>Vixey [Foster To Adopt]</t>
  </si>
  <si>
    <t>https://pet-uploads.adoptapet.com/c/f/8/1252382027.jpg</t>
  </si>
  <si>
    <t>https://pet-uploads.adoptapet.com/d/a/b/1252382061.jpg</t>
  </si>
  <si>
    <t>https://pet-uploads.adoptapet.com/1/4/c/1252382069.jpg</t>
  </si>
  <si>
    <t>A0058640860</t>
  </si>
  <si>
    <t>Angela [Foster Home]</t>
  </si>
  <si>
    <t>https://pet-uploads.adoptapet.com/4/9/4/1252389878.jpg</t>
  </si>
  <si>
    <t>A0058640826</t>
  </si>
  <si>
    <t>Ariel</t>
  </si>
  <si>
    <t>https://pet-uploads.adoptapet.com/f/2/b/1260188506.jpg</t>
  </si>
  <si>
    <t>A0058640880</t>
  </si>
  <si>
    <t>Engel</t>
  </si>
  <si>
    <t>https://pet-uploads.adoptapet.com/5/c/a/1260195014.jpg</t>
  </si>
  <si>
    <t>A0058533443</t>
  </si>
  <si>
    <t>Gotti [Foster Home]</t>
  </si>
  <si>
    <t>Gotti came to the shelter as just a young kitten. She went through a very tough spay surgery, which ultimately landed her in the emergency room and into a foster home to recover after her second sugery. However, while in foster, her family enjoyed how well she fit in! Gotti gets along with everyone and is a fearless little girl, despite her size. She currently lives with an adult cat &amp; kitten + [13] dogs -- all ranging from 10lb to 120lb, and enjoys spending time with them.     She's litter box trained and absolutely loves her wet food each morning. She will hear the can "pop" across the house and come running over. She will surely make you laugh and fit right into your family!</t>
  </si>
  <si>
    <t>https://pet-uploads.adoptapet.com/5/2/4/1252392954.jpg</t>
  </si>
  <si>
    <t>https://pet-uploads.adoptapet.com/d/9/8/1252392963.jpg</t>
  </si>
  <si>
    <t>https://pet-uploads.adoptapet.com/7/f/b/1252392969.jpg</t>
  </si>
  <si>
    <t>https://pet-uploads.adoptapet.com/3/9/a/1252392975.jpg</t>
  </si>
  <si>
    <t>A0059205886</t>
  </si>
  <si>
    <t>Joey</t>
  </si>
  <si>
    <t>https://pet-uploads.adoptapet.com/2/b/4/1252387429.jpg</t>
  </si>
  <si>
    <t>https://pet-uploads.adoptapet.com/2/c/7/1252387456.jpg</t>
  </si>
  <si>
    <t>https://pet-uploads.adoptapet.com/d/f/c/1252387469.jpg</t>
  </si>
  <si>
    <t>https://pet-uploads.adoptapet.com/1/a/2/1252387495.jpg</t>
  </si>
  <si>
    <t>A0059009694</t>
  </si>
  <si>
    <t>Little Bit [Foster To Adopt]</t>
  </si>
  <si>
    <t>https://pet-uploads.adoptapet.com/8/a/6/1252388581.jpg</t>
  </si>
  <si>
    <t>https://pet-uploads.adoptapet.com/0/c/e/1252388607.jpg</t>
  </si>
  <si>
    <t>https://pet-uploads.adoptapet.com/8/3/4/1252388622.jpg</t>
  </si>
  <si>
    <t>https://pet-uploads.adoptapet.com/d/4/3/1252388642.jpg</t>
  </si>
  <si>
    <t>https://pet-uploads.adoptapet.com/5/4/e/1252389049.jpg</t>
  </si>
  <si>
    <t>https://pet-uploads.adoptapet.com/3/d/d/1252389058.jpg</t>
  </si>
  <si>
    <t>https://pet-uploads.adoptapet.com/6/5/a/1252389064.jpg</t>
  </si>
  <si>
    <t>https://pet-uploads.adoptapet.com/c/a/d/1252389070.jpg</t>
  </si>
  <si>
    <t>Roux is pure joy wrapped in fur! This beautiful white-and-gray Pittie mix greets every day‚Äîand every person‚Äîwith enthusiasm, spinning in happy circles when it‚Äôs time to play. She‚Äôs the perfect mix of playful and cuddly, always ready for a game of fetch or a snuggle on the couch. Roux‚Äôs curious nature makes her eager to explore, and her gentle personality wins over everyone she meets. She‚Äôs friendly with people, sweet to the core, and just wants to be part of the fun (and the love). If you‚Äôre looking for a loyal companion who can make your heart‚Äîand your tail‚Äîwag a little faster, Roux is your girl.</t>
  </si>
  <si>
    <t>https://pet-uploads.adoptapet.com/b/a/7/1252389214.jpg</t>
  </si>
  <si>
    <t>https://pet-uploads.adoptapet.com/3/5/8/1252389223.jpg</t>
  </si>
  <si>
    <t>https://pet-uploads.adoptapet.com/6/9/8/1252389229.jpg</t>
  </si>
  <si>
    <t>A0059010112</t>
  </si>
  <si>
    <t>Sunny</t>
  </si>
  <si>
    <t>https://pet-uploads.adoptapet.com/2/0/5/1252390151.jpg</t>
  </si>
  <si>
    <t>A0058402927</t>
  </si>
  <si>
    <t>https://pet-uploads.adoptapet.com/8/c/e/1252390169.jpg</t>
  </si>
  <si>
    <t>https://pet-uploads.adoptapet.com/5/a/7/1252390178.jpg</t>
  </si>
  <si>
    <t>Deebo is a goofy, fun-loving ball of energy who‚Äôs always the life of the party! This brindle Pittie/Plott Hound mix is playful, curious, and full of personality. He loves romping around with his best pals, Mimir and Koko, and never turns down a chance to play or get a little rowdy. Deebo‚Äôs friendly spirit and endless enthusiasm make him a joy to be around‚Äîhe‚Äôs the kind of dog who keeps everyone smiling. Beneath all that spunk is a sweet, affectionate boy who just wants to be loved and part of the fun. If you‚Äôre looking for an energetic, happy companion who can turn any day into an adventure, Deebo is your guy!</t>
  </si>
  <si>
    <t>https://pet-uploads.adoptapet.com/e/0/d/1253088521.jpg</t>
  </si>
  <si>
    <t>https://pet-uploads.adoptapet.com/5/4/c/1253088530.jpg</t>
  </si>
  <si>
    <t>https://pet-uploads.adoptapet.com/7/5/7/1253088536.jpg</t>
  </si>
  <si>
    <t>https://pet-uploads.adoptapet.com/2/a/9/1253088542.jpg</t>
  </si>
  <si>
    <t>https://pet-uploads.adoptapet.com/e/d/8/1253089907.jpg</t>
  </si>
  <si>
    <t>https://pet-uploads.adoptapet.com/7/0/8/1253089930.jpg</t>
  </si>
  <si>
    <t>https://pet-uploads.adoptapet.com/e/f/b/1253089943.jpg</t>
  </si>
  <si>
    <t>https://pet-uploads.adoptapet.com/e/d/7/1257113944.jpg</t>
  </si>
  <si>
    <t>https://pet-uploads.adoptapet.com/0/f/9/1257113963.jpg</t>
  </si>
  <si>
    <t>https://pet-uploads.adoptapet.com/3/2/7/1257113972.jpg</t>
  </si>
  <si>
    <t>https://pet-uploads.adoptapet.com/2/b/3/1257113978.jpg</t>
  </si>
  <si>
    <t>A0059234101</t>
  </si>
  <si>
    <t>Berry</t>
  </si>
  <si>
    <t>https://pet-uploads.adoptapet.com/7/6/9/1257083242.jpg</t>
  </si>
  <si>
    <t>https://pet-uploads.adoptapet.com/b/1/3/1257083266.jpg</t>
  </si>
  <si>
    <t>https://pet-uploads.adoptapet.com/a/f/f/1257083278.jpg</t>
  </si>
  <si>
    <t>https://pet-uploads.adoptapet.com/5/5/0/1257083284.jpg</t>
  </si>
  <si>
    <t>Captain Crunch is as sweet and goofy as his name suggests! This young Aussie/Golden mix has a heart of gold and energy to match. He could spend hours outside chasing toys or basking in the sunshine‚Äîgive him a ball, and he‚Äôs in heaven. Playful yet independent, Captain Crunch loves exploring his surroundings but always comes back for affection and a smile that could melt the Grinch‚Äôs heart. He‚Äôs curious about the world, gentle with people, and happiest when he‚Äôs part of the fun. If you‚Äôre looking for a friendly, easygoing companion who‚Äôs ready for life‚Äôs adventures (and a good game of fetch), Captain Crunch is your guy!</t>
  </si>
  <si>
    <t>https://pet-uploads.adoptapet.com/1/5/9/1262766367.jpg</t>
  </si>
  <si>
    <t>https://pet-uploads.adoptapet.com/8/7/1/1257075926.jpg</t>
  </si>
  <si>
    <t>https://pet-uploads.adoptapet.com/3/8/e/1262765965.jpg</t>
  </si>
  <si>
    <t>https://pet-uploads.adoptapet.com/7/9/a/1262766373.jpg</t>
  </si>
  <si>
    <t>A0059240397</t>
  </si>
  <si>
    <t>Chong</t>
  </si>
  <si>
    <t>https://pet-uploads.adoptapet.com/4/5/3/1257121353.jpg</t>
  </si>
  <si>
    <t>https://pet-uploads.adoptapet.com/5/1/a/1257121362.jpg</t>
  </si>
  <si>
    <t>https://pet-uploads.adoptapet.com/e/d/3/1257121380.jpg</t>
  </si>
  <si>
    <t>https://pet-uploads.adoptapet.com/f/2/8/1257121395.jpg</t>
  </si>
  <si>
    <t>https://pet-uploads.adoptapet.com/6/4/c/1257116664.jpg</t>
  </si>
  <si>
    <t>https://pet-uploads.adoptapet.com/3/d/4/1257116732.jpg</t>
  </si>
  <si>
    <t>https://pet-uploads.adoptapet.com/c/8/6/1257116770.jpg</t>
  </si>
  <si>
    <t>https://pet-uploads.adoptapet.com/0/0/c/1257116839.jpg</t>
  </si>
  <si>
    <t>https://pet-uploads.adoptapet.com/c/0/6/1257104813.jpg</t>
  </si>
  <si>
    <t>https://pet-uploads.adoptapet.com/5/2/4/1257104822.jpg</t>
  </si>
  <si>
    <t>https://pet-uploads.adoptapet.com/b/8/3/1257104828.jpg</t>
  </si>
  <si>
    <t>https://pet-uploads.adoptapet.com/6/7/3/1257104834.jpg</t>
  </si>
  <si>
    <t>Madre is the definition of calm and caring. This beautiful black-and-white American Bulldog/Staffy mix has a gentle, maternal nature that shines through in everything she does. She‚Äôs patient and nurturing with smaller dogs and puppies, often taking them under her paw. Though mellow and easygoing, Madre still enjoys her playful moments‚Äîespecially when she knows she‚Äôs made her people smile. She‚Äôs sweet, loyal, and full of quiet affection, making her the perfect companion for anyone looking for a loving, steady presence in their home. If you‚Äôre searching for a gentle soul who brings peace (and a few happy tail wags) wherever she goes, Madre is the one for you.</t>
  </si>
  <si>
    <t>https://pet-uploads.adoptapet.com/5/8/3/1257104606.jpg</t>
  </si>
  <si>
    <t>https://pet-uploads.adoptapet.com/b/9/6/1257104615.jpg</t>
  </si>
  <si>
    <t>https://pet-uploads.adoptapet.com/6/6/d/1257104621.jpg</t>
  </si>
  <si>
    <t>https://pet-uploads.adoptapet.com/f/a/c/1257104627.jpg</t>
  </si>
  <si>
    <t>https://pet-uploads.adoptapet.com/a/d/d/1257115781.jpg</t>
  </si>
  <si>
    <t>https://pet-uploads.adoptapet.com/1/7/2/1257115800.jpg</t>
  </si>
  <si>
    <t>https://pet-uploads.adoptapet.com/c/4/3/1257115806.jpg</t>
  </si>
  <si>
    <t>https://pet-uploads.adoptapet.com/8/7/3/1257115812.jpg</t>
  </si>
  <si>
    <t>https://pet-uploads.adoptapet.com/7/f/7/1257100323.jpg</t>
  </si>
  <si>
    <t>https://pet-uploads.adoptapet.com/5/2/6/1257100332.jpg</t>
  </si>
  <si>
    <t>https://pet-uploads.adoptapet.com/6/a/4/1257100338.jpg</t>
  </si>
  <si>
    <t>https://pet-uploads.adoptapet.com/e/7/8/1257100351.jpg</t>
  </si>
  <si>
    <t>https://pet-uploads.adoptapet.com/4/6/8/1257105124.jpg</t>
  </si>
  <si>
    <t>https://pet-uploads.adoptapet.com/1/5/0/1257105150.jpg</t>
  </si>
  <si>
    <t>https://pet-uploads.adoptapet.com/3/e/a/1257105184.jpg</t>
  </si>
  <si>
    <t>https://pet-uploads.adoptapet.com/5/0/2/1257105198.jpg</t>
  </si>
  <si>
    <t>https://pet-uploads.adoptapet.com/0/4/0/1257115207.jpg</t>
  </si>
  <si>
    <t>https://pet-uploads.adoptapet.com/a/f/a/1257115216.jpg</t>
  </si>
  <si>
    <t>https://pet-uploads.adoptapet.com/4/8/3/1257115222.jpg</t>
  </si>
  <si>
    <t>https://pet-uploads.adoptapet.com/d/1/9/1257115228.jpg</t>
  </si>
  <si>
    <t>https://pet-uploads.adoptapet.com/f/c/1/1262037686.jpg</t>
  </si>
  <si>
    <t>https://pet-uploads.adoptapet.com/c/2/b/1262037718.jpg</t>
  </si>
  <si>
    <t>https://pet-uploads.adoptapet.com/a/4/9/1262037734.jpg</t>
  </si>
  <si>
    <t>https://pet-uploads.adoptapet.com/5/3/d/1262038321.jpg</t>
  </si>
  <si>
    <t>https://pet-uploads.adoptapet.com/1/1/4/1262038330.jpg</t>
  </si>
  <si>
    <t>https://pet-uploads.adoptapet.com/b/d/6/1262038336.jpg</t>
  </si>
  <si>
    <t>https://pet-uploads.adoptapet.com/b/4/a/1262038342.jpg</t>
  </si>
  <si>
    <t>Fufu is a sweet, affectionate girl who‚Äôs equal parts gentle and playful! This beautiful tricolor Treeing Walker Coonhound/Foxhound mix loves everyone she meets‚Äîkids, dogs, and all her human friends alike. She‚Äôs cuddly, loyal, and always ready to make you smile with her silly, endearing personality. Fufu enjoys nice walks (she‚Äôs great on the leash!) and loves spending time outdoors, but she‚Äôs just as happy curling up beside you for snuggles. With her soft eyes, loving heart, and friendly spirit, Fufu is the perfect mix of fun and affection. If you‚Äôre looking for a loyal companion who‚Äôll fill your days with love and laughter, Fufu is your girl.</t>
  </si>
  <si>
    <t>https://pet-uploads.adoptapet.com/3/8/c/1262038528.jpg</t>
  </si>
  <si>
    <t>https://pet-uploads.adoptapet.com/5/5/e/1262038537.jpg</t>
  </si>
  <si>
    <t>https://pet-uploads.adoptapet.com/d/f/3/1262038543.jpg</t>
  </si>
  <si>
    <t>https://pet-uploads.adoptapet.com/1/c/9/1262038549.jpg</t>
  </si>
  <si>
    <t>https://pet-uploads.adoptapet.com/6/9/7/1262035068.jpg</t>
  </si>
  <si>
    <t>https://pet-uploads.adoptapet.com/9/4/4/1262035129.jpg</t>
  </si>
  <si>
    <t>https://pet-uploads.adoptapet.com/8/b/8/1262035185.jpg</t>
  </si>
  <si>
    <t>https://pet-uploads.adoptapet.com/f/c/d/1262035230.jpg</t>
  </si>
  <si>
    <t>Gunner is a classic black Lab with all the best Lab qualities‚Äîsweet, playful, and full of love! This medium-sized boy is always ready for fun, whether it‚Äôs a game of fetch or a nice long walk with his people. Gunner‚Äôs friendly personality makes him a joy to be around‚Äîhe greets everyone with a wagging tail and a happy grin. He‚Äôs the perfect mix of energy and affection, always up for adventure but just as content to relax by your side. If you‚Äôre looking for a loyal, loving companion who will brighten every day with his enthusiasm and charm, Gunner is your guy.</t>
  </si>
  <si>
    <t>https://pet-uploads.adoptapet.com/1/c/5/1262034717.jpg</t>
  </si>
  <si>
    <t>https://pet-uploads.adoptapet.com/4/6/2/1262034726.jpg</t>
  </si>
  <si>
    <t>https://pet-uploads.adoptapet.com/d/b/c/1262034732.jpg</t>
  </si>
  <si>
    <t>https://pet-uploads.adoptapet.com/d/d/8/1262043132.jpg</t>
  </si>
  <si>
    <t>https://pet-uploads.adoptapet.com/a/7/e/1262043141.jpg</t>
  </si>
  <si>
    <t>https://pet-uploads.adoptapet.com/4/0/6/1262043147.jpg</t>
  </si>
  <si>
    <t>https://pet-uploads.adoptapet.com/a/e/3/1262043153.jpg</t>
  </si>
  <si>
    <t>https://pet-uploads.adoptapet.com/c/0/3/1262043715.jpg</t>
  </si>
  <si>
    <t>https://pet-uploads.adoptapet.com/a/9/9/1262043724.jpg</t>
  </si>
  <si>
    <t>https://pet-uploads.adoptapet.com/c/a/6/1262043730.jpg</t>
  </si>
  <si>
    <t>https://pet-uploads.adoptapet.com/9/3/e/1262043736.jpg</t>
  </si>
  <si>
    <t>https://pet-uploads.adoptapet.com/c/5/c/1262044120.jpg</t>
  </si>
  <si>
    <t>https://pet-uploads.adoptapet.com/c/8/e/1262044129.jpg</t>
  </si>
  <si>
    <t>https://pet-uploads.adoptapet.com/a/2/0/1262044135.jpg</t>
  </si>
  <si>
    <t>https://pet-uploads.adoptapet.com/4/8/0/1262044141.jpg</t>
  </si>
  <si>
    <t>https://pet-uploads.adoptapet.com/d/3/8/1262047028.jpg</t>
  </si>
  <si>
    <t>https://pet-uploads.adoptapet.com/3/3/1/1262047037.jpg</t>
  </si>
  <si>
    <t>https://pet-uploads.adoptapet.com/9/8/e/1262047043.jpg</t>
  </si>
  <si>
    <t>https://pet-uploads.adoptapet.com/b/8/6/1262047049.jpg</t>
  </si>
  <si>
    <t>Age_PP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</si>
</sst>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name val="Calibri"/>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name val="Calibri"/>
      <family val="2"/>
    </font>
    <font>
      <i/>
      <sz val="11"/>
      <name val="Calibri"/>
      <family val="2"/>
    </font>
    <font>
      <sz val="11"/>
      <name val="Calibri"/>
      <family val="2"/>
    </font>
    <font>
      <u/>
      <sz val="11"/>
      <color theme="10"/>
      <name val="Calibri"/>
      <family val="2"/>
    </font>
    <font>
      <sz val="11"/>
      <color theme="1"/>
      <name val="Aptos Narrow"/>
      <family val="2"/>
      <scheme val="minor"/>
    </font>
    <font>
      <sz val="11"/>
      <color rgb="FFFFFFFF"/>
      <name val="Aptos Narrow"/>
      <family val="2"/>
      <scheme val="minor"/>
    </font>
    <font>
      <b/>
      <sz val="11"/>
      <color theme="0"/>
      <name val="Calibri"/>
      <family val="2"/>
    </font>
    <font>
      <i/>
      <sz val="9"/>
      <name val="Calibri"/>
      <family val="2"/>
    </font>
  </fonts>
  <fills count="8">
    <fill>
      <patternFill patternType="none"/>
    </fill>
    <fill>
      <patternFill patternType="gray125"/>
    </fill>
    <fill>
      <patternFill patternType="solid">
        <fgColor rgb="FF7A7A7A"/>
      </patternFill>
    </fill>
    <fill>
      <patternFill patternType="solid">
        <fgColor theme="4"/>
        <bgColor indexed="64"/>
      </patternFill>
    </fill>
    <fill>
      <patternFill patternType="solid">
        <fgColor theme="0" tint="-4.9989318521683403E-2"/>
        <bgColor indexed="64"/>
      </patternFill>
    </fill>
    <fill>
      <patternFill patternType="solid">
        <fgColor theme="3" tint="0.89999084444715716"/>
        <bgColor indexed="64"/>
      </patternFill>
    </fill>
    <fill>
      <patternFill patternType="solid">
        <fgColor theme="2"/>
        <bgColor indexed="64"/>
      </patternFill>
    </fill>
    <fill>
      <patternFill patternType="solid">
        <fgColor theme="9" tint="-0.249977111117893"/>
        <bgColor indexed="64"/>
      </patternFill>
    </fill>
  </fills>
  <borders count="1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double">
        <color indexed="64"/>
      </bottom>
      <diagonal/>
    </border>
    <border>
      <left/>
      <right/>
      <top style="double">
        <color indexed="64"/>
      </top>
      <bottom style="double">
        <color indexed="64"/>
      </bottom>
      <diagonal/>
    </border>
    <border>
      <left style="medium">
        <color indexed="64"/>
      </left>
      <right/>
      <top/>
      <bottom style="double">
        <color indexed="64"/>
      </bottom>
      <diagonal/>
    </border>
    <border>
      <left/>
      <right style="medium">
        <color indexed="64"/>
      </right>
      <top/>
      <bottom style="double">
        <color indexed="64"/>
      </bottom>
      <diagonal/>
    </border>
    <border>
      <left/>
      <right style="medium">
        <color indexed="64"/>
      </right>
      <top style="double">
        <color indexed="64"/>
      </top>
      <bottom style="double">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right/>
      <top/>
      <bottom style="thin">
        <color rgb="FF999999"/>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style="thin">
        <color auto="1"/>
      </bottom>
      <diagonal/>
    </border>
  </borders>
  <cellStyleXfs count="10">
    <xf numFmtId="0" fontId="0" fillId="0" borderId="0"/>
    <xf numFmtId="0" fontId="11" fillId="0" borderId="0" applyNumberFormat="0" applyFill="0" applyBorder="0" applyAlignment="0" applyProtection="0"/>
    <xf numFmtId="0" fontId="12" fillId="0" borderId="0"/>
    <xf numFmtId="0" fontId="7" fillId="0" borderId="0"/>
    <xf numFmtId="0" fontId="6" fillId="0" borderId="0"/>
    <xf numFmtId="0" fontId="5" fillId="0" borderId="0"/>
    <xf numFmtId="0" fontId="4" fillId="0" borderId="0"/>
    <xf numFmtId="0" fontId="3" fillId="0" borderId="0"/>
    <xf numFmtId="0" fontId="2" fillId="0" borderId="0"/>
    <xf numFmtId="0" fontId="1" fillId="0" borderId="0"/>
  </cellStyleXfs>
  <cellXfs count="57">
    <xf numFmtId="0" fontId="0" fillId="0" borderId="0" xfId="0"/>
    <xf numFmtId="0" fontId="8" fillId="0" borderId="0" xfId="0" applyFont="1"/>
    <xf numFmtId="0" fontId="0" fillId="0" borderId="0" xfId="0" applyAlignment="1">
      <alignment horizontal="left"/>
    </xf>
    <xf numFmtId="1" fontId="0" fillId="0" borderId="0" xfId="0" applyNumberFormat="1"/>
    <xf numFmtId="0" fontId="11" fillId="0" borderId="0" xfId="1"/>
    <xf numFmtId="10" fontId="0" fillId="0" borderId="0" xfId="0" applyNumberFormat="1"/>
    <xf numFmtId="0" fontId="12" fillId="0" borderId="0" xfId="2"/>
    <xf numFmtId="0" fontId="7" fillId="0" borderId="0" xfId="3"/>
    <xf numFmtId="0" fontId="10" fillId="0" borderId="0" xfId="0" applyFont="1"/>
    <xf numFmtId="14" fontId="0" fillId="0" borderId="0" xfId="0" applyNumberFormat="1"/>
    <xf numFmtId="0" fontId="0" fillId="0" borderId="0" xfId="0" applyAlignment="1">
      <alignment horizontal="center" wrapText="1"/>
    </xf>
    <xf numFmtId="0" fontId="0" fillId="0" borderId="14" xfId="0" applyBorder="1"/>
    <xf numFmtId="0" fontId="0" fillId="0" borderId="0" xfId="0" pivotButton="1"/>
    <xf numFmtId="14" fontId="0" fillId="0" borderId="0" xfId="0" applyNumberFormat="1" applyAlignment="1">
      <alignment horizontal="left"/>
    </xf>
    <xf numFmtId="0" fontId="5" fillId="0" borderId="0" xfId="5"/>
    <xf numFmtId="22" fontId="5" fillId="0" borderId="0" xfId="5" applyNumberFormat="1"/>
    <xf numFmtId="22" fontId="0" fillId="0" borderId="0" xfId="0" applyNumberFormat="1"/>
    <xf numFmtId="0" fontId="4" fillId="0" borderId="0" xfId="6"/>
    <xf numFmtId="0" fontId="8" fillId="0" borderId="18" xfId="2" applyFont="1" applyBorder="1" applyAlignment="1">
      <alignment horizontal="center" vertical="top"/>
    </xf>
    <xf numFmtId="0" fontId="3" fillId="0" borderId="0" xfId="7"/>
    <xf numFmtId="0" fontId="10" fillId="7" borderId="0" xfId="0" applyFont="1" applyFill="1"/>
    <xf numFmtId="0" fontId="0" fillId="0" borderId="0" xfId="0" applyAlignment="1">
      <alignment horizontal="left" indent="1"/>
    </xf>
    <xf numFmtId="0" fontId="13" fillId="2" borderId="0" xfId="0" applyFont="1" applyFill="1"/>
    <xf numFmtId="22" fontId="7" fillId="0" borderId="0" xfId="3" applyNumberFormat="1"/>
    <xf numFmtId="0" fontId="2" fillId="0" borderId="0" xfId="8"/>
    <xf numFmtId="0" fontId="8" fillId="6" borderId="15" xfId="0" applyFont="1" applyFill="1" applyBorder="1" applyAlignment="1">
      <alignment horizontal="center"/>
    </xf>
    <xf numFmtId="0" fontId="8" fillId="6" borderId="16" xfId="0" applyFont="1" applyFill="1" applyBorder="1" applyAlignment="1">
      <alignment horizontal="center"/>
    </xf>
    <xf numFmtId="0" fontId="8" fillId="6" borderId="17" xfId="0" applyFont="1" applyFill="1" applyBorder="1" applyAlignment="1">
      <alignment horizontal="center"/>
    </xf>
    <xf numFmtId="0" fontId="15" fillId="0" borderId="2" xfId="0" applyFont="1" applyBorder="1" applyAlignment="1">
      <alignment horizontal="center" vertical="center" wrapText="1"/>
    </xf>
    <xf numFmtId="0" fontId="15" fillId="0" borderId="4" xfId="0" applyFont="1" applyBorder="1" applyAlignment="1">
      <alignment horizontal="center" vertical="center" wrapText="1"/>
    </xf>
    <xf numFmtId="0" fontId="15" fillId="0" borderId="5" xfId="0" applyFont="1" applyBorder="1" applyAlignment="1">
      <alignment horizontal="center" vertical="center" wrapText="1"/>
    </xf>
    <xf numFmtId="0" fontId="0" fillId="0" borderId="5" xfId="0" applyBorder="1" applyAlignment="1">
      <alignment horizontal="center" wrapText="1"/>
    </xf>
    <xf numFmtId="0" fontId="15" fillId="0" borderId="12" xfId="0" applyFont="1" applyBorder="1" applyAlignment="1">
      <alignment horizontal="center" vertical="center" wrapText="1"/>
    </xf>
    <xf numFmtId="0" fontId="15" fillId="0" borderId="13" xfId="0" applyFont="1" applyBorder="1" applyAlignment="1">
      <alignment horizontal="center" vertical="center" wrapText="1"/>
    </xf>
    <xf numFmtId="0" fontId="0" fillId="0" borderId="12" xfId="0" applyBorder="1" applyAlignment="1">
      <alignment horizontal="center" wrapText="1"/>
    </xf>
    <xf numFmtId="0" fontId="15" fillId="0" borderId="9" xfId="0" applyFont="1" applyBorder="1" applyAlignment="1">
      <alignment horizontal="center" vertical="center" wrapText="1"/>
    </xf>
    <xf numFmtId="0" fontId="15" fillId="0" borderId="7" xfId="0" applyFont="1" applyBorder="1" applyAlignment="1">
      <alignment horizontal="center" vertical="center" wrapText="1"/>
    </xf>
    <xf numFmtId="0" fontId="0" fillId="0" borderId="7" xfId="0" applyBorder="1" applyAlignment="1">
      <alignment horizontal="center" wrapText="1"/>
    </xf>
    <xf numFmtId="0" fontId="0" fillId="0" borderId="10" xfId="0" applyBorder="1" applyAlignment="1">
      <alignment horizontal="center" wrapText="1"/>
    </xf>
    <xf numFmtId="0" fontId="0" fillId="0" borderId="8" xfId="0" applyBorder="1" applyAlignment="1">
      <alignment horizontal="center" wrapText="1"/>
    </xf>
    <xf numFmtId="0" fontId="0" fillId="0" borderId="11" xfId="0" applyBorder="1" applyAlignment="1">
      <alignment horizontal="center" wrapText="1"/>
    </xf>
    <xf numFmtId="0" fontId="14" fillId="3" borderId="1" xfId="0" applyFont="1" applyFill="1" applyBorder="1" applyAlignment="1">
      <alignment horizontal="center"/>
    </xf>
    <xf numFmtId="0" fontId="14" fillId="3" borderId="2" xfId="0" applyFont="1" applyFill="1" applyBorder="1" applyAlignment="1">
      <alignment horizontal="center"/>
    </xf>
    <xf numFmtId="0" fontId="14" fillId="3" borderId="3" xfId="0" applyFont="1" applyFill="1" applyBorder="1" applyAlignment="1">
      <alignment horizontal="center"/>
    </xf>
    <xf numFmtId="0" fontId="9" fillId="4" borderId="4" xfId="0" applyFont="1" applyFill="1" applyBorder="1" applyAlignment="1">
      <alignment horizontal="center"/>
    </xf>
    <xf numFmtId="0" fontId="9" fillId="4" borderId="5" xfId="0" applyFont="1" applyFill="1" applyBorder="1" applyAlignment="1">
      <alignment horizontal="center"/>
    </xf>
    <xf numFmtId="0" fontId="9" fillId="4" borderId="6" xfId="0" applyFont="1" applyFill="1" applyBorder="1" applyAlignment="1">
      <alignment horizontal="center"/>
    </xf>
    <xf numFmtId="0" fontId="10" fillId="5" borderId="1" xfId="0" applyFont="1" applyFill="1" applyBorder="1" applyAlignment="1">
      <alignment horizontal="center"/>
    </xf>
    <xf numFmtId="0" fontId="10" fillId="5" borderId="2" xfId="0" applyFont="1" applyFill="1" applyBorder="1" applyAlignment="1">
      <alignment horizontal="center"/>
    </xf>
    <xf numFmtId="0" fontId="10" fillId="5" borderId="3" xfId="0" applyFont="1" applyFill="1" applyBorder="1" applyAlignment="1">
      <alignment horizontal="center"/>
    </xf>
    <xf numFmtId="0" fontId="10" fillId="0" borderId="0" xfId="0" applyFont="1" applyAlignment="1">
      <alignment horizontal="center"/>
    </xf>
    <xf numFmtId="0" fontId="0" fillId="0" borderId="0" xfId="0" applyAlignment="1">
      <alignment horizontal="center"/>
    </xf>
    <xf numFmtId="0" fontId="1" fillId="0" borderId="0" xfId="9"/>
    <xf numFmtId="22" fontId="1" fillId="0" borderId="0" xfId="9" applyNumberFormat="1"/>
    <xf numFmtId="0" fontId="0" fillId="0" borderId="0" xfId="0" applyNumberFormat="1"/>
    <xf numFmtId="3" fontId="0" fillId="0" borderId="0" xfId="0" applyNumberFormat="1"/>
    <xf numFmtId="9" fontId="0" fillId="0" borderId="0" xfId="0" applyNumberFormat="1"/>
  </cellXfs>
  <cellStyles count="10">
    <cellStyle name="Hyperlink" xfId="1" builtinId="8"/>
    <cellStyle name="Normal" xfId="0" builtinId="0"/>
    <cellStyle name="Normal 2" xfId="2" xr:uid="{F1181F3B-0E75-094F-9E37-C0DB9741C59F}"/>
    <cellStyle name="Normal 3" xfId="3" xr:uid="{590B2832-100F-994C-9714-7ED0CAF70E0E}"/>
    <cellStyle name="Normal 4" xfId="4" xr:uid="{5DFD90EA-2E74-5040-B176-CE8104CF80E6}"/>
    <cellStyle name="Normal 5" xfId="5" xr:uid="{311C61F7-5C5A-1443-BD0C-0EDA9AC01BB3}"/>
    <cellStyle name="Normal 6" xfId="6" xr:uid="{E705BB68-0AFD-D243-ABB8-034EA9DC14F7}"/>
    <cellStyle name="Normal 7" xfId="7" xr:uid="{FD961889-4617-364D-8120-CB020C218CD8}"/>
    <cellStyle name="Normal 8" xfId="8" xr:uid="{201A660C-D7DD-354C-A20B-B8F7CF7A7DEB}"/>
    <cellStyle name="Normal 9" xfId="9" xr:uid="{E6D05D20-67E9-F742-A379-78C3623F6259}"/>
  </cellStyles>
  <dxfs count="18">
    <dxf>
      <font>
        <color rgb="FF9C0006"/>
      </font>
      <fill>
        <patternFill>
          <bgColor rgb="FFFFC7CE"/>
        </patternFill>
      </fill>
    </dxf>
    <dxf>
      <numFmt numFmtId="27" formatCode="m/d/yy\ h:mm"/>
    </dxf>
    <dxf>
      <numFmt numFmtId="27" formatCode="m/d/yy\ h:mm"/>
    </dxf>
    <dxf>
      <numFmt numFmtId="27" formatCode="m/d/yy\ h:mm"/>
    </dxf>
    <dxf>
      <font>
        <b val="0"/>
        <i val="0"/>
        <strike val="0"/>
        <condense val="0"/>
        <extend val="0"/>
        <outline val="0"/>
        <shadow val="0"/>
        <u val="none"/>
        <vertAlign val="baseline"/>
        <sz val="11"/>
        <color rgb="FFFFFFFF"/>
        <name val="Aptos Narrow"/>
        <family val="2"/>
        <scheme val="minor"/>
      </font>
      <fill>
        <patternFill patternType="solid">
          <fgColor indexed="64"/>
          <bgColor rgb="FF7A7A7A"/>
        </patternFill>
      </fill>
    </dxf>
    <dxf>
      <numFmt numFmtId="0" formatCode="General"/>
    </dxf>
    <dxf>
      <numFmt numFmtId="19" formatCode="m/d/yy"/>
    </dxf>
    <dxf>
      <numFmt numFmtId="19" formatCode="m/d/yy"/>
    </dxf>
    <dxf>
      <numFmt numFmtId="1" formatCode="0"/>
    </dxf>
    <dxf>
      <font>
        <b/>
        <i val="0"/>
        <strike val="0"/>
        <condense val="0"/>
        <extend val="0"/>
        <outline val="0"/>
        <shadow val="0"/>
        <u val="none"/>
        <vertAlign val="baseline"/>
        <sz val="11"/>
        <color auto="1"/>
        <name val="Calibri"/>
        <family val="2"/>
        <scheme val="none"/>
      </font>
    </dxf>
    <dxf>
      <numFmt numFmtId="19" formatCode="m/d/yy"/>
    </dxf>
    <dxf>
      <numFmt numFmtId="19" formatCode="m/d/yy"/>
    </dxf>
    <dxf>
      <numFmt numFmtId="0" formatCode="General"/>
    </dxf>
    <dxf>
      <numFmt numFmtId="0" formatCode="General"/>
    </dxf>
    <dxf>
      <numFmt numFmtId="19" formatCode="m/d/yy"/>
    </dxf>
    <dxf>
      <numFmt numFmtId="0" formatCode="General"/>
    </dxf>
    <dxf>
      <numFmt numFmtId="0" formatCode="General"/>
    </dxf>
    <dxf>
      <numFmt numFmtId="19" formatCode="m/d/yy"/>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[Experiment_Data.xlsx]Pivot Data!PivotTable1</c:name>
    <c:fmtId val="7"/>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Dogs in PetPoint by Stage</a:t>
            </a:r>
          </a:p>
        </c:rich>
      </c:tx>
      <c:layout>
        <c:manualLayout>
          <c:xMode val="edge"/>
          <c:yMode val="edge"/>
          <c:x val="0.40616926345590276"/>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1"/>
          <c:showSerName val="0"/>
          <c:showPercent val="1"/>
          <c:showBubbleSize val="0"/>
          <c:extLst>
            <c:ext xmlns:c15="http://schemas.microsoft.com/office/drawing/2012/chart" uri="{CE6537A1-D6FC-4f65-9D91-7224C49458BB}"/>
          </c:extLst>
        </c:dLbl>
      </c:pivotFmt>
      <c:pivotFmt>
        <c:idx val="1"/>
        <c:dLbl>
          <c:idx val="0"/>
          <c:showLegendKey val="0"/>
          <c:showVal val="0"/>
          <c:showCatName val="1"/>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dLbl>
          <c:idx val="0"/>
          <c:showLegendKey val="0"/>
          <c:showVal val="1"/>
          <c:showCatName val="1"/>
          <c:showSerName val="0"/>
          <c:showPercent val="0"/>
          <c:showBubbleSize val="0"/>
          <c:separator>
</c:separator>
          <c:extLst>
            <c:ext xmlns:c15="http://schemas.microsoft.com/office/drawing/2012/chart" uri="{CE6537A1-D6FC-4f65-9D91-7224C49458BB}"/>
          </c:extLst>
        </c:dLbl>
      </c:pivotFmt>
      <c:pivotFmt>
        <c:idx val="18"/>
        <c:dLbl>
          <c:idx val="0"/>
          <c:layout>
            <c:manualLayout>
              <c:x val="4.9037879122628032E-2"/>
              <c:y val="0.40676725239038647"/>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19"/>
        <c:dLbl>
          <c:idx val="0"/>
          <c:layout>
            <c:manualLayout>
              <c:x val="0.12934487810960782"/>
              <c:y val="0.13685503968354049"/>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20"/>
        <c:dLbl>
          <c:idx val="0"/>
          <c:layout>
            <c:manualLayout>
              <c:x val="-0.1114907839029859"/>
              <c:y val="0.19084718520410793"/>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3898176408164023"/>
                  <c:h val="9.7686250757116899E-2"/>
                </c:manualLayout>
              </c15:layout>
            </c:ext>
          </c:extLst>
        </c:dLbl>
      </c:pivotFmt>
      <c:pivotFmt>
        <c:idx val="21"/>
        <c:dLbl>
          <c:idx val="0"/>
          <c:layout>
            <c:manualLayout>
              <c:x val="-0.31457974151836354"/>
              <c:y val="0.16888994628825413"/>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9870656184640842"/>
                  <c:h val="0.12638212634484938"/>
                </c:manualLayout>
              </c15:layout>
            </c:ext>
          </c:extLst>
        </c:dLbl>
      </c:pivotFmt>
      <c:pivotFmt>
        <c:idx val="22"/>
        <c:dLbl>
          <c:idx val="0"/>
          <c:layout>
            <c:manualLayout>
              <c:x val="-0.31854717772792523"/>
              <c:y val="0.13053796167268397"/>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4339650235265914"/>
                  <c:h val="0.10201504016594835"/>
                </c:manualLayout>
              </c15:layout>
            </c:ext>
          </c:extLst>
        </c:dLbl>
      </c:pivotFmt>
      <c:pivotFmt>
        <c:idx val="23"/>
        <c:dLbl>
          <c:idx val="0"/>
          <c:layout>
            <c:manualLayout>
              <c:x val="-0.34585429115413446"/>
              <c:y val="0.12879745551704819"/>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0942790726014432"/>
                  <c:h val="8.7769751044577793E-2"/>
                </c:manualLayout>
              </c15:layout>
            </c:ext>
          </c:extLst>
        </c:dLbl>
      </c:pivotFmt>
      <c:pivotFmt>
        <c:idx val="24"/>
        <c:dLbl>
          <c:idx val="0"/>
          <c:layout>
            <c:manualLayout>
              <c:x val="-0.39195462122637026"/>
              <c:y val="9.7468344715604033E-2"/>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25"/>
        <c:dLbl>
          <c:idx val="0"/>
          <c:layout>
            <c:manualLayout>
              <c:x val="-0.45015111528909768"/>
              <c:y val="3.8291135423987301E-2"/>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26"/>
        <c:dLbl>
          <c:idx val="0"/>
          <c:layout>
            <c:manualLayout>
              <c:x val="-0.470143088721242"/>
              <c:y val="-0.16360757862976391"/>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27"/>
        <c:dLbl>
          <c:idx val="0"/>
          <c:layout>
            <c:manualLayout>
              <c:x val="-0.46834810205531652"/>
              <c:y val="-3.1329110801444154E-2"/>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4140222631591912"/>
                  <c:h val="9.8534027854676784E-2"/>
                </c:manualLayout>
              </c15:layout>
            </c:ext>
          </c:extLst>
        </c:dLbl>
      </c:pivotFmt>
      <c:pivotFmt>
        <c:idx val="28"/>
        <c:dLbl>
          <c:idx val="0"/>
          <c:layout>
            <c:manualLayout>
              <c:x val="-0.23282187877276411"/>
              <c:y val="-0.15838606016285656"/>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4564608851152589"/>
                  <c:h val="0.10201504016594835"/>
                </c:manualLayout>
              </c15:layout>
            </c:ext>
          </c:extLst>
        </c:dLbl>
      </c:pivotFmt>
      <c:pivotFmt>
        <c:idx val="29"/>
        <c:dLbl>
          <c:idx val="0"/>
          <c:layout>
            <c:manualLayout>
              <c:x val="-2.4744373090591684E-2"/>
              <c:y val="-0.15316454169594923"/>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30"/>
        <c:dLbl>
          <c:idx val="0"/>
          <c:layout>
            <c:manualLayout>
              <c:x val="1.7995907702248414E-2"/>
              <c:y val="0.16360757862976391"/>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31"/>
        <c:dLbl>
          <c:idx val="0"/>
          <c:layout>
            <c:manualLayout>
              <c:x val="0.18895703087360904"/>
              <c:y val="-0.15664555400722077"/>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32"/>
        <c:dLbl>
          <c:idx val="0"/>
          <c:layout>
            <c:manualLayout>
              <c:x val="0.24686674597146727"/>
              <c:y val="-8.1182963103462267E-3"/>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14759673154640107"/>
                  <c:h val="0.15686345989599718"/>
                </c:manualLayout>
              </c15:layout>
            </c:ext>
          </c:extLst>
        </c:dLbl>
      </c:pivotFmt>
      <c:pivotFmt>
        <c:idx val="33"/>
        <c:dLbl>
          <c:idx val="0"/>
          <c:showLegendKey val="0"/>
          <c:showVal val="1"/>
          <c:showCatName val="1"/>
          <c:showSerName val="0"/>
          <c:showPercent val="0"/>
          <c:showBubbleSize val="0"/>
          <c:separator>
</c:separator>
          <c:extLst>
            <c:ext xmlns:c15="http://schemas.microsoft.com/office/drawing/2012/chart" uri="{CE6537A1-D6FC-4f65-9D91-7224C49458BB}"/>
          </c:extLst>
        </c:dLbl>
      </c:pivotFmt>
      <c:pivotFmt>
        <c:idx val="34"/>
        <c:dLbl>
          <c:idx val="0"/>
          <c:layout>
            <c:manualLayout>
              <c:x val="4.9037879122628032E-2"/>
              <c:y val="0.40676725239038647"/>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35"/>
        <c:dLbl>
          <c:idx val="0"/>
          <c:layout>
            <c:manualLayout>
              <c:x val="0.12934487810960782"/>
              <c:y val="0.13685503968354049"/>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36"/>
        <c:dLbl>
          <c:idx val="0"/>
          <c:layout>
            <c:manualLayout>
              <c:x val="-0.1114907839029859"/>
              <c:y val="0.19084718520410793"/>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3898176408164023"/>
                  <c:h val="9.7686250757116899E-2"/>
                </c:manualLayout>
              </c15:layout>
            </c:ext>
          </c:extLst>
        </c:dLbl>
      </c:pivotFmt>
      <c:pivotFmt>
        <c:idx val="37"/>
        <c:dLbl>
          <c:idx val="0"/>
          <c:layout>
            <c:manualLayout>
              <c:x val="-0.31457974151836354"/>
              <c:y val="0.16888994628825413"/>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9870656184640842"/>
                  <c:h val="0.12638212634484938"/>
                </c:manualLayout>
              </c15:layout>
            </c:ext>
          </c:extLst>
        </c:dLbl>
      </c:pivotFmt>
      <c:pivotFmt>
        <c:idx val="38"/>
        <c:dLbl>
          <c:idx val="0"/>
          <c:layout>
            <c:manualLayout>
              <c:x val="-0.31854717772792523"/>
              <c:y val="0.13053796167268397"/>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4339650235265914"/>
                  <c:h val="0.10201504016594835"/>
                </c:manualLayout>
              </c15:layout>
            </c:ext>
          </c:extLst>
        </c:dLbl>
      </c:pivotFmt>
      <c:pivotFmt>
        <c:idx val="39"/>
        <c:dLbl>
          <c:idx val="0"/>
          <c:layout>
            <c:manualLayout>
              <c:x val="-0.34585429115413446"/>
              <c:y val="0.12879745551704819"/>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0942790726014432"/>
                  <c:h val="8.7769751044577793E-2"/>
                </c:manualLayout>
              </c15:layout>
            </c:ext>
          </c:extLst>
        </c:dLbl>
      </c:pivotFmt>
      <c:pivotFmt>
        <c:idx val="40"/>
        <c:dLbl>
          <c:idx val="0"/>
          <c:layout>
            <c:manualLayout>
              <c:x val="-0.39195462122637026"/>
              <c:y val="9.7468344715604033E-2"/>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41"/>
        <c:dLbl>
          <c:idx val="0"/>
          <c:layout>
            <c:manualLayout>
              <c:x val="-0.45015111528909768"/>
              <c:y val="3.8291135423987301E-2"/>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42"/>
        <c:dLbl>
          <c:idx val="0"/>
          <c:layout>
            <c:manualLayout>
              <c:x val="-0.470143088721242"/>
              <c:y val="-0.16360757862976391"/>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43"/>
        <c:dLbl>
          <c:idx val="0"/>
          <c:layout>
            <c:manualLayout>
              <c:x val="-0.46834810205531652"/>
              <c:y val="-3.1329110801444154E-2"/>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4140222631591912"/>
                  <c:h val="9.8534027854676784E-2"/>
                </c:manualLayout>
              </c15:layout>
            </c:ext>
          </c:extLst>
        </c:dLbl>
      </c:pivotFmt>
      <c:pivotFmt>
        <c:idx val="44"/>
        <c:dLbl>
          <c:idx val="0"/>
          <c:layout>
            <c:manualLayout>
              <c:x val="-0.23282187877276411"/>
              <c:y val="-0.15838606016285656"/>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24564608851152589"/>
                  <c:h val="0.10201504016594835"/>
                </c:manualLayout>
              </c15:layout>
            </c:ext>
          </c:extLst>
        </c:dLbl>
      </c:pivotFmt>
      <c:pivotFmt>
        <c:idx val="45"/>
        <c:dLbl>
          <c:idx val="0"/>
          <c:layout>
            <c:manualLayout>
              <c:x val="-2.4744373090591684E-2"/>
              <c:y val="-0.15316454169594923"/>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46"/>
        <c:dLbl>
          <c:idx val="0"/>
          <c:layout>
            <c:manualLayout>
              <c:x val="1.7995907702248414E-2"/>
              <c:y val="0.16360757862976391"/>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47"/>
        <c:dLbl>
          <c:idx val="0"/>
          <c:layout>
            <c:manualLayout>
              <c:x val="0.18895703087360904"/>
              <c:y val="-0.15664555400722077"/>
            </c:manualLayout>
          </c:layout>
          <c:showLegendKey val="0"/>
          <c:showVal val="1"/>
          <c:showCatName val="1"/>
          <c:showSerName val="0"/>
          <c:showPercent val="0"/>
          <c:showBubbleSize val="0"/>
          <c:separator>
</c:separator>
          <c:extLst>
            <c:ext xmlns:c15="http://schemas.microsoft.com/office/drawing/2012/chart" uri="{CE6537A1-D6FC-4f65-9D91-7224C49458BB}"/>
          </c:extLst>
        </c:dLbl>
      </c:pivotFmt>
      <c:pivotFmt>
        <c:idx val="48"/>
        <c:dLbl>
          <c:idx val="0"/>
          <c:layout>
            <c:manualLayout>
              <c:x val="0.24686674597146727"/>
              <c:y val="-8.1182963103462267E-3"/>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14759673154640107"/>
                  <c:h val="0.15686345989599718"/>
                </c:manualLayout>
              </c15:layout>
            </c:ext>
          </c:extLst>
        </c:dLbl>
      </c:pivotFmt>
      <c:pivotFmt>
        <c:idx val="4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a:outerShdw blurRad="254000" sx="102000" sy="102000" algn="ctr" rotWithShape="0">
              <a:prstClr val="black">
                <a:alpha val="20000"/>
              </a:prstClr>
            </a:outerShdw>
          </a:effectLst>
        </c:spPr>
      </c:pivotFmt>
      <c:pivotFmt>
        <c:idx val="51"/>
        <c:spPr>
          <a:solidFill>
            <a:schemeClr val="accent1"/>
          </a:solidFill>
          <a:ln>
            <a:noFill/>
          </a:ln>
          <a:effectLst>
            <a:outerShdw blurRad="254000" sx="102000" sy="102000" algn="ctr" rotWithShape="0">
              <a:prstClr val="black">
                <a:alpha val="20000"/>
              </a:prstClr>
            </a:outerShdw>
          </a:effectLst>
        </c:spPr>
      </c:pivotFmt>
      <c:pivotFmt>
        <c:idx val="52"/>
        <c:spPr>
          <a:solidFill>
            <a:schemeClr val="accent1"/>
          </a:solidFill>
          <a:ln>
            <a:noFill/>
          </a:ln>
          <a:effectLst>
            <a:outerShdw blurRad="254000" sx="102000" sy="102000" algn="ctr" rotWithShape="0">
              <a:prstClr val="black">
                <a:alpha val="20000"/>
              </a:prstClr>
            </a:outerShdw>
          </a:effectLst>
        </c:spPr>
      </c:pivotFmt>
      <c:pivotFmt>
        <c:idx val="53"/>
        <c:spPr>
          <a:solidFill>
            <a:schemeClr val="accent1"/>
          </a:solidFill>
          <a:ln>
            <a:noFill/>
          </a:ln>
          <a:effectLst>
            <a:outerShdw blurRad="254000" sx="102000" sy="102000" algn="ctr" rotWithShape="0">
              <a:prstClr val="black">
                <a:alpha val="20000"/>
              </a:prstClr>
            </a:outerShdw>
          </a:effectLst>
        </c:spPr>
      </c:pivotFmt>
      <c:pivotFmt>
        <c:idx val="54"/>
        <c:spPr>
          <a:solidFill>
            <a:schemeClr val="accent1"/>
          </a:solidFill>
          <a:ln>
            <a:noFill/>
          </a:ln>
          <a:effectLst>
            <a:outerShdw blurRad="254000" sx="102000" sy="102000" algn="ctr" rotWithShape="0">
              <a:prstClr val="black">
                <a:alpha val="20000"/>
              </a:prstClr>
            </a:outerShdw>
          </a:effectLst>
        </c:spPr>
      </c:pivotFmt>
      <c:pivotFmt>
        <c:idx val="55"/>
        <c:spPr>
          <a:solidFill>
            <a:schemeClr val="accent1"/>
          </a:solidFill>
          <a:ln>
            <a:noFill/>
          </a:ln>
          <a:effectLst>
            <a:outerShdw blurRad="254000" sx="102000" sy="102000" algn="ctr" rotWithShape="0">
              <a:prstClr val="black">
                <a:alpha val="20000"/>
              </a:prstClr>
            </a:outerShdw>
          </a:effectLst>
        </c:spPr>
      </c:pivotFmt>
      <c:pivotFmt>
        <c:idx val="56"/>
        <c:spPr>
          <a:solidFill>
            <a:schemeClr val="accent1"/>
          </a:solidFill>
          <a:ln>
            <a:noFill/>
          </a:ln>
          <a:effectLst>
            <a:outerShdw blurRad="254000" sx="102000" sy="102000" algn="ctr" rotWithShape="0">
              <a:prstClr val="black">
                <a:alpha val="20000"/>
              </a:prstClr>
            </a:outerShdw>
          </a:effectLst>
        </c:spPr>
      </c:pivotFmt>
      <c:pivotFmt>
        <c:idx val="57"/>
        <c:spPr>
          <a:solidFill>
            <a:schemeClr val="accent1"/>
          </a:solidFill>
          <a:ln>
            <a:noFill/>
          </a:ln>
          <a:effectLst>
            <a:outerShdw blurRad="254000" sx="102000" sy="102000" algn="ctr" rotWithShape="0">
              <a:prstClr val="black">
                <a:alpha val="20000"/>
              </a:prstClr>
            </a:outerShdw>
          </a:effectLst>
        </c:spPr>
        <c:dLbl>
          <c:idx val="0"/>
          <c:layout>
            <c:manualLayout>
              <c:x val="-2.8830642415166179E-2"/>
              <c:y val="-4.8734172357802016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a:outerShdw blurRad="254000" sx="102000" sy="102000" algn="ctr" rotWithShape="0">
              <a:prstClr val="black">
                <a:alpha val="20000"/>
              </a:prstClr>
            </a:outerShdw>
          </a:effectLst>
        </c:spPr>
        <c:dLbl>
          <c:idx val="0"/>
          <c:layout>
            <c:manualLayout>
              <c:x val="-1.9959675518191985E-2"/>
              <c:y val="-5.917720929161673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a:outerShdw blurRad="254000" sx="102000" sy="102000" algn="ctr" rotWithShape="0">
              <a:prstClr val="black">
                <a:alpha val="20000"/>
              </a:prstClr>
            </a:outerShdw>
          </a:effectLst>
        </c:spPr>
        <c:dLbl>
          <c:idx val="0"/>
          <c:layout>
            <c:manualLayout>
              <c:x val="-1.7741933793948395E-2"/>
              <c:y val="-6.962024622543144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a:outerShdw blurRad="254000" sx="102000" sy="102000" algn="ctr" rotWithShape="0">
              <a:prstClr val="black">
                <a:alpha val="20000"/>
              </a:prstClr>
            </a:outerShdw>
          </a:effectLst>
        </c:spPr>
        <c:dLbl>
          <c:idx val="0"/>
          <c:layout>
            <c:manualLayout>
              <c:x val="-1.1088708621217786E-2"/>
              <c:y val="-8.354429547051774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a:outerShdw blurRad="254000" sx="102000" sy="102000" algn="ctr" rotWithShape="0">
              <a:prstClr val="black">
                <a:alpha val="20000"/>
              </a:prstClr>
            </a:outerShdw>
          </a:effectLst>
        </c:spPr>
        <c:dLbl>
          <c:idx val="0"/>
          <c:layout>
            <c:manualLayout>
              <c:x val="-2.1026153765753366E-2"/>
              <c:y val="-0.1330094721416127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a:outerShdw blurRad="254000" sx="102000" sy="102000" algn="ctr" rotWithShape="0">
              <a:prstClr val="black">
                <a:alpha val="20000"/>
              </a:prstClr>
            </a:outerShdw>
          </a:effectLst>
        </c:spPr>
        <c:dLbl>
          <c:idx val="0"/>
          <c:layout>
            <c:manualLayout>
              <c:x val="0"/>
              <c:y val="-0.13533998084945759"/>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a:outerShdw blurRad="254000" sx="102000" sy="102000" algn="ctr" rotWithShape="0">
              <a:prstClr val="black">
                <a:alpha val="20000"/>
              </a:prstClr>
            </a:outerShdw>
          </a:effectLst>
        </c:spPr>
        <c:dLbl>
          <c:idx val="0"/>
          <c:layout>
            <c:manualLayout>
              <c:x val="2.3776982701836882E-2"/>
              <c:y val="-0.1376704895573024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a:outerShdw blurRad="254000" sx="102000" sy="102000" algn="ctr" rotWithShape="0">
              <a:prstClr val="black">
                <a:alpha val="20000"/>
              </a:prstClr>
            </a:outerShdw>
          </a:effectLst>
        </c:spPr>
        <c:dLbl>
          <c:idx val="0"/>
          <c:layout>
            <c:manualLayout>
              <c:x val="5.2953689140280744E-2"/>
              <c:y val="-0.1229825960545772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8554002277700682E-2"/>
                  <c:h val="3.07744592394027E-2"/>
                </c:manualLayout>
              </c15:layout>
            </c:ext>
          </c:extLst>
        </c:dLbl>
      </c:pivotFmt>
    </c:pivotFmts>
    <c:plotArea>
      <c:layout>
        <c:manualLayout>
          <c:layoutTarget val="inner"/>
          <c:xMode val="edge"/>
          <c:yMode val="edge"/>
          <c:x val="2.5111122830411209E-4"/>
          <c:y val="0.18161559275193573"/>
          <c:w val="0.63064856197784847"/>
          <c:h val="0.9740533016990629"/>
        </c:manualLayout>
      </c:layout>
      <c:doughnutChart>
        <c:varyColors val="1"/>
        <c:ser>
          <c:idx val="0"/>
          <c:order val="0"/>
          <c:tx>
            <c:strRef>
              <c:f>'Pivot Data'!$B$5</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579-8A45-95E1-FE8AC029D8DC}"/>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579-8A45-95E1-FE8AC029D8DC}"/>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579-8A45-95E1-FE8AC029D8DC}"/>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1579-8A45-95E1-FE8AC029D8DC}"/>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1579-8A45-95E1-FE8AC029D8DC}"/>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1579-8A45-95E1-FE8AC029D8DC}"/>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1579-8A45-95E1-FE8AC029D8DC}"/>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1579-8A45-95E1-FE8AC029D8DC}"/>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1579-8A45-95E1-FE8AC029D8DC}"/>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1579-8A45-95E1-FE8AC029D8DC}"/>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1579-8A45-95E1-FE8AC029D8DC}"/>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1579-8A45-95E1-FE8AC029D8DC}"/>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1579-8A45-95E1-FE8AC029D8DC}"/>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B-1579-8A45-95E1-FE8AC029D8DC}"/>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D-1579-8A45-95E1-FE8AC029D8DC}"/>
              </c:ext>
            </c:extLst>
          </c:dPt>
          <c:dLbls>
            <c:dLbl>
              <c:idx val="6"/>
              <c:layout>
                <c:manualLayout>
                  <c:x val="2.3776982701836882E-2"/>
                  <c:y val="-0.1376704895573024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1579-8A45-95E1-FE8AC029D8DC}"/>
                </c:ext>
              </c:extLst>
            </c:dLbl>
            <c:dLbl>
              <c:idx val="7"/>
              <c:layout>
                <c:manualLayout>
                  <c:x val="-1.9959675518191985E-2"/>
                  <c:y val="-5.917720929161673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1579-8A45-95E1-FE8AC029D8DC}"/>
                </c:ext>
              </c:extLst>
            </c:dLbl>
            <c:dLbl>
              <c:idx val="8"/>
              <c:layout>
                <c:manualLayout>
                  <c:x val="-2.8830642415166179E-2"/>
                  <c:y val="-4.87341723578020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1579-8A45-95E1-FE8AC029D8DC}"/>
                </c:ext>
              </c:extLst>
            </c:dLbl>
            <c:dLbl>
              <c:idx val="9"/>
              <c:layout>
                <c:manualLayout>
                  <c:x val="-1.1088708621217786E-2"/>
                  <c:y val="-8.3544295470517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1579-8A45-95E1-FE8AC029D8DC}"/>
                </c:ext>
              </c:extLst>
            </c:dLbl>
            <c:dLbl>
              <c:idx val="10"/>
              <c:layout>
                <c:manualLayout>
                  <c:x val="0"/>
                  <c:y val="-0.1353399808494575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1579-8A45-95E1-FE8AC029D8DC}"/>
                </c:ext>
              </c:extLst>
            </c:dLbl>
            <c:dLbl>
              <c:idx val="11"/>
              <c:layout>
                <c:manualLayout>
                  <c:x val="5.2953689140280744E-2"/>
                  <c:y val="-0.1229825960545772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8554002277700682E-2"/>
                      <c:h val="3.07744592394027E-2"/>
                    </c:manualLayout>
                  </c15:layout>
                </c:ext>
                <c:ext xmlns:c16="http://schemas.microsoft.com/office/drawing/2014/chart" uri="{C3380CC4-5D6E-409C-BE32-E72D297353CC}">
                  <c16:uniqueId val="{00000017-1579-8A45-95E1-FE8AC029D8DC}"/>
                </c:ext>
              </c:extLst>
            </c:dLbl>
            <c:dLbl>
              <c:idx val="12"/>
              <c:layout>
                <c:manualLayout>
                  <c:x val="-2.1026153765753366E-2"/>
                  <c:y val="-0.1330094721416127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1579-8A45-95E1-FE8AC029D8DC}"/>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Data'!$A$6:$A$19</c:f>
              <c:strCache>
                <c:ptCount val="13"/>
                <c:pt idx="0">
                  <c:v>Available</c:v>
                </c:pt>
                <c:pt idx="1">
                  <c:v>Pending Surgery</c:v>
                </c:pt>
                <c:pt idx="2">
                  <c:v>Protective Custody</c:v>
                </c:pt>
                <c:pt idx="3">
                  <c:v>Pending Behavior Assessment</c:v>
                </c:pt>
                <c:pt idx="4">
                  <c:v>Pending Surgery Foster to Adopt</c:v>
                </c:pt>
                <c:pt idx="5">
                  <c:v>5 day Stray hold</c:v>
                </c:pt>
                <c:pt idx="6">
                  <c:v>10 day stray hold</c:v>
                </c:pt>
                <c:pt idx="7">
                  <c:v>Foster to Adopt</c:v>
                </c:pt>
                <c:pt idx="8">
                  <c:v>Pre-adopted</c:v>
                </c:pt>
                <c:pt idx="9">
                  <c:v>Pending Surgery PreAdopt</c:v>
                </c:pt>
                <c:pt idx="10">
                  <c:v>Bite Quarantine</c:v>
                </c:pt>
                <c:pt idx="11">
                  <c:v>Pending Medical Assessment</c:v>
                </c:pt>
                <c:pt idx="12">
                  <c:v>Medical Treatment</c:v>
                </c:pt>
              </c:strCache>
            </c:strRef>
          </c:cat>
          <c:val>
            <c:numRef>
              <c:f>'Pivot Data'!$B$6:$B$19</c:f>
              <c:numCache>
                <c:formatCode>General</c:formatCode>
                <c:ptCount val="13"/>
                <c:pt idx="0">
                  <c:v>69</c:v>
                </c:pt>
                <c:pt idx="1">
                  <c:v>26</c:v>
                </c:pt>
                <c:pt idx="2">
                  <c:v>14</c:v>
                </c:pt>
                <c:pt idx="3">
                  <c:v>11</c:v>
                </c:pt>
                <c:pt idx="4">
                  <c:v>6</c:v>
                </c:pt>
                <c:pt idx="5">
                  <c:v>6</c:v>
                </c:pt>
                <c:pt idx="6">
                  <c:v>5</c:v>
                </c:pt>
                <c:pt idx="7">
                  <c:v>4</c:v>
                </c:pt>
                <c:pt idx="8">
                  <c:v>2</c:v>
                </c:pt>
                <c:pt idx="9">
                  <c:v>2</c:v>
                </c:pt>
                <c:pt idx="10">
                  <c:v>1</c:v>
                </c:pt>
                <c:pt idx="11">
                  <c:v>1</c:v>
                </c:pt>
                <c:pt idx="12">
                  <c:v>1</c:v>
                </c:pt>
              </c:numCache>
            </c:numRef>
          </c:val>
          <c:extLst>
            <c:ext xmlns:c16="http://schemas.microsoft.com/office/drawing/2014/chart" uri="{C3380CC4-5D6E-409C-BE32-E72D297353CC}">
              <c16:uniqueId val="{0000001E-1579-8A45-95E1-FE8AC029D8DC}"/>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66475009543274421"/>
          <c:y val="8.9677364292480452E-2"/>
          <c:w val="0.32194345422179443"/>
          <c:h val="0.79113286277187356"/>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000" b="1"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10000"/>
        <a:lumOff val="90000"/>
      </a:schemeClr>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[Experiment_Data.xlsx]Pivot Data!PivotTable2</c:name>
    <c:fmtId val="1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Dogs in PetPoint by Location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6.87416512086233E-2"/>
                  <c:h val="3.0197765976927304E-2"/>
                </c:manualLayout>
              </c15:layout>
            </c:ext>
          </c:extLst>
        </c:dLbl>
      </c:pivotFmt>
      <c:pivotFmt>
        <c:idx val="4"/>
        <c:spPr>
          <a:solidFill>
            <a:schemeClr val="accent1">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s>
    <c:plotArea>
      <c:layout/>
      <c:barChart>
        <c:barDir val="bar"/>
        <c:grouping val="clustered"/>
        <c:varyColors val="0"/>
        <c:ser>
          <c:idx val="0"/>
          <c:order val="0"/>
          <c:tx>
            <c:strRef>
              <c:f>'Pivot Data'!$B$26</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Pt>
            <c:idx val="6"/>
            <c:invertIfNegative val="0"/>
            <c:bubble3D val="0"/>
            <c:spPr>
              <a:solidFill>
                <a:schemeClr val="accent1">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1-2AE3-0F4A-B8DA-BEE5AFC162EC}"/>
              </c:ext>
            </c:extLst>
          </c:dPt>
          <c:dPt>
            <c:idx val="8"/>
            <c:invertIfNegative val="0"/>
            <c:bubble3D val="0"/>
            <c:extLst>
              <c:ext xmlns:c16="http://schemas.microsoft.com/office/drawing/2014/chart" uri="{C3380CC4-5D6E-409C-BE32-E72D297353CC}">
                <c16:uniqueId val="{00000001-D5DC-6C47-9076-297A5FEBB20D}"/>
              </c:ext>
            </c:extLst>
          </c:dPt>
          <c:dPt>
            <c:idx val="9"/>
            <c:invertIfNegative val="0"/>
            <c:bubble3D val="0"/>
            <c:spPr>
              <a:solidFill>
                <a:schemeClr val="accent1">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2-53EC-0D46-BCD5-DDD98EC54E14}"/>
              </c:ext>
            </c:extLst>
          </c:dPt>
          <c:dLbls>
            <c:dLbl>
              <c:idx val="6"/>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6.87416512086233E-2"/>
                      <c:h val="3.0197765976927304E-2"/>
                    </c:manualLayout>
                  </c15:layout>
                </c:ext>
                <c:ext xmlns:c16="http://schemas.microsoft.com/office/drawing/2014/chart" uri="{C3380CC4-5D6E-409C-BE32-E72D297353CC}">
                  <c16:uniqueId val="{00000001-2AE3-0F4A-B8DA-BEE5AFC162EC}"/>
                </c:ext>
              </c:extLst>
            </c:dLbl>
            <c:dLbl>
              <c:idx val="9"/>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2-53EC-0D46-BCD5-DDD98EC54E14}"/>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Data'!$A$27:$A$37</c:f>
              <c:strCache>
                <c:ptCount val="10"/>
                <c:pt idx="0">
                  <c:v>Foster home</c:v>
                </c:pt>
                <c:pt idx="1">
                  <c:v>Adoption Kennels</c:v>
                </c:pt>
                <c:pt idx="2">
                  <c:v>Holding Kennel</c:v>
                </c:pt>
                <c:pt idx="3">
                  <c:v>Medical Kennel</c:v>
                </c:pt>
                <c:pt idx="4">
                  <c:v>Teen Pens</c:v>
                </c:pt>
                <c:pt idx="5">
                  <c:v>Equipment Storage Area</c:v>
                </c:pt>
                <c:pt idx="6">
                  <c:v>Pawtio</c:v>
                </c:pt>
                <c:pt idx="7">
                  <c:v>Pit Pens</c:v>
                </c:pt>
                <c:pt idx="8">
                  <c:v>Medical Lobby Cages</c:v>
                </c:pt>
                <c:pt idx="9">
                  <c:v>Admin Office</c:v>
                </c:pt>
              </c:strCache>
            </c:strRef>
          </c:cat>
          <c:val>
            <c:numRef>
              <c:f>'Pivot Data'!$B$27:$B$37</c:f>
              <c:numCache>
                <c:formatCode>General</c:formatCode>
                <c:ptCount val="10"/>
                <c:pt idx="0">
                  <c:v>42</c:v>
                </c:pt>
                <c:pt idx="1">
                  <c:v>21</c:v>
                </c:pt>
                <c:pt idx="2">
                  <c:v>20</c:v>
                </c:pt>
                <c:pt idx="3">
                  <c:v>17</c:v>
                </c:pt>
                <c:pt idx="4">
                  <c:v>12</c:v>
                </c:pt>
                <c:pt idx="5">
                  <c:v>11</c:v>
                </c:pt>
                <c:pt idx="6">
                  <c:v>9</c:v>
                </c:pt>
                <c:pt idx="7">
                  <c:v>8</c:v>
                </c:pt>
                <c:pt idx="8">
                  <c:v>6</c:v>
                </c:pt>
                <c:pt idx="9">
                  <c:v>2</c:v>
                </c:pt>
              </c:numCache>
            </c:numRef>
          </c:val>
          <c:extLst>
            <c:ext xmlns:c16="http://schemas.microsoft.com/office/drawing/2014/chart" uri="{C3380CC4-5D6E-409C-BE32-E72D297353CC}">
              <c16:uniqueId val="{00000000-D5DC-6C47-9076-297A5FEBB20D}"/>
            </c:ext>
          </c:extLst>
        </c:ser>
        <c:dLbls>
          <c:dLblPos val="inEnd"/>
          <c:showLegendKey val="0"/>
          <c:showVal val="1"/>
          <c:showCatName val="0"/>
          <c:showSerName val="0"/>
          <c:showPercent val="0"/>
          <c:showBubbleSize val="0"/>
        </c:dLbls>
        <c:gapWidth val="65"/>
        <c:axId val="409360703"/>
        <c:axId val="409362415"/>
      </c:barChart>
      <c:catAx>
        <c:axId val="40936070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409362415"/>
        <c:crosses val="autoZero"/>
        <c:auto val="1"/>
        <c:lblAlgn val="ctr"/>
        <c:lblOffset val="100"/>
        <c:noMultiLvlLbl val="0"/>
      </c:catAx>
      <c:valAx>
        <c:axId val="409362415"/>
        <c:scaling>
          <c:orientation val="minMax"/>
          <c:max val="60"/>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409360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10000"/>
        <a:lumOff val="90000"/>
      </a:schemeClr>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[Experiment_Data.xlsx]Pivot Data!PivotTable4</c:name>
    <c:fmtId val="0"/>
  </c:pivotSource>
  <c:chart>
    <c:autoTitleDeleted val="1"/>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pPr>
            <a:solidFill>
              <a:schemeClr val="accent1"/>
            </a:solidFill>
            <a:ln w="9525">
              <a:solidFill>
                <a:schemeClr val="lt1"/>
              </a:solidFill>
            </a:ln>
            <a:effectLst/>
          </c:spPr>
        </c:marker>
        <c:dLbl>
          <c:idx val="0"/>
          <c:showLegendKey val="0"/>
          <c:showVal val="0"/>
          <c:showCatName val="1"/>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1147924321959755"/>
          <c:y val="6.6263500527001057E-2"/>
          <c:w val="0.78550503062117238"/>
          <c:h val="0.94532556265112533"/>
        </c:manualLayout>
      </c:layout>
      <c:doughnutChart>
        <c:varyColors val="1"/>
        <c:ser>
          <c:idx val="0"/>
          <c:order val="0"/>
          <c:tx>
            <c:strRef>
              <c:f>'Pivot Data'!$L$5</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3F60-A547-88AD-0F6E7D822D31}"/>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3F60-A547-88AD-0F6E7D822D3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Data'!$K$6:$K$8</c:f>
              <c:strCache>
                <c:ptCount val="2"/>
                <c:pt idx="0">
                  <c:v>Non-Stigma</c:v>
                </c:pt>
                <c:pt idx="1">
                  <c:v>Stigma</c:v>
                </c:pt>
              </c:strCache>
            </c:strRef>
          </c:cat>
          <c:val>
            <c:numRef>
              <c:f>'Pivot Data'!$L$6:$L$8</c:f>
              <c:numCache>
                <c:formatCode>General</c:formatCode>
                <c:ptCount val="2"/>
                <c:pt idx="0">
                  <c:v>81.309090909090912</c:v>
                </c:pt>
                <c:pt idx="1">
                  <c:v>137.66363636363639</c:v>
                </c:pt>
              </c:numCache>
            </c:numRef>
          </c:val>
          <c:extLst>
            <c:ext xmlns:c16="http://schemas.microsoft.com/office/drawing/2014/chart" uri="{C3380CC4-5D6E-409C-BE32-E72D297353CC}">
              <c16:uniqueId val="{00000002-363B-9944-A434-3932DE9B4D91}"/>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xdr:col>
      <xdr:colOff>23089</xdr:colOff>
      <xdr:row>10</xdr:row>
      <xdr:rowOff>2</xdr:rowOff>
    </xdr:from>
    <xdr:to>
      <xdr:col>7</xdr:col>
      <xdr:colOff>727362</xdr:colOff>
      <xdr:row>37</xdr:row>
      <xdr:rowOff>150093</xdr:rowOff>
    </xdr:to>
    <xdr:graphicFrame macro="">
      <xdr:nvGraphicFramePr>
        <xdr:cNvPr id="3" name="Chart 2">
          <a:extLst>
            <a:ext uri="{FF2B5EF4-FFF2-40B4-BE49-F238E27FC236}">
              <a16:creationId xmlns:a16="http://schemas.microsoft.com/office/drawing/2014/main" id="{C12DD238-1AD7-8D41-A948-3208B81882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796638</xdr:colOff>
      <xdr:row>10</xdr:row>
      <xdr:rowOff>0</xdr:rowOff>
    </xdr:from>
    <xdr:to>
      <xdr:col>11</xdr:col>
      <xdr:colOff>1173021</xdr:colOff>
      <xdr:row>37</xdr:row>
      <xdr:rowOff>161637</xdr:rowOff>
    </xdr:to>
    <xdr:graphicFrame macro="">
      <xdr:nvGraphicFramePr>
        <xdr:cNvPr id="4" name="Chart 3">
          <a:extLst>
            <a:ext uri="{FF2B5EF4-FFF2-40B4-BE49-F238E27FC236}">
              <a16:creationId xmlns:a16="http://schemas.microsoft.com/office/drawing/2014/main" id="{646A18ED-8D19-E340-9323-CDAC69A1B4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13</xdr:col>
      <xdr:colOff>292100</xdr:colOff>
      <xdr:row>6</xdr:row>
      <xdr:rowOff>120650</xdr:rowOff>
    </xdr:from>
    <xdr:to>
      <xdr:col>18</xdr:col>
      <xdr:colOff>736600</xdr:colOff>
      <xdr:row>27</xdr:row>
      <xdr:rowOff>152400</xdr:rowOff>
    </xdr:to>
    <xdr:graphicFrame macro="">
      <xdr:nvGraphicFramePr>
        <xdr:cNvPr id="2" name="Chart 1">
          <a:extLst>
            <a:ext uri="{FF2B5EF4-FFF2-40B4-BE49-F238E27FC236}">
              <a16:creationId xmlns:a16="http://schemas.microsoft.com/office/drawing/2014/main" id="{9E4AE704-2361-914F-6628-F254D4B40C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even Lanciotti" refreshedDate="45950.569148842595" createdVersion="8" refreshedVersion="8" minRefreshableVersion="3" recordCount="344" xr:uid="{9E8AA963-F0B3-4F43-895B-7E9C800CC50F}">
  <cacheSource type="worksheet">
    <worksheetSource name="Table1"/>
  </cacheSource>
  <cacheFields count="17">
    <cacheField name="Column1" numFmtId="0">
      <sharedItems containsBlank="1"/>
    </cacheField>
    <cacheField name="Animal ID" numFmtId="0">
      <sharedItems containsBlank="1"/>
    </cacheField>
    <cacheField name="Photo" numFmtId="0">
      <sharedItems containsBlank="1"/>
    </cacheField>
    <cacheField name="Status" numFmtId="0">
      <sharedItems containsBlank="1"/>
    </cacheField>
    <cacheField name="Stage" numFmtId="0">
      <sharedItems containsBlank="1" count="18">
        <s v="5 day Stray hold"/>
        <s v="10 day stray hold"/>
        <s v="Pending Surgery"/>
        <s v="Protective Custody"/>
        <s v="Pending Behavior Assessment"/>
        <s v="Available"/>
        <s v="Pending Medical Assessment"/>
        <s v="Pre-adopted"/>
        <s v="Pending Surgery Foster to Adopt"/>
        <s v="Medical Treatment"/>
        <s v="Pending Surgery NeoNate"/>
        <s v="Pending Surgery PreAdopt"/>
        <s v="Rescue Commitment"/>
        <s v="On Hold"/>
        <s v="Foster to Adopt"/>
        <s v="Bite Quarantine"/>
        <m/>
        <s v="TNR" u="1"/>
      </sharedItems>
    </cacheField>
    <cacheField name="Species" numFmtId="0">
      <sharedItems containsBlank="1" count="5">
        <s v="Cat"/>
        <s v="Dog"/>
        <s v="Guinea Pig"/>
        <s v="Pig"/>
        <m/>
      </sharedItems>
    </cacheField>
    <cacheField name="Primary Breed" numFmtId="0">
      <sharedItems containsBlank="1"/>
    </cacheField>
    <cacheField name="Name" numFmtId="0">
      <sharedItems containsBlank="1"/>
    </cacheField>
    <cacheField name="Age" numFmtId="0">
      <sharedItems containsBlank="1"/>
    </cacheField>
    <cacheField name="Sex" numFmtId="0">
      <sharedItems containsBlank="1"/>
    </cacheField>
    <cacheField name="Spay/Neuter" numFmtId="0">
      <sharedItems containsBlank="1"/>
    </cacheField>
    <cacheField name="Primary Color" numFmtId="0">
      <sharedItems containsBlank="1"/>
    </cacheField>
    <cacheField name="On Hold" numFmtId="0">
      <sharedItems containsBlank="1"/>
    </cacheField>
    <cacheField name="Microchip" numFmtId="0">
      <sharedItems containsBlank="1"/>
    </cacheField>
    <cacheField name="Location" numFmtId="0">
      <sharedItems containsBlank="1" count="21">
        <s v="Cat Intake"/>
        <s v="Equipment Storage Area"/>
        <s v="Medical Cat Cages"/>
        <s v="Medical Lobby Cages"/>
        <s v="Pit Pens"/>
        <s v="Foster home"/>
        <s v="FoCCAS House"/>
        <s v="Medical Kennel"/>
        <s v="Pawtio"/>
        <s v="Admin Office"/>
        <s v="Teen Pens"/>
        <s v="Cat Adoption"/>
        <s v="New building 1"/>
        <s v="Adoption Kennels"/>
        <s v="Catio"/>
        <s v="Stable area"/>
        <s v="Holding Kennel"/>
        <s v="New building 2"/>
        <m/>
        <s v="Temporary holding" u="1"/>
        <s v="FoCCAS Adoption Center" u="1"/>
      </sharedItems>
    </cacheField>
    <cacheField name="Sublocation" numFmtId="0">
      <sharedItems containsBlank="1"/>
    </cacheField>
    <cacheField name="Reference ID"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even Lanciotti" refreshedDate="45950.569148958333" createdVersion="8" refreshedVersion="8" minRefreshableVersion="3" recordCount="76" xr:uid="{E26EA9C0-332C-164A-9A66-DB158249DC18}">
  <cacheSource type="worksheet">
    <worksheetSource name="Table4"/>
  </cacheSource>
  <cacheFields count="46">
    <cacheField name="Kick Off Treatment/Control" numFmtId="0">
      <sharedItems containsString="0" containsBlank="1" containsNumber="1" containsInteger="1" minValue="0" maxValue="1" count="3">
        <n v="1"/>
        <n v="0"/>
        <m/>
      </sharedItems>
    </cacheField>
    <cacheField name="Initial T/C Find" numFmtId="0">
      <sharedItems containsBlank="1" containsMixedTypes="1" containsNumber="1" containsInteger="1" minValue="0" maxValue="1"/>
    </cacheField>
    <cacheField name="Date Bio Added" numFmtId="0">
      <sharedItems containsNonDate="0" containsString="0" containsBlank="1"/>
    </cacheField>
    <cacheField name="Treatment Description" numFmtId="0">
      <sharedItems containsBlank="1" longText="1"/>
    </cacheField>
    <cacheField name="Data Change Note" numFmtId="0">
      <sharedItems containsNonDate="0" containsString="0" containsBlank="1"/>
    </cacheField>
    <cacheField name="Pre-Experiment LOS" numFmtId="0">
      <sharedItems containsString="0" containsBlank="1" containsNumber="1" minValue="25" maxValue="414"/>
    </cacheField>
    <cacheField name="Outcome" numFmtId="0">
      <sharedItems containsNonDate="0" containsString="0" containsBlank="1"/>
    </cacheField>
    <cacheField name="Breed Group" numFmtId="0">
      <sharedItems containsBlank="1" count="4">
        <s v="Stigma"/>
        <s v="Non-Stigma"/>
        <m/>
        <e v="#N/A" u="1"/>
      </sharedItems>
    </cacheField>
    <cacheField name="Data Check" numFmtId="0">
      <sharedItems containsBlank="1"/>
    </cacheField>
    <cacheField name="Pet_ID" numFmtId="0">
      <sharedItems containsString="0" containsBlank="1" containsNumber="1" containsInteger="1" minValue="42938868" maxValue="46185077"/>
    </cacheField>
    <cacheField name="Rescue_ID" numFmtId="0">
      <sharedItems containsBlank="1"/>
    </cacheField>
    <cacheField name="Name - AdoptAPet" numFmtId="0">
      <sharedItems containsBlank="1"/>
    </cacheField>
    <cacheField name="Name-PetPoint" numFmtId="0">
      <sharedItems containsBlank="1"/>
    </cacheField>
    <cacheField name="Name-Inventory" numFmtId="0">
      <sharedItems containsBlank="1"/>
    </cacheField>
    <cacheField name="Primary_Breed" numFmtId="0">
      <sharedItems containsBlank="1"/>
    </cacheField>
    <cacheField name="Secondary_Breed" numFmtId="0">
      <sharedItems containsBlank="1" containsMixedTypes="1" containsNumber="1" containsInteger="1" minValue="0" maxValue="0"/>
    </cacheField>
    <cacheField name="Color" numFmtId="0">
      <sharedItems containsBlank="1"/>
    </cacheField>
    <cacheField name="Sex" numFmtId="0">
      <sharedItems containsBlank="1"/>
    </cacheField>
    <cacheField name="Age" numFmtId="0">
      <sharedItems containsBlank="1"/>
    </cacheField>
    <cacheField name="Size" numFmtId="0">
      <sharedItems containsBlank="1"/>
    </cacheField>
    <cacheField name="Mixed" numFmtId="0">
      <sharedItems containsBlank="1"/>
    </cacheField>
    <cacheField name="Altered" numFmtId="0">
      <sharedItems containsBlank="1"/>
    </cacheField>
    <cacheField name="Shots_Current" numFmtId="0">
      <sharedItems containsBlank="1"/>
    </cacheField>
    <cacheField name="Housebroken" numFmtId="0">
      <sharedItems containsBlank="1"/>
    </cacheField>
    <cacheField name="Special_Needs" numFmtId="0">
      <sharedItems containsBlank="1"/>
    </cacheField>
    <cacheField name="OK_With_Kids" numFmtId="0">
      <sharedItems containsBlank="1"/>
    </cacheField>
    <cacheField name="OK_With_Dogs" numFmtId="0">
      <sharedItems containsBlank="1"/>
    </cacheField>
    <cacheField name="OK_With_Cats" numFmtId="0">
      <sharedItems containsBlank="1"/>
    </cacheField>
    <cacheField name="Pre-Treatment Description" numFmtId="0">
      <sharedItems containsBlank="1" count="3">
        <s v="No"/>
        <m/>
        <s v="Yes" u="1"/>
      </sharedItems>
    </cacheField>
    <cacheField name="Stage" numFmtId="0">
      <sharedItems containsBlank="1" count="8">
        <s v="Available"/>
        <s v="Pending Surgery"/>
        <s v="Pending Surgery Foster to Adopt"/>
        <m/>
        <s v="Foster to Adopt" u="1"/>
        <s v="Rescue Commitment" u="1"/>
        <s v="Pending Surgery PreAdopt" u="1"/>
        <s v="Pre-adopted" u="1"/>
      </sharedItems>
    </cacheField>
    <cacheField name="Primary Color" numFmtId="0">
      <sharedItems containsBlank="1"/>
    </cacheField>
    <cacheField name="Location" numFmtId="0">
      <sharedItems containsBlank="1" count="9">
        <s v="Foster home"/>
        <s v="Holding Kennel"/>
        <s v="Medical Kennel"/>
        <s v="Adoption Kennels"/>
        <s v="Medical Lobby Cages"/>
        <s v="Pit Pens"/>
        <s v="Equipment Storage Area"/>
        <s v="Teen Pens"/>
        <m/>
      </sharedItems>
    </cacheField>
    <cacheField name="Intake Type" numFmtId="0">
      <sharedItems containsBlank="1"/>
    </cacheField>
    <cacheField name="EmancipationDate" numFmtId="14">
      <sharedItems containsNonDate="0" containsDate="1" containsString="0" containsBlank="1" minDate="1899-12-30T00:00:00" maxDate="2025-10-13T13:56:00"/>
    </cacheField>
    <cacheField name="IntakeDateTime" numFmtId="14">
      <sharedItems containsNonDate="0" containsDate="1" containsString="0" containsBlank="1" minDate="2024-08-30T10:03:00" maxDate="2025-10-08T13:56:00"/>
    </cacheField>
    <cacheField name="LOSInDays" numFmtId="0">
      <sharedItems containsString="0" containsBlank="1" containsNumber="1" minValue="11.9" maxValue="573.4" count="189">
        <n v="416"/>
        <n v="361.7"/>
        <n v="251.1"/>
        <n v="241.9"/>
        <n v="193.9"/>
        <n v="219.8"/>
        <n v="125.9"/>
        <n v="128.9"/>
        <n v="124.8"/>
        <n v="119.9"/>
        <n v="103"/>
        <n v="101.9"/>
        <n v="95.8"/>
        <n v="94.9"/>
        <n v="97.9"/>
        <n v="77"/>
        <n v="80"/>
        <n v="80.8"/>
        <n v="79.099999999999994"/>
        <n v="74.8"/>
        <n v="61.9"/>
        <n v="59"/>
        <n v="60"/>
        <n v="72.900000000000006"/>
        <n v="56"/>
        <n v="55"/>
        <n v="62.1"/>
        <n v="37.9"/>
        <n v="27"/>
        <n v="52.1"/>
        <n v="53.9"/>
        <n v="94.8"/>
        <n v="42"/>
        <n v="52.9"/>
        <n v="61.8"/>
        <n v="75"/>
        <n v="27.9"/>
        <n v="22.7"/>
        <n v="17.8"/>
        <n v="11.9"/>
        <n v="24.8"/>
        <n v="44.9"/>
        <n v="30.8"/>
        <n v="35"/>
        <n v="37"/>
        <n v="47"/>
        <n v="39"/>
        <n v="28"/>
        <m/>
        <n v="414" u="1"/>
        <n v="359.7" u="1"/>
        <n v="249.1" u="1"/>
        <n v="239.9" u="1"/>
        <n v="191.9" u="1"/>
        <n v="217.8" u="1"/>
        <n v="123.9" u="1"/>
        <n v="126.9" u="1"/>
        <n v="122.8" u="1"/>
        <n v="117.9" u="1"/>
        <n v="101" u="1"/>
        <n v="99.9" u="1"/>
        <n v="93.8" u="1"/>
        <n v="92.9" u="1"/>
        <n v="95.9" u="1"/>
        <n v="78" u="1"/>
        <n v="78.8" u="1"/>
        <n v="77.099999999999994" u="1"/>
        <n v="72.8" u="1"/>
        <n v="59.9" u="1"/>
        <n v="57" u="1"/>
        <n v="58" u="1"/>
        <n v="70.900000000000006" u="1"/>
        <n v="54" u="1"/>
        <n v="53" u="1"/>
        <n v="60.1" u="1"/>
        <n v="35.9" u="1"/>
        <n v="25" u="1"/>
        <n v="50.1" u="1"/>
        <n v="51.9" u="1"/>
        <n v="92.8" u="1"/>
        <n v="40" u="1"/>
        <n v="50.9" u="1"/>
        <n v="59.8" u="1"/>
        <n v="73" u="1"/>
        <n v="64.2" u="1"/>
        <n v="113.2" u="1"/>
        <n v="31.3" u="1"/>
        <n v="99.1" u="1"/>
        <n v="573.4" u="1"/>
        <n v="43.3" u="1"/>
        <n v="403.3" u="1"/>
        <n v="49.4" u="1"/>
        <n v="116.1" u="1"/>
        <n v="68" u="1"/>
        <n v="66.3" u="1"/>
        <n v="49.1" u="1"/>
        <n v="46.3" u="1"/>
        <n v="361.3" u="1"/>
        <n v="229.2" u="1"/>
        <n v="107.2" u="1"/>
        <n v="169.1" u="1"/>
        <n v="90.2" u="1"/>
        <n v="25.1" u="1"/>
        <n v="187.1" u="1"/>
        <n v="89.2" u="1"/>
        <n v="82.1" u="1"/>
        <n v="118.2" u="1"/>
        <n v="109.3" u="1"/>
        <n v="112" u="1"/>
        <n v="200.3" u="1"/>
        <n v="148.30000000000001" u="1"/>
        <n v="181.1" u="1"/>
        <n v="34.1" u="1"/>
        <n v="83.1" u="1"/>
        <n v="319" u="1"/>
        <n v="67.2" u="1"/>
        <n v="14.3" u="1"/>
        <n v="178" u="1"/>
        <n v="39.4" u="1"/>
        <n v="41.1" u="1"/>
        <n v="138.1" u="1"/>
        <n v="140.1" u="1"/>
        <n v="180.3" u="1"/>
        <n v="89" u="1"/>
        <n v="47.3" u="1"/>
        <n v="180.2" u="1"/>
        <n v="29.2" u="1"/>
        <n v="60.2" u="1"/>
        <n v="349" u="1"/>
        <n v="40.200000000000003" u="1"/>
        <n v="130.19999999999999" u="1"/>
        <n v="49" u="1"/>
        <n v="62.3" u="1"/>
        <n v="238.3" u="1"/>
        <n v="85.2" u="1"/>
        <n v="188.1" u="1"/>
        <n v="207.1" u="1"/>
        <n v="48" u="1"/>
        <n v="62.2" u="1"/>
        <n v="111.1" u="1"/>
        <n v="41.2" u="1"/>
        <n v="97.1" u="1"/>
        <n v="571.29999999999995" u="1"/>
        <n v="401.3" u="1"/>
        <n v="114.1" u="1"/>
        <n v="66" u="1"/>
        <n v="64.3" u="1"/>
        <n v="47.1" u="1"/>
        <n v="44.2" u="1"/>
        <n v="359.2" u="1"/>
        <n v="227.1" u="1"/>
        <n v="105.1" u="1"/>
        <n v="167.1" u="1"/>
        <n v="88.2" u="1"/>
        <n v="23.1" u="1"/>
        <n v="185.1" u="1"/>
        <n v="87.1" u="1"/>
        <n v="80.099999999999994" u="1"/>
        <n v="107.3" u="1"/>
        <n v="110" u="1"/>
        <n v="198.2" u="1"/>
        <n v="146.30000000000001" u="1"/>
        <n v="179.1" u="1"/>
        <n v="32.1" u="1"/>
        <n v="81" u="1"/>
        <n v="317" u="1"/>
        <n v="65.2" u="1"/>
        <n v="12.3" u="1"/>
        <n v="175.9" u="1"/>
        <n v="37.299999999999997" u="1"/>
        <n v="178.2" u="1"/>
        <n v="39.1" u="1"/>
        <n v="136.1" u="1"/>
        <n v="138" u="1"/>
        <n v="178.3" u="1"/>
        <n v="87" u="1"/>
        <n v="45.2" u="1"/>
        <n v="89.3" u="1"/>
        <n v="27.2" u="1"/>
        <n v="58.1" u="1"/>
        <n v="346.9" u="1"/>
        <n v="128.19999999999999" u="1"/>
        <n v="38.1" u="1"/>
        <n v="184.1" u="1"/>
        <n v="60.3" u="1"/>
        <n v="51.1" u="1"/>
        <n v="236.3" u="1"/>
        <n v="186.1" u="1"/>
        <n v="205" u="1"/>
      </sharedItems>
    </cacheField>
    <cacheField name="StageChangeReason" numFmtId="0">
      <sharedItems containsBlank="1" containsMixedTypes="1" containsNumber="1" containsInteger="1" minValue="0" maxValue="0"/>
    </cacheField>
    <cacheField name="AnimalWeight" numFmtId="0">
      <sharedItems containsBlank="1"/>
    </cacheField>
    <cacheField name="NumberOfPictures" numFmtId="0">
      <sharedItems containsString="0" containsBlank="1" containsNumber="1" containsInteger="1" minValue="1" maxValue="3"/>
    </cacheField>
    <cacheField name="PreTreat- Seen_SearchResults_7Days" numFmtId="0">
      <sharedItems containsBlank="1"/>
    </cacheField>
    <cacheField name="PreTreat- Seen_SearchResults_30Days" numFmtId="0">
      <sharedItems containsBlank="1"/>
    </cacheField>
    <cacheField name="PreTreat- Seen_SearchResults_2008" numFmtId="0">
      <sharedItems containsBlank="1"/>
    </cacheField>
    <cacheField name="PreTreat- Details_Opened_7Days" numFmtId="0">
      <sharedItems containsBlank="1"/>
    </cacheField>
    <cacheField name="PreTreat- Details_Opened_30Days" numFmtId="0">
      <sharedItems containsBlank="1"/>
    </cacheField>
    <cacheField name="PreTreat- Details_Opened_2008" numFmtId="0">
      <sharedItems containsBlank="1"/>
    </cacheField>
    <cacheField name="PreTreat- Click_through_7Day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even Lanciotti" refreshedDate="45950.569149189818" createdVersion="8" refreshedVersion="8" minRefreshableVersion="3" recordCount="102" xr:uid="{6D99E7A5-523A-4747-8CA5-71D7D7920D15}">
  <cacheSource type="worksheet">
    <worksheetSource name="Table2"/>
  </cacheSource>
  <cacheFields count="32">
    <cacheField name="Pet_ID" numFmtId="1">
      <sharedItems containsSemiMixedTypes="0" containsString="0" containsNumber="1" containsInteger="1" minValue="37760469" maxValue="46185077"/>
    </cacheField>
    <cacheField name="Rescue_ID" numFmtId="0">
      <sharedItems containsMixedTypes="1" containsNumber="1" containsInteger="1" minValue="52239691" maxValue="58353818"/>
    </cacheField>
    <cacheField name="Name" numFmtId="0">
      <sharedItems/>
    </cacheField>
    <cacheField name="Status" numFmtId="0">
      <sharedItems/>
    </cacheField>
    <cacheField name="Date_Added" numFmtId="14">
      <sharedItems containsSemiMixedTypes="0" containsNonDate="0" containsDate="1" containsString="0" minDate="2023-04-06T00:00:00" maxDate="2025-10-20T00:00:00"/>
    </cacheField>
    <cacheField name="Date_Adopted" numFmtId="14">
      <sharedItems containsNonDate="0" containsDate="1" containsString="0" containsBlank="1" minDate="2024-12-04T00:00:00" maxDate="2025-08-09T00:00:00" count="5">
        <m/>
        <d v="2024-12-04T00:00:00"/>
        <d v="2025-06-02T00:00:00"/>
        <d v="2025-08-08T00:00:00"/>
        <d v="2025-07-22T00:00:00"/>
      </sharedItems>
    </cacheField>
    <cacheField name="Species" numFmtId="0">
      <sharedItems containsBlank="1" count="3">
        <s v="cat"/>
        <s v="dog"/>
        <m u="1"/>
      </sharedItems>
    </cacheField>
    <cacheField name="Primary_Breed" numFmtId="0">
      <sharedItems containsBlank="1" count="30">
        <s v="Domestic Shorthair"/>
        <s v="American Pit Bull Terrier"/>
        <s v="American Bulldog"/>
        <s v="Rottweiler"/>
        <s v="Shepherd (Unknown Type)"/>
        <s v="Weimaraner"/>
        <s v="American Staffordshire Terrier"/>
        <s v="Plott Hound"/>
        <s v="Bullmastiff"/>
        <s v="American Eskimo Dog"/>
        <s v="Labrador Retriever"/>
        <s v="Boston Terrier"/>
        <s v="Hound (Unknown Type)"/>
        <s v="Tabby"/>
        <s v="Domestic Mediumhair"/>
        <s v="Treeing Walker Coonhound"/>
        <s v="Boxer"/>
        <s v="Pointer"/>
        <s v="Foxhound"/>
        <s v="Bull Terrier"/>
        <s v="Australian Shepherd"/>
        <s v="Black Mouth Cur"/>
        <s v="Australian Cattle Dog"/>
        <s v="Whippet"/>
        <s v="Domestic Longhair"/>
        <s v="German Shorthaired Pointer"/>
        <m u="1"/>
        <s v="Catahoula Leopard Dog" u="1"/>
        <s v="Redbone Coonhound" u="1"/>
        <s v="Chihuahua" u="1"/>
      </sharedItems>
    </cacheField>
    <cacheField name="Secondary_Breed" numFmtId="0">
      <sharedItems containsBlank="1"/>
    </cacheField>
    <cacheField name="Color" numFmtId="0">
      <sharedItems/>
    </cacheField>
    <cacheField name="Sex" numFmtId="0">
      <sharedItems/>
    </cacheField>
    <cacheField name="Age" numFmtId="0">
      <sharedItems containsBlank="1" count="6">
        <s v="young"/>
        <s v="adult"/>
        <s v="kitten"/>
        <s v="senior"/>
        <s v="puppy"/>
        <m u="1"/>
      </sharedItems>
    </cacheField>
    <cacheField name="Size" numFmtId="0">
      <sharedItems containsBlank="1"/>
    </cacheField>
    <cacheField name="Coat" numFmtId="0">
      <sharedItems containsBlank="1"/>
    </cacheField>
    <cacheField name="Mixed" numFmtId="0">
      <sharedItems/>
    </cacheField>
    <cacheField name="Altered" numFmtId="0">
      <sharedItems/>
    </cacheField>
    <cacheField name="Shots_Current" numFmtId="0">
      <sharedItems/>
    </cacheField>
    <cacheField name="Housebroken" numFmtId="0">
      <sharedItems/>
    </cacheField>
    <cacheField name="Declawed" numFmtId="0">
      <sharedItems/>
    </cacheField>
    <cacheField name="Special_Needs" numFmtId="0">
      <sharedItems/>
    </cacheField>
    <cacheField name="OK_With_Kids" numFmtId="0">
      <sharedItems/>
    </cacheField>
    <cacheField name="OK_With_Dogs" numFmtId="0">
      <sharedItems/>
    </cacheField>
    <cacheField name="OK_With_Cats" numFmtId="0">
      <sharedItems/>
    </cacheField>
    <cacheField name="Description" numFmtId="0">
      <sharedItems containsBlank="1" longText="1"/>
    </cacheField>
    <cacheField name="Video_URL" numFmtId="0">
      <sharedItems containsNonDate="0" containsString="0" containsBlank="1"/>
    </cacheField>
    <cacheField name="Microchip_Number" numFmtId="0">
      <sharedItems containsNonDate="0" containsString="0" containsBlank="1"/>
    </cacheField>
    <cacheField name="Microchip_Vendor" numFmtId="0">
      <sharedItems containsNonDate="0" containsString="0" containsBlank="1"/>
    </cacheField>
    <cacheField name="Photo_1_URL" numFmtId="0">
      <sharedItems/>
    </cacheField>
    <cacheField name="Photo_2_URL" numFmtId="0">
      <sharedItems containsBlank="1"/>
    </cacheField>
    <cacheField name="Photo_3_URL" numFmtId="0">
      <sharedItems containsBlank="1"/>
    </cacheField>
    <cacheField name="Photo_4_URL" numFmtId="0">
      <sharedItems containsBlank="1"/>
    </cacheField>
    <cacheField name="check"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even Lanciotti" refreshedDate="45950.579778703701" createdVersion="8" refreshedVersion="8" minRefreshableVersion="3" recordCount="77" xr:uid="{06AB03A0-5051-FD4E-A8A1-BFD4A454F12E}">
  <cacheSource type="worksheet">
    <worksheetSource ref="A1:AT1048576" sheet="Consolidated Data - Static"/>
  </cacheSource>
  <cacheFields count="46">
    <cacheField name="Kick Off Treatment/Control" numFmtId="0">
      <sharedItems containsString="0" containsBlank="1" containsNumber="1" containsInteger="1" minValue="0" maxValue="1" count="3">
        <n v="1"/>
        <n v="0"/>
        <m/>
      </sharedItems>
    </cacheField>
    <cacheField name="Initial T/C Find" numFmtId="0">
      <sharedItems containsBlank="1" containsMixedTypes="1" containsNumber="1" containsInteger="1" minValue="0" maxValue="1"/>
    </cacheField>
    <cacheField name="Date Bio Added" numFmtId="0">
      <sharedItems containsNonDate="0" containsString="0" containsBlank="1"/>
    </cacheField>
    <cacheField name="Treatment Description" numFmtId="0">
      <sharedItems containsBlank="1" longText="1"/>
    </cacheField>
    <cacheField name="Data Change Note" numFmtId="0">
      <sharedItems containsNonDate="0" containsString="0" containsBlank="1"/>
    </cacheField>
    <cacheField name="Pre-Experiment LOS" numFmtId="0">
      <sharedItems containsString="0" containsBlank="1" containsNumber="1" minValue="25" maxValue="414"/>
    </cacheField>
    <cacheField name="Outcome" numFmtId="0">
      <sharedItems containsNonDate="0" containsString="0" containsBlank="1"/>
    </cacheField>
    <cacheField name="Breed Group" numFmtId="0">
      <sharedItems containsBlank="1" count="3">
        <s v="Stigma"/>
        <s v="Non-Stigma"/>
        <m/>
      </sharedItems>
    </cacheField>
    <cacheField name="Data Check" numFmtId="0">
      <sharedItems containsBlank="1"/>
    </cacheField>
    <cacheField name="Pet_ID" numFmtId="0">
      <sharedItems containsString="0" containsBlank="1" containsNumber="1" containsInteger="1" minValue="42938868" maxValue="46185077"/>
    </cacheField>
    <cacheField name="Rescue_ID" numFmtId="0">
      <sharedItems containsBlank="1"/>
    </cacheField>
    <cacheField name="Name - AdoptAPet" numFmtId="0">
      <sharedItems containsBlank="1"/>
    </cacheField>
    <cacheField name="Name-PetPoint" numFmtId="0">
      <sharedItems containsBlank="1"/>
    </cacheField>
    <cacheField name="Name-Inventory" numFmtId="0">
      <sharedItems containsBlank="1"/>
    </cacheField>
    <cacheField name="Primary_Breed" numFmtId="0">
      <sharedItems containsBlank="1"/>
    </cacheField>
    <cacheField name="Secondary_Breed" numFmtId="0">
      <sharedItems containsBlank="1" containsMixedTypes="1" containsNumber="1" containsInteger="1" minValue="0" maxValue="0"/>
    </cacheField>
    <cacheField name="Color" numFmtId="0">
      <sharedItems containsBlank="1"/>
    </cacheField>
    <cacheField name="Sex" numFmtId="0">
      <sharedItems containsBlank="1"/>
    </cacheField>
    <cacheField name="Age" numFmtId="0">
      <sharedItems containsBlank="1"/>
    </cacheField>
    <cacheField name="Size" numFmtId="0">
      <sharedItems containsBlank="1"/>
    </cacheField>
    <cacheField name="Mixed" numFmtId="0">
      <sharedItems containsBlank="1"/>
    </cacheField>
    <cacheField name="Altered" numFmtId="0">
      <sharedItems containsBlank="1"/>
    </cacheField>
    <cacheField name="Shots_Current" numFmtId="0">
      <sharedItems containsBlank="1"/>
    </cacheField>
    <cacheField name="Housebroken" numFmtId="0">
      <sharedItems containsBlank="1"/>
    </cacheField>
    <cacheField name="Special_Needs" numFmtId="0">
      <sharedItems containsBlank="1"/>
    </cacheField>
    <cacheField name="OK_With_Kids" numFmtId="0">
      <sharedItems containsBlank="1"/>
    </cacheField>
    <cacheField name="OK_With_Dogs" numFmtId="0">
      <sharedItems containsBlank="1"/>
    </cacheField>
    <cacheField name="OK_With_Cats" numFmtId="0">
      <sharedItems containsBlank="1"/>
    </cacheField>
    <cacheField name="Pre-Treatment Description" numFmtId="0">
      <sharedItems containsBlank="1"/>
    </cacheField>
    <cacheField name="Stage" numFmtId="0">
      <sharedItems containsBlank="1"/>
    </cacheField>
    <cacheField name="Primary Color" numFmtId="0">
      <sharedItems containsBlank="1"/>
    </cacheField>
    <cacheField name="Location" numFmtId="0">
      <sharedItems containsBlank="1"/>
    </cacheField>
    <cacheField name="Intake Type" numFmtId="0">
      <sharedItems containsBlank="1"/>
    </cacheField>
    <cacheField name="EmancipationDate" numFmtId="0">
      <sharedItems containsNonDate="0" containsDate="1" containsString="0" containsBlank="1" minDate="1899-12-30T00:00:00" maxDate="2025-10-13T13:56:00"/>
    </cacheField>
    <cacheField name="IntakeDateTime" numFmtId="0">
      <sharedItems containsNonDate="0" containsDate="1" containsString="0" containsBlank="1" minDate="2024-08-30T10:03:00" maxDate="2025-10-08T13:56:00"/>
    </cacheField>
    <cacheField name="LOSInDays" numFmtId="0">
      <sharedItems containsString="0" containsBlank="1" containsNumber="1" minValue="11.9" maxValue="416"/>
    </cacheField>
    <cacheField name="StageChangeReason" numFmtId="0">
      <sharedItems containsBlank="1" containsMixedTypes="1" containsNumber="1" containsInteger="1" minValue="0" maxValue="0"/>
    </cacheField>
    <cacheField name="AnimalWeight" numFmtId="0">
      <sharedItems containsBlank="1"/>
    </cacheField>
    <cacheField name="NumberOfPictures" numFmtId="0">
      <sharedItems containsString="0" containsBlank="1" containsNumber="1" containsInteger="1" minValue="1" maxValue="3"/>
    </cacheField>
    <cacheField name="PreTreat- Seen_SearchResults_7Days" numFmtId="0">
      <sharedItems containsBlank="1"/>
    </cacheField>
    <cacheField name="PreTreat- Seen_SearchResults_30Days" numFmtId="0">
      <sharedItems containsBlank="1"/>
    </cacheField>
    <cacheField name="PreTreat- Seen_SearchResults_2008" numFmtId="0">
      <sharedItems containsBlank="1"/>
    </cacheField>
    <cacheField name="PreTreat- Details_Opened_7Days" numFmtId="0">
      <sharedItems containsBlank="1"/>
    </cacheField>
    <cacheField name="PreTreat- Details_Opened_30Days" numFmtId="0">
      <sharedItems containsBlank="1"/>
    </cacheField>
    <cacheField name="PreTreat- Details_Opened_2008" numFmtId="0">
      <sharedItems containsBlank="1"/>
    </cacheField>
    <cacheField name="PreTreat- Click_through_7Day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4">
  <r>
    <s v=""/>
    <s v="A0059636183"/>
    <s v="Yes"/>
    <s v="Active"/>
    <x v="0"/>
    <x v="0"/>
    <s v="Domestic Shorthair"/>
    <m/>
    <s v="1y 0m 0d"/>
    <s v="Unknown"/>
    <s v="No"/>
    <s v="Orange"/>
    <s v="No"/>
    <m/>
    <x v="0"/>
    <s v="Cat Intake"/>
    <m/>
  </r>
  <r>
    <s v=""/>
    <s v="A0059632659"/>
    <s v="Yes"/>
    <s v="Active"/>
    <x v="0"/>
    <x v="1"/>
    <s v="Terrier"/>
    <m/>
    <s v=""/>
    <s v="Female"/>
    <s v="No"/>
    <s v="Chocolate"/>
    <s v="No"/>
    <m/>
    <x v="1"/>
    <s v="Equipment Storage Area"/>
    <m/>
  </r>
  <r>
    <s v=""/>
    <s v="A0059626343"/>
    <s v="Yes"/>
    <s v="Active"/>
    <x v="0"/>
    <x v="0"/>
    <s v="Domestic Shorthair"/>
    <m/>
    <s v="2y 0m 3d"/>
    <s v="Male"/>
    <s v="No"/>
    <s v="Orange"/>
    <s v="No"/>
    <m/>
    <x v="2"/>
    <s v="Medical Cat Cages"/>
    <m/>
  </r>
  <r>
    <s v=""/>
    <s v="A0059622660"/>
    <s v="Yes"/>
    <s v="Active"/>
    <x v="0"/>
    <x v="0"/>
    <s v="Domestic Shorthair"/>
    <m/>
    <s v="0y 1m 28d"/>
    <s v="Unknown"/>
    <s v="No"/>
    <s v="Brown"/>
    <s v="No"/>
    <m/>
    <x v="0"/>
    <s v="1"/>
    <m/>
  </r>
  <r>
    <s v=""/>
    <s v="A0059622576"/>
    <s v="Yes"/>
    <s v="Active"/>
    <x v="0"/>
    <x v="1"/>
    <s v="Hound"/>
    <s v="Ernest"/>
    <s v="7y 0m 3d"/>
    <s v="Male"/>
    <s v="No"/>
    <s v="Red"/>
    <s v="No"/>
    <m/>
    <x v="3"/>
    <s v="Medical Lobby Cages"/>
    <s v="HW-4"/>
  </r>
  <r>
    <s v=""/>
    <s v="A0059620670"/>
    <s v="Yes"/>
    <s v="Active"/>
    <x v="0"/>
    <x v="0"/>
    <s v="Domestic Shorthair"/>
    <m/>
    <s v="1y 0m 3d"/>
    <s v="Female"/>
    <s v="No"/>
    <s v="Grey"/>
    <s v="No"/>
    <m/>
    <x v="0"/>
    <s v="10"/>
    <m/>
  </r>
  <r>
    <s v=""/>
    <s v="A0059617270"/>
    <s v="Yes"/>
    <s v="Active"/>
    <x v="0"/>
    <x v="1"/>
    <s v="Mixed Breed, Large (over 44 lbs fully grown)"/>
    <m/>
    <s v="2y 0m 4d"/>
    <s v="Male"/>
    <s v="No"/>
    <s v="Black"/>
    <s v="No"/>
    <m/>
    <x v="4"/>
    <s v="Pen 4"/>
    <m/>
  </r>
  <r>
    <s v=""/>
    <s v="A0059617026"/>
    <s v="Yes"/>
    <s v="Active"/>
    <x v="0"/>
    <x v="0"/>
    <s v="Domestic Shorthair"/>
    <m/>
    <s v="0y 1m 2d"/>
    <s v="Unknown"/>
    <s v="No"/>
    <s v="Orange"/>
    <s v="No"/>
    <m/>
    <x v="2"/>
    <s v="3"/>
    <m/>
  </r>
  <r>
    <s v=""/>
    <s v="A0059615841"/>
    <s v="Yes"/>
    <s v="Active"/>
    <x v="0"/>
    <x v="0"/>
    <s v="Domestic Shorthair"/>
    <s v="(A Flynt)"/>
    <s v="0y 0m 25d"/>
    <s v="Unknown"/>
    <s v="No"/>
    <s v="Grey"/>
    <s v="No"/>
    <m/>
    <x v="5"/>
    <s v="AdoptAmbassador"/>
    <m/>
  </r>
  <r>
    <s v=""/>
    <s v="A0059615830"/>
    <s v="Yes"/>
    <s v="Active"/>
    <x v="0"/>
    <x v="0"/>
    <s v="Domestic Shorthair"/>
    <s v="(A Flynt)"/>
    <s v="0y 0m 18d"/>
    <s v="Unknown"/>
    <s v="No"/>
    <s v="Black"/>
    <s v="No"/>
    <m/>
    <x v="5"/>
    <s v="AdoptAmbassador"/>
    <m/>
  </r>
  <r>
    <s v=""/>
    <s v="A0059615822"/>
    <s v="Yes"/>
    <s v="Active"/>
    <x v="0"/>
    <x v="0"/>
    <s v="Domestic Shorthair"/>
    <s v="(A Flynt)"/>
    <s v="0y 0m 18d"/>
    <s v="Unknown"/>
    <s v="No"/>
    <s v="Orange"/>
    <s v="No"/>
    <m/>
    <x v="5"/>
    <s v="AdoptAmbassador"/>
    <m/>
  </r>
  <r>
    <s v=""/>
    <s v="A0059614471"/>
    <s v="Yes"/>
    <s v="Active"/>
    <x v="0"/>
    <x v="0"/>
    <s v="Domestic Shorthair"/>
    <s v="Tyler (K. Hauler)"/>
    <s v="0y 1m 16d"/>
    <s v="Male"/>
    <s v="No"/>
    <s v="Orange"/>
    <s v="No"/>
    <m/>
    <x v="5"/>
    <s v="AdoptAmbassador"/>
    <m/>
  </r>
  <r>
    <s v=""/>
    <s v="A0059614464"/>
    <s v="Yes"/>
    <s v="Active"/>
    <x v="0"/>
    <x v="0"/>
    <s v="Domestic Shorthair"/>
    <s v="Abby (K. Hauler)"/>
    <s v="0y 1m 8d"/>
    <s v="Female"/>
    <s v="No"/>
    <s v="Brown"/>
    <s v="No"/>
    <m/>
    <x v="5"/>
    <s v="AdoptAmbassador"/>
    <m/>
  </r>
  <r>
    <s v=""/>
    <s v="A0059608793"/>
    <s v="Yes"/>
    <s v="Active"/>
    <x v="0"/>
    <x v="0"/>
    <s v="Domestic Shorthair"/>
    <s v="Maggie"/>
    <s v="4y 0m 3d"/>
    <s v="Female"/>
    <s v="Unknown"/>
    <s v="Brown"/>
    <s v="No"/>
    <m/>
    <x v="0"/>
    <s v="5"/>
    <m/>
  </r>
  <r>
    <s v=""/>
    <s v="A0059607181"/>
    <s v="Yes"/>
    <s v="Active"/>
    <x v="0"/>
    <x v="0"/>
    <s v="Domestic Shorthair"/>
    <m/>
    <s v="2y 0m 5d"/>
    <s v="Unknown"/>
    <s v="No"/>
    <s v="Brown"/>
    <s v="No"/>
    <m/>
    <x v="6"/>
    <s v="Cage 2"/>
    <m/>
  </r>
  <r>
    <s v=""/>
    <s v="A0059606920"/>
    <s v="Yes"/>
    <s v="Active"/>
    <x v="0"/>
    <x v="0"/>
    <s v="Domestic Shorthair"/>
    <m/>
    <s v="0y 6m 5d"/>
    <s v="Unknown"/>
    <s v="No"/>
    <s v="Black"/>
    <s v="No"/>
    <m/>
    <x v="0"/>
    <s v="7"/>
    <m/>
  </r>
  <r>
    <s v=""/>
    <s v="A0059606623"/>
    <s v="Yes"/>
    <s v="Active"/>
    <x v="0"/>
    <x v="1"/>
    <s v="Hound"/>
    <s v="Honey"/>
    <s v="3y 0m 5d"/>
    <s v="Female"/>
    <s v="No"/>
    <s v="Brown"/>
    <s v="No"/>
    <m/>
    <x v="3"/>
    <s v="Medical Lobby Cages"/>
    <s v="HW+4"/>
  </r>
  <r>
    <s v=""/>
    <s v="A0059605531"/>
    <s v="Yes"/>
    <s v="Active"/>
    <x v="0"/>
    <x v="0"/>
    <s v="Domestic Shorthair"/>
    <s v="Dumpling"/>
    <s v="0y 1m 0d"/>
    <s v="Female"/>
    <s v="No"/>
    <s v="Black"/>
    <s v="No"/>
    <m/>
    <x v="2"/>
    <s v="Medical Cat Cages"/>
    <m/>
  </r>
  <r>
    <s v=""/>
    <s v="A0059604111"/>
    <s v="Yes"/>
    <s v="Active"/>
    <x v="1"/>
    <x v="1"/>
    <s v="Hound"/>
    <s v="Daisy (M Thibodeau)"/>
    <s v="0y 5m 6d"/>
    <s v="Female"/>
    <s v="No"/>
    <s v="Brown"/>
    <s v="No"/>
    <m/>
    <x v="7"/>
    <s v="14"/>
    <s v="HW-"/>
  </r>
  <r>
    <s v=""/>
    <s v="A0059604096"/>
    <s v="Yes"/>
    <s v="Active"/>
    <x v="1"/>
    <x v="1"/>
    <s v="Hound"/>
    <s v="Sassy"/>
    <s v="4y 0m 3d"/>
    <s v="Female"/>
    <s v="No"/>
    <s v="Black"/>
    <s v="No"/>
    <m/>
    <x v="7"/>
    <s v="14"/>
    <s v="HW+"/>
  </r>
  <r>
    <s v=""/>
    <s v="A0059598685"/>
    <s v="Yes"/>
    <s v="Active"/>
    <x v="0"/>
    <x v="1"/>
    <s v="Hound"/>
    <s v="Lei"/>
    <s v="4y 0m 6d"/>
    <s v="Female"/>
    <s v="No"/>
    <s v="Black"/>
    <s v="No"/>
    <m/>
    <x v="1"/>
    <s v="Equipment Storage Area"/>
    <s v="HW -"/>
  </r>
  <r>
    <s v=""/>
    <s v="A0059598047"/>
    <s v="Yes"/>
    <s v="Active"/>
    <x v="0"/>
    <x v="1"/>
    <s v="Mixed Breed, Medium (up to 44 lbs fully grown)"/>
    <s v="Dumpling"/>
    <s v="4y 0m 4d"/>
    <s v="Female"/>
    <s v="No"/>
    <s v="Brown"/>
    <s v="No"/>
    <m/>
    <x v="1"/>
    <s v="Equipment Storage Area"/>
    <s v="HW +"/>
  </r>
  <r>
    <s v=""/>
    <s v="A0059592906"/>
    <s v="Yes"/>
    <s v="Active"/>
    <x v="2"/>
    <x v="0"/>
    <s v="Domestic Shorthair"/>
    <s v="Mary"/>
    <s v="0y 1m 12d"/>
    <s v="Unknown"/>
    <s v="No"/>
    <s v="Black"/>
    <s v="No"/>
    <m/>
    <x v="0"/>
    <s v="4"/>
    <m/>
  </r>
  <r>
    <s v=""/>
    <s v="A0059592689"/>
    <s v="Yes"/>
    <s v="Active"/>
    <x v="0"/>
    <x v="0"/>
    <s v="Domestic Shorthair"/>
    <m/>
    <s v="0y 1m 19d"/>
    <s v="Unknown"/>
    <s v="No"/>
    <s v="Black"/>
    <s v="No"/>
    <m/>
    <x v="5"/>
    <s v="Foster home"/>
    <m/>
  </r>
  <r>
    <s v=""/>
    <s v="A0059588552"/>
    <s v="Yes"/>
    <s v="Active"/>
    <x v="1"/>
    <x v="1"/>
    <s v="Mixed Breed, Medium (up to 44 lbs fully grown)"/>
    <s v="Nemo"/>
    <s v="1y 0m 8d"/>
    <s v="Male"/>
    <s v="No"/>
    <s v="Black"/>
    <s v="No"/>
    <m/>
    <x v="8"/>
    <s v="Run 2"/>
    <s v="HW-4"/>
  </r>
  <r>
    <s v=""/>
    <s v="A0059588551"/>
    <s v="Yes"/>
    <s v="Active"/>
    <x v="1"/>
    <x v="1"/>
    <s v="Mixed Breed, Medium (up to 44 lbs fully grown)"/>
    <s v="Dory"/>
    <s v="2y 0m 6d"/>
    <s v="Female"/>
    <s v="No"/>
    <s v="Black"/>
    <s v="No"/>
    <m/>
    <x v="8"/>
    <s v="Run 2"/>
    <s v="HW-3"/>
  </r>
  <r>
    <s v=""/>
    <s v="A0059588533"/>
    <s v="Yes"/>
    <s v="Active"/>
    <x v="3"/>
    <x v="1"/>
    <s v="Terrier, Jack Russell"/>
    <s v="Chi Chi"/>
    <s v="2y 0m 8d"/>
    <s v="Male"/>
    <s v="No"/>
    <s v="White"/>
    <s v="No"/>
    <m/>
    <x v="9"/>
    <s v="Laura's office"/>
    <m/>
  </r>
  <r>
    <s v=""/>
    <s v="A0059581347"/>
    <s v="Yes"/>
    <s v="Active"/>
    <x v="0"/>
    <x v="0"/>
    <s v="Domestic Shorthair"/>
    <s v="Mara"/>
    <s v="2y 0m 10d"/>
    <s v="Female"/>
    <s v="No"/>
    <s v="Brown"/>
    <s v="No"/>
    <m/>
    <x v="0"/>
    <s v="3"/>
    <m/>
  </r>
  <r>
    <s v=""/>
    <s v="A0059578792"/>
    <s v="Yes"/>
    <s v="Active"/>
    <x v="2"/>
    <x v="1"/>
    <s v="Mixed Breed, Medium (up to 44 lbs fully grown)"/>
    <m/>
    <s v="0y 2m 5d"/>
    <s v="Unknown"/>
    <s v="No"/>
    <s v="Brown"/>
    <s v="No"/>
    <m/>
    <x v="10"/>
    <s v="3"/>
    <m/>
  </r>
  <r>
    <s v=""/>
    <s v="A0059578750"/>
    <s v="Yes"/>
    <s v="Active"/>
    <x v="2"/>
    <x v="1"/>
    <s v="Mixed Breed, Medium (up to 44 lbs fully grown)"/>
    <m/>
    <s v="0y 2m 5d"/>
    <s v="Unknown"/>
    <s v="No"/>
    <s v="White"/>
    <s v="No"/>
    <m/>
    <x v="10"/>
    <s v="3"/>
    <m/>
  </r>
  <r>
    <s v=""/>
    <s v="A0059578742"/>
    <s v="Yes"/>
    <s v="Active"/>
    <x v="2"/>
    <x v="1"/>
    <s v="Mixed Breed, Medium (up to 44 lbs fully grown)"/>
    <m/>
    <s v="0y 2m 5d"/>
    <s v="Unknown"/>
    <s v="No"/>
    <s v="Brown"/>
    <s v="No"/>
    <m/>
    <x v="10"/>
    <s v="3"/>
    <m/>
  </r>
  <r>
    <s v=""/>
    <s v="A0059578738"/>
    <s v="Yes"/>
    <s v="Active"/>
    <x v="2"/>
    <x v="1"/>
    <s v="Mixed Breed, Medium (up to 44 lbs fully grown)"/>
    <m/>
    <s v="0y 2m 5d"/>
    <s v="Unknown"/>
    <s v="No"/>
    <s v="Brown"/>
    <s v="No"/>
    <m/>
    <x v="10"/>
    <s v="3"/>
    <m/>
  </r>
  <r>
    <s v=""/>
    <s v="A0059578730"/>
    <s v="Yes"/>
    <s v="Active"/>
    <x v="4"/>
    <x v="1"/>
    <s v="Mixed Breed, Medium (up to 44 lbs fully grown)"/>
    <m/>
    <s v="2y 0m 10d"/>
    <s v="Female"/>
    <s v="No"/>
    <s v="Tan"/>
    <s v="No"/>
    <m/>
    <x v="10"/>
    <s v="3"/>
    <m/>
  </r>
  <r>
    <s v=""/>
    <s v="A0059578724"/>
    <s v="Yes"/>
    <s v="Active"/>
    <x v="4"/>
    <x v="1"/>
    <s v="Mixed Breed, Medium (up to 44 lbs fully grown)"/>
    <m/>
    <s v="4y 0m 10d"/>
    <s v="Female"/>
    <s v="No"/>
    <s v="Fawn"/>
    <s v="No"/>
    <m/>
    <x v="10"/>
    <s v="3"/>
    <m/>
  </r>
  <r>
    <s v=""/>
    <s v="A0059578703"/>
    <s v="Yes"/>
    <s v="Active"/>
    <x v="2"/>
    <x v="0"/>
    <s v="Domestic Shorthair"/>
    <s v="Niki"/>
    <s v="0y 1m 28d"/>
    <s v="Female"/>
    <s v="No"/>
    <s v="Black"/>
    <s v="No"/>
    <m/>
    <x v="0"/>
    <s v="9"/>
    <m/>
  </r>
  <r>
    <s v=""/>
    <s v="A0059578687"/>
    <s v="Yes"/>
    <s v="Active"/>
    <x v="5"/>
    <x v="0"/>
    <s v="Domestic Shorthair"/>
    <s v="Prada"/>
    <s v="0y 1m 28d"/>
    <s v="Female"/>
    <s v="Yes"/>
    <s v="Black"/>
    <s v="No"/>
    <s v="941000031684132"/>
    <x v="11"/>
    <s v="Bank 3 Cage 4"/>
    <m/>
  </r>
  <r>
    <s v=""/>
    <s v="A0059578681"/>
    <s v="Yes"/>
    <s v="Active"/>
    <x v="5"/>
    <x v="0"/>
    <s v="Domestic Shorthair"/>
    <s v="Dolce"/>
    <s v="0y 1m 28d"/>
    <s v="Female"/>
    <s v="Yes"/>
    <s v="Grey"/>
    <s v="No"/>
    <s v="941000031684346"/>
    <x v="11"/>
    <s v="Bank 3 Cage 4"/>
    <m/>
  </r>
  <r>
    <s v=""/>
    <s v="A0059578674"/>
    <s v="Yes"/>
    <s v="Active"/>
    <x v="2"/>
    <x v="0"/>
    <s v="Domestic Shorthair"/>
    <m/>
    <s v="0y 1m 28d"/>
    <s v="Unknown"/>
    <s v="No"/>
    <s v="Black"/>
    <s v="No"/>
    <m/>
    <x v="0"/>
    <s v="9"/>
    <m/>
  </r>
  <r>
    <s v=""/>
    <s v="A0059571918"/>
    <s v="Yes"/>
    <s v="Active"/>
    <x v="4"/>
    <x v="1"/>
    <s v="Chihuahua, Short Coat"/>
    <s v="Mr. Cobb"/>
    <s v="4y 0m 6d"/>
    <s v="Male"/>
    <s v="No"/>
    <s v="Tan"/>
    <s v="No"/>
    <m/>
    <x v="9"/>
    <s v="Kim's Office"/>
    <s v="HW-4"/>
  </r>
  <r>
    <s v=""/>
    <s v="A0059565495"/>
    <s v="Yes"/>
    <s v="Active"/>
    <x v="3"/>
    <x v="1"/>
    <s v="Terrier, American Pit Bull"/>
    <s v="Starla"/>
    <s v="0y 3m 12d"/>
    <s v="Female"/>
    <s v="No"/>
    <s v="Brown"/>
    <s v="No"/>
    <m/>
    <x v="8"/>
    <s v="Run 3"/>
    <s v="HW-"/>
  </r>
  <r>
    <s v=""/>
    <s v="A0059565478"/>
    <s v="Yes"/>
    <s v="Active"/>
    <x v="3"/>
    <x v="1"/>
    <s v="Terrier, American Pit Bull"/>
    <s v="Sparks"/>
    <s v="0y 3m 9d"/>
    <s v="Male"/>
    <s v="No"/>
    <s v="Grey"/>
    <s v="No"/>
    <m/>
    <x v="8"/>
    <s v="Run 3"/>
    <s v="HW-"/>
  </r>
  <r>
    <s v=""/>
    <s v="A0059565456"/>
    <s v="Yes"/>
    <s v="Active"/>
    <x v="3"/>
    <x v="1"/>
    <s v="Terrier, American Pit Bull"/>
    <s v="Billy"/>
    <s v="0y 3m 12d"/>
    <s v="Male"/>
    <s v="No"/>
    <s v="White"/>
    <s v="No"/>
    <m/>
    <x v="8"/>
    <s v="Run 3"/>
    <s v="HW-"/>
  </r>
  <r>
    <s v=""/>
    <s v="A0059565351"/>
    <s v="Yes"/>
    <s v="Active"/>
    <x v="3"/>
    <x v="1"/>
    <s v="Terrier, American Pit Bull"/>
    <s v="Freckles"/>
    <s v="0y 3m 12d"/>
    <s v="Female"/>
    <s v="No"/>
    <s v="Brown"/>
    <s v="No"/>
    <m/>
    <x v="8"/>
    <s v="Run 3"/>
    <s v="HW-"/>
  </r>
  <r>
    <s v=""/>
    <s v="A0059565303"/>
    <s v="Yes"/>
    <s v="Active"/>
    <x v="3"/>
    <x v="1"/>
    <s v="Terrier, American Pit Bull"/>
    <s v="Tilly"/>
    <s v="0y 3m 12d"/>
    <s v="Female"/>
    <s v="No"/>
    <s v="White"/>
    <s v="No"/>
    <m/>
    <x v="8"/>
    <s v="Run 3"/>
    <s v="HW-"/>
  </r>
  <r>
    <s v=""/>
    <s v="A0059565213"/>
    <s v="Yes"/>
    <s v="Active"/>
    <x v="2"/>
    <x v="1"/>
    <s v="Hound"/>
    <s v="Fufu"/>
    <s v="3y 0m 12d"/>
    <s v="Female"/>
    <s v="No"/>
    <s v="Tan"/>
    <s v="No"/>
    <m/>
    <x v="1"/>
    <s v="Equipment Storage Area"/>
    <s v="HW -"/>
  </r>
  <r>
    <s v=""/>
    <s v="A0059565025"/>
    <s v="Yes"/>
    <s v="Active"/>
    <x v="3"/>
    <x v="1"/>
    <s v="Terrier, Pit Bull"/>
    <s v="Farrty"/>
    <s v="2y 0m 12d"/>
    <s v="Female"/>
    <s v="No"/>
    <s v="Black"/>
    <s v="No"/>
    <m/>
    <x v="8"/>
    <s v="Run 3"/>
    <s v="HW-4"/>
  </r>
  <r>
    <s v=""/>
    <s v="A0059563722"/>
    <s v="Yes"/>
    <s v="Active"/>
    <x v="6"/>
    <x v="0"/>
    <s v="Domestic Shorthair"/>
    <m/>
    <s v="0y 1m 23d"/>
    <s v="Unknown"/>
    <s v="No"/>
    <s v="Orange"/>
    <s v="No"/>
    <m/>
    <x v="12"/>
    <s v="Pop up cage - no #"/>
    <m/>
  </r>
  <r>
    <s v=""/>
    <s v="A0059563713"/>
    <s v="Yes"/>
    <s v="Active"/>
    <x v="6"/>
    <x v="0"/>
    <s v="Domestic Shorthair"/>
    <m/>
    <s v="0y 1m 23d"/>
    <s v="Unknown"/>
    <s v="No"/>
    <s v="Orange"/>
    <s v="No"/>
    <m/>
    <x v="12"/>
    <s v="Pop up cage - no #"/>
    <m/>
  </r>
  <r>
    <s v=""/>
    <s v="A0059563711"/>
    <s v="Yes"/>
    <s v="Active"/>
    <x v="6"/>
    <x v="0"/>
    <s v="Domestic Shorthair"/>
    <m/>
    <s v="0y 1m 23d"/>
    <s v="Unknown"/>
    <s v="No"/>
    <s v="Orange"/>
    <s v="No"/>
    <m/>
    <x v="12"/>
    <s v="Pop up cage - no #"/>
    <m/>
  </r>
  <r>
    <s v=""/>
    <s v="A0059563700"/>
    <s v="Yes"/>
    <s v="Active"/>
    <x v="6"/>
    <x v="0"/>
    <s v="Domestic Shorthair"/>
    <m/>
    <s v="0y 1m 23d"/>
    <s v="Unknown"/>
    <s v="No"/>
    <s v="Black"/>
    <s v="No"/>
    <m/>
    <x v="12"/>
    <s v="Pop up cage - no #"/>
    <m/>
  </r>
  <r>
    <s v=""/>
    <s v="A0059563511"/>
    <s v="Yes"/>
    <s v="Active"/>
    <x v="4"/>
    <x v="1"/>
    <s v="Mixed Breed, Small (under 24 lbs fully grown)"/>
    <s v="Kota"/>
    <s v="0y 8m 12d"/>
    <s v="Female"/>
    <s v="No"/>
    <s v="Black"/>
    <s v="No"/>
    <m/>
    <x v="7"/>
    <s v="2"/>
    <m/>
  </r>
  <r>
    <s v=""/>
    <s v="A0059561541"/>
    <s v="Yes"/>
    <s v="Active"/>
    <x v="1"/>
    <x v="1"/>
    <s v="Mastiff"/>
    <s v="Thor (C Fletcher)"/>
    <s v="1y 0m 12d"/>
    <s v="Male"/>
    <s v="No"/>
    <s v="Black"/>
    <s v="No"/>
    <m/>
    <x v="5"/>
    <s v="AdoptionTrial"/>
    <s v="HW+4"/>
  </r>
  <r>
    <s v=""/>
    <s v="A0059558069"/>
    <s v="Yes"/>
    <s v="Active"/>
    <x v="7"/>
    <x v="1"/>
    <s v="Terrier"/>
    <s v="Lexi (D Robinson-Fripp)"/>
    <s v="0y 4m 13d"/>
    <s v="Female"/>
    <s v="Yes"/>
    <s v="Black"/>
    <s v="No"/>
    <s v="941000031683739"/>
    <x v="1"/>
    <s v="Equipment Storage Area"/>
    <s v="HW-3"/>
  </r>
  <r>
    <s v=""/>
    <s v="A0059555933"/>
    <s v="Yes"/>
    <s v="Active"/>
    <x v="2"/>
    <x v="0"/>
    <s v="Domestic Shorthair"/>
    <s v="Lucy (J Wigger)"/>
    <s v="0y 1m 24d"/>
    <s v="Female"/>
    <s v="No"/>
    <s v="White"/>
    <s v="No"/>
    <m/>
    <x v="5"/>
    <s v="AdoptAmbassador"/>
    <m/>
  </r>
  <r>
    <s v=""/>
    <s v="A0059555922"/>
    <s v="Yes"/>
    <s v="Active"/>
    <x v="2"/>
    <x v="0"/>
    <s v="Domestic Shorthair"/>
    <s v="Chunky (J Wigger)"/>
    <s v="0y 1m 24d"/>
    <s v="Male"/>
    <s v="No"/>
    <s v="Orange"/>
    <s v="No"/>
    <m/>
    <x v="5"/>
    <s v="AdoptAmbassador"/>
    <m/>
  </r>
  <r>
    <s v=""/>
    <s v="A0059555916"/>
    <s v="Yes"/>
    <s v="Active"/>
    <x v="8"/>
    <x v="0"/>
    <s v="Domestic Shorthair"/>
    <s v="Pumpkin (J Wigger)"/>
    <s v="0y 1m 24d"/>
    <s v="Female"/>
    <s v="No"/>
    <s v="White"/>
    <s v="No"/>
    <m/>
    <x v="5"/>
    <s v="AdoptionTrial"/>
    <m/>
  </r>
  <r>
    <s v=""/>
    <s v="A0059550521"/>
    <s v="Yes"/>
    <s v="Active"/>
    <x v="5"/>
    <x v="2"/>
    <s v="Guinea Pig"/>
    <s v="Smores"/>
    <s v=""/>
    <s v="Female"/>
    <s v="No"/>
    <s v="Beige"/>
    <s v="No"/>
    <m/>
    <x v="9"/>
    <s v="Laura's office"/>
    <m/>
  </r>
  <r>
    <s v=""/>
    <s v="A0059550488"/>
    <s v="Yes"/>
    <s v="Active"/>
    <x v="5"/>
    <x v="2"/>
    <s v="Guinea Pig"/>
    <s v="Coffee"/>
    <s v=""/>
    <s v="Female"/>
    <s v="No"/>
    <s v="Black"/>
    <s v="No"/>
    <m/>
    <x v="9"/>
    <s v="Laura's office"/>
    <m/>
  </r>
  <r>
    <s v=""/>
    <s v="A0059550352"/>
    <s v="Yes"/>
    <s v="Active"/>
    <x v="8"/>
    <x v="0"/>
    <s v="Domestic Shorthair"/>
    <s v="Doja (D Sparks)"/>
    <s v="0y 1m 12d"/>
    <s v="Female"/>
    <s v="No"/>
    <s v="Grey"/>
    <s v="No"/>
    <m/>
    <x v="5"/>
    <s v="AdoptionTrial"/>
    <m/>
  </r>
  <r>
    <s v=""/>
    <s v="A0059549834"/>
    <s v="Yes"/>
    <s v="Active"/>
    <x v="8"/>
    <x v="0"/>
    <s v="Domestic Shorthair"/>
    <s v="Misty (R Riddle)"/>
    <s v="0y 1m 25d"/>
    <s v="Female"/>
    <s v="No"/>
    <s v="Black"/>
    <s v="No"/>
    <m/>
    <x v="5"/>
    <s v="AdoptionTrial"/>
    <m/>
  </r>
  <r>
    <s v=""/>
    <s v="A0059549368"/>
    <s v="Yes"/>
    <s v="Active"/>
    <x v="2"/>
    <x v="1"/>
    <s v="Mixed Breed, Medium (up to 44 lbs fully grown)"/>
    <s v="Nana"/>
    <s v=""/>
    <s v="Female"/>
    <s v="No"/>
    <s v="Brindle"/>
    <s v="No"/>
    <m/>
    <x v="1"/>
    <s v="Equipment Storage Area"/>
    <s v="HW+"/>
  </r>
  <r>
    <s v=""/>
    <s v="A0059548989"/>
    <s v="Yes"/>
    <s v="Active"/>
    <x v="9"/>
    <x v="1"/>
    <s v="Coonhound, Black and Tan"/>
    <s v="Zuko (M. Fichera)"/>
    <s v="0y 5m 13d"/>
    <s v="Male"/>
    <s v="No"/>
    <s v="Black"/>
    <s v="No"/>
    <s v="985113010196005"/>
    <x v="5"/>
    <s v="AdoptAmbassador"/>
    <m/>
  </r>
  <r>
    <s v=""/>
    <s v="A0059535694"/>
    <s v="Yes"/>
    <s v="Active"/>
    <x v="10"/>
    <x v="0"/>
    <s v="Domestic Shorthair"/>
    <s v="Finley (A. Flynt)"/>
    <s v="0y 0m 19d"/>
    <s v="Unknown"/>
    <s v="No"/>
    <s v="White"/>
    <s v="No"/>
    <m/>
    <x v="5"/>
    <s v="AdoptAmbassador"/>
    <m/>
  </r>
  <r>
    <s v=""/>
    <s v="A0059533915"/>
    <s v="Yes"/>
    <s v="Active"/>
    <x v="4"/>
    <x v="1"/>
    <s v="German Shepherd"/>
    <s v="Xander"/>
    <s v="0y 8m 5d"/>
    <s v="Male"/>
    <s v="No"/>
    <s v="Black"/>
    <s v="No"/>
    <m/>
    <x v="4"/>
    <s v="Pen 3"/>
    <s v="HW-4"/>
  </r>
  <r>
    <s v=""/>
    <s v="A0059533914"/>
    <s v="Yes"/>
    <s v="Active"/>
    <x v="4"/>
    <x v="1"/>
    <s v="German Shepherd"/>
    <s v="Buffy"/>
    <s v="0y 8m 5d"/>
    <s v="Female"/>
    <s v="No"/>
    <s v="Black"/>
    <s v="No"/>
    <m/>
    <x v="4"/>
    <s v="Pen 3"/>
    <s v="HW-3"/>
  </r>
  <r>
    <s v=""/>
    <s v="A0059533911"/>
    <s v="Yes"/>
    <s v="Active"/>
    <x v="4"/>
    <x v="1"/>
    <s v="German Shepherd"/>
    <s v="Willow"/>
    <s v="0y 8m 5d"/>
    <s v="Female"/>
    <s v="No"/>
    <s v="Black"/>
    <s v="No"/>
    <m/>
    <x v="4"/>
    <s v="Pen 3"/>
    <s v="HW-3"/>
  </r>
  <r>
    <s v=""/>
    <s v="A0059533786"/>
    <s v="Yes"/>
    <s v="Active"/>
    <x v="2"/>
    <x v="1"/>
    <s v="Mixed Breed, Large (over 44 lbs fully grown)"/>
    <s v="Joy"/>
    <s v="6y 0m 16d"/>
    <s v="Female"/>
    <s v="No"/>
    <s v="Tan"/>
    <s v="No"/>
    <m/>
    <x v="10"/>
    <s v="4"/>
    <s v="HW-3"/>
  </r>
  <r>
    <s v=""/>
    <s v="A0059533784"/>
    <s v="Yes"/>
    <s v="Active"/>
    <x v="2"/>
    <x v="1"/>
    <s v="Mixed Breed, Large (over 44 lbs fully grown)"/>
    <s v="Earl"/>
    <s v="5y 0m 16d"/>
    <s v="Male"/>
    <s v="No"/>
    <s v="Tan"/>
    <s v="No"/>
    <m/>
    <x v="7"/>
    <s v="6"/>
    <s v="HW-4"/>
  </r>
  <r>
    <s v=""/>
    <s v="A0059533783"/>
    <s v="Yes"/>
    <s v="Active"/>
    <x v="2"/>
    <x v="1"/>
    <s v="Mixed Breed, Large (over 44 lbs fully grown)"/>
    <s v="Randy"/>
    <s v="4y 0m 16d"/>
    <s v="Male"/>
    <s v="No"/>
    <s v="Tan"/>
    <s v="No"/>
    <m/>
    <x v="10"/>
    <s v="4"/>
    <s v="HW+3"/>
  </r>
  <r>
    <s v=""/>
    <s v="A0059531269"/>
    <s v="Yes"/>
    <s v="Active"/>
    <x v="5"/>
    <x v="1"/>
    <s v="Coonhound"/>
    <s v="Earl"/>
    <s v="4y 0m 18d"/>
    <s v="Male"/>
    <s v="Yes"/>
    <s v="Black"/>
    <s v="No"/>
    <s v="941000031784686"/>
    <x v="10"/>
    <s v="2"/>
    <s v="HW-"/>
  </r>
  <r>
    <s v=""/>
    <s v="A0059531197"/>
    <s v="Yes"/>
    <s v="Active"/>
    <x v="5"/>
    <x v="1"/>
    <s v="Hound"/>
    <s v="Rufus"/>
    <s v="4y 0m 18d"/>
    <s v="Male"/>
    <s v="Yes"/>
    <s v="Black"/>
    <s v="No"/>
    <s v="941000031784729"/>
    <x v="10"/>
    <s v="2"/>
    <s v="HW-"/>
  </r>
  <r>
    <s v=""/>
    <s v="A0059530196"/>
    <s v="Yes"/>
    <s v="Active"/>
    <x v="3"/>
    <x v="1"/>
    <s v="Alaskan Malamute"/>
    <m/>
    <s v=""/>
    <s v="Unknown"/>
    <s v="No"/>
    <s v="Black"/>
    <s v="No"/>
    <m/>
    <x v="4"/>
    <s v="Pen 2"/>
    <m/>
  </r>
  <r>
    <s v=""/>
    <s v="A0059530178"/>
    <s v="Yes"/>
    <s v="Active"/>
    <x v="3"/>
    <x v="1"/>
    <s v="Alaskan Malamute"/>
    <m/>
    <s v=""/>
    <s v="Female"/>
    <s v="No"/>
    <s v="Black"/>
    <s v="No"/>
    <m/>
    <x v="4"/>
    <s v="Pen 4"/>
    <m/>
  </r>
  <r>
    <s v=""/>
    <s v="A0059530164"/>
    <s v="Yes"/>
    <s v="Active"/>
    <x v="3"/>
    <x v="1"/>
    <s v="Alaskan Malamute"/>
    <s v="Aspen"/>
    <s v="2y 0m 6d"/>
    <s v="Female"/>
    <s v="No"/>
    <s v="Black"/>
    <s v="No"/>
    <m/>
    <x v="8"/>
    <s v="Run 1"/>
    <s v="HW+4"/>
  </r>
  <r>
    <s v=""/>
    <s v="A0059465919"/>
    <s v="Yes"/>
    <s v="Active"/>
    <x v="6"/>
    <x v="0"/>
    <s v="Domestic Shorthair"/>
    <s v="Marla (M. Girardeau)"/>
    <s v="0y 1m 19d"/>
    <s v="Female"/>
    <s v="No"/>
    <s v="Black"/>
    <s v="No"/>
    <m/>
    <x v="5"/>
    <s v="AdoptAmbassador"/>
    <m/>
  </r>
  <r>
    <s v=""/>
    <s v="A0059462158"/>
    <s v="Yes"/>
    <s v="Active"/>
    <x v="3"/>
    <x v="1"/>
    <s v="Alaskan Malamute"/>
    <s v="Everest"/>
    <s v="5y 0m 18d"/>
    <s v="Female"/>
    <s v="No"/>
    <s v="White"/>
    <s v="No"/>
    <m/>
    <x v="7"/>
    <s v="11"/>
    <s v="HW+4"/>
  </r>
  <r>
    <s v=""/>
    <s v="A0059459266"/>
    <s v="Yes"/>
    <s v="Active"/>
    <x v="8"/>
    <x v="0"/>
    <s v="Domestic Shorthair"/>
    <s v="Cheddar (J. Kinard)"/>
    <s v="0y 2m 14d"/>
    <s v="Male"/>
    <s v="No"/>
    <s v="Orange"/>
    <s v="No"/>
    <m/>
    <x v="5"/>
    <s v="AdoptionTrial"/>
    <m/>
  </r>
  <r>
    <s v=""/>
    <s v="A0059459081"/>
    <s v=""/>
    <s v="Active"/>
    <x v="2"/>
    <x v="1"/>
    <s v="Terrier, Pit Bull"/>
    <s v="Fern"/>
    <s v="3y 0m 16d"/>
    <s v="Female"/>
    <s v="No"/>
    <s v="White"/>
    <s v="No"/>
    <m/>
    <x v="1"/>
    <s v="Equipment Storage Area"/>
    <s v="HW-"/>
  </r>
  <r>
    <s v=""/>
    <s v="A0059458893"/>
    <s v="Yes"/>
    <s v="Active"/>
    <x v="5"/>
    <x v="0"/>
    <s v="Domestic Shorthair"/>
    <s v="Hades"/>
    <s v="0y 4m 14d"/>
    <s v="Male"/>
    <s v="Yes"/>
    <s v="Black"/>
    <s v="No"/>
    <s v="941000031684077"/>
    <x v="11"/>
    <s v="Bank 1 Cage 4"/>
    <m/>
  </r>
  <r>
    <s v=""/>
    <s v="A0059458085"/>
    <s v="Yes"/>
    <s v="Active"/>
    <x v="2"/>
    <x v="1"/>
    <s v="Mixed Breed, Medium (up to 44 lbs fully grown)"/>
    <s v="Presley (J. Cahill)"/>
    <s v="0y 2m 15d"/>
    <s v="Male"/>
    <s v="No"/>
    <s v="White"/>
    <s v="No"/>
    <m/>
    <x v="5"/>
    <s v="AdoptAmbassador"/>
    <m/>
  </r>
  <r>
    <s v=""/>
    <s v="A0059456833"/>
    <s v="Yes"/>
    <s v="Active"/>
    <x v="2"/>
    <x v="1"/>
    <s v="Mixed Breed, Large (over 44 lbs fully grown)"/>
    <s v="Pumba"/>
    <s v="3y 0m 20d"/>
    <s v="Male"/>
    <s v="No"/>
    <s v="Black"/>
    <s v="No"/>
    <m/>
    <x v="13"/>
    <s v="19"/>
    <s v="HW+3"/>
  </r>
  <r>
    <s v=""/>
    <s v="A0059446004"/>
    <s v="Yes"/>
    <s v="Active"/>
    <x v="4"/>
    <x v="1"/>
    <s v="Mixed Breed, Medium (up to 44 lbs fully grown)"/>
    <s v="Sugarfoot"/>
    <s v="4y 0m 23d"/>
    <s v="Female"/>
    <s v="No"/>
    <s v="Black"/>
    <s v="No"/>
    <m/>
    <x v="10"/>
    <s v="1"/>
    <s v="HW+"/>
  </r>
  <r>
    <s v=""/>
    <s v="A0059445995"/>
    <s v="Yes"/>
    <s v="Active"/>
    <x v="2"/>
    <x v="1"/>
    <s v="Mixed Breed, Large (over 44 lbs fully grown)"/>
    <s v="Deeno"/>
    <s v="4y 0m 23d"/>
    <s v="Male"/>
    <s v="No"/>
    <s v="Grey"/>
    <s v="No"/>
    <m/>
    <x v="10"/>
    <s v="1"/>
    <s v="HW+"/>
  </r>
  <r>
    <s v=""/>
    <s v="A0059438661"/>
    <s v="Yes"/>
    <s v="Active"/>
    <x v="2"/>
    <x v="0"/>
    <s v="Domestic Shorthair"/>
    <s v="Bedon (H. Pearce)"/>
    <s v="0y 2m 19d"/>
    <s v="Male"/>
    <s v="No"/>
    <s v="Black"/>
    <s v="No"/>
    <m/>
    <x v="5"/>
    <s v="AdoptAmbassador"/>
    <m/>
  </r>
  <r>
    <s v=""/>
    <s v="A0059438453"/>
    <s v=""/>
    <s v="Active"/>
    <x v="3"/>
    <x v="1"/>
    <s v="Mixed Breed, Large (over 44 lbs fully grown)"/>
    <m/>
    <s v="2y 0m 24d"/>
    <s v="Female"/>
    <s v="No"/>
    <s v="White"/>
    <s v="No"/>
    <m/>
    <x v="13"/>
    <s v="16"/>
    <m/>
  </r>
  <r>
    <s v=""/>
    <s v="A0059438447"/>
    <s v=""/>
    <s v="Active"/>
    <x v="3"/>
    <x v="1"/>
    <s v="Mixed Breed, Large (over 44 lbs fully grown)"/>
    <m/>
    <s v="2y 0m 24d"/>
    <s v="Female"/>
    <s v="No"/>
    <s v="White"/>
    <s v="No"/>
    <m/>
    <x v="13"/>
    <s v="16"/>
    <m/>
  </r>
  <r>
    <s v=""/>
    <s v="A0059438430"/>
    <s v=""/>
    <s v="Active"/>
    <x v="3"/>
    <x v="1"/>
    <s v="Mixed Breed, Large (over 44 lbs fully grown)"/>
    <m/>
    <s v="2y 0m 24d"/>
    <s v="Male"/>
    <s v="No"/>
    <s v="Brindle"/>
    <s v="No"/>
    <m/>
    <x v="13"/>
    <s v="6"/>
    <m/>
  </r>
  <r>
    <s v=""/>
    <s v="A0059431975"/>
    <s v="Yes"/>
    <s v="Active"/>
    <x v="2"/>
    <x v="1"/>
    <s v="Hound"/>
    <s v="Gomez"/>
    <s v="3y 6m 23d"/>
    <s v="Male"/>
    <s v="No"/>
    <s v="Black"/>
    <s v="No"/>
    <m/>
    <x v="13"/>
    <s v="18"/>
    <s v="HW-4"/>
  </r>
  <r>
    <s v=""/>
    <s v="A0059423930"/>
    <s v="Yes"/>
    <s v="Active"/>
    <x v="8"/>
    <x v="1"/>
    <s v="Mixed Breed, Medium (up to 44 lbs fully grown)"/>
    <s v="Spot (J. Bowers)"/>
    <s v="0y 2m 7d"/>
    <s v="Female"/>
    <s v="Yes"/>
    <s v="White"/>
    <s v="No"/>
    <s v="941000031684415"/>
    <x v="5"/>
    <s v="AdoptionTrial"/>
    <m/>
  </r>
  <r>
    <s v=""/>
    <s v="A0059419683"/>
    <s v="Yes"/>
    <s v="Active"/>
    <x v="6"/>
    <x v="1"/>
    <s v="Terrier, Pit Bull"/>
    <s v="Lorelai"/>
    <s v="5y 0m 26d"/>
    <s v="Female"/>
    <s v="No"/>
    <s v="Brown"/>
    <s v="No"/>
    <m/>
    <x v="7"/>
    <s v="Medical Kennel"/>
    <s v="HW+3"/>
  </r>
  <r>
    <s v=""/>
    <s v="A0059409842"/>
    <s v="Yes"/>
    <s v="Active"/>
    <x v="5"/>
    <x v="0"/>
    <s v="Domestic Shorthair"/>
    <s v="Sprite"/>
    <s v="0y 9m 28d"/>
    <s v="Male"/>
    <s v="Yes"/>
    <s v="Black"/>
    <s v="No"/>
    <m/>
    <x v="6"/>
    <s v="Cage 6"/>
    <m/>
  </r>
  <r>
    <s v=""/>
    <s v="A0059409833"/>
    <s v="Yes"/>
    <s v="Active"/>
    <x v="5"/>
    <x v="0"/>
    <s v="Domestic Shorthair"/>
    <s v="Oscar"/>
    <s v="0y 9m 28d"/>
    <s v="Male"/>
    <s v="Yes"/>
    <s v="Black"/>
    <s v="No"/>
    <m/>
    <x v="6"/>
    <s v="Cage 6"/>
    <m/>
  </r>
  <r>
    <s v=""/>
    <s v="A0059409313"/>
    <s v="Yes"/>
    <s v="Active"/>
    <x v="5"/>
    <x v="0"/>
    <s v="Domestic Shorthair"/>
    <s v="Tommy [Barn Cat]"/>
    <s v="2y 2m 14d"/>
    <s v="Male"/>
    <s v="Yes"/>
    <s v="Brown"/>
    <s v="No"/>
    <s v="941000031784874"/>
    <x v="6"/>
    <s v="Cage 1"/>
    <m/>
  </r>
  <r>
    <s v=""/>
    <s v="A0059407357"/>
    <s v="Yes"/>
    <s v="Active"/>
    <x v="2"/>
    <x v="1"/>
    <s v="Terrier, Pit Bull"/>
    <s v="Bruno"/>
    <s v="3y 0m 26d"/>
    <s v="Male"/>
    <s v="No"/>
    <s v="Tan"/>
    <s v="No"/>
    <m/>
    <x v="1"/>
    <s v="Equipment Storage Area"/>
    <s v="HW+4"/>
  </r>
  <r>
    <s v=""/>
    <s v="A0059406803"/>
    <s v="Yes"/>
    <s v="Active"/>
    <x v="2"/>
    <x v="1"/>
    <s v="Terrier, American Pit Bull"/>
    <s v="Rocky"/>
    <s v="4y 0m 27d"/>
    <s v="Male"/>
    <s v="No"/>
    <s v="Brown"/>
    <s v="No"/>
    <m/>
    <x v="7"/>
    <s v="9"/>
    <s v="HW+3"/>
  </r>
  <r>
    <s v=""/>
    <s v="A0059398109"/>
    <s v="Yes"/>
    <s v="Active"/>
    <x v="2"/>
    <x v="0"/>
    <s v="Domestic Shorthair"/>
    <s v="Dora (K Robinson)"/>
    <s v="0y 2m 19d"/>
    <s v="Female"/>
    <s v="No"/>
    <s v="Grey"/>
    <s v="No"/>
    <m/>
    <x v="5"/>
    <s v="AdoptAmbassador"/>
    <m/>
  </r>
  <r>
    <s v=""/>
    <s v="A0059398093"/>
    <s v="Yes"/>
    <s v="Active"/>
    <x v="8"/>
    <x v="0"/>
    <s v="Domestic Shorthair"/>
    <s v="Isa (C Black)"/>
    <s v="0y 2m 6d"/>
    <s v="Female"/>
    <s v="No"/>
    <s v="Black"/>
    <s v="No"/>
    <m/>
    <x v="5"/>
    <s v="AdoptionTrial"/>
    <m/>
  </r>
  <r>
    <s v=""/>
    <s v="A0059395399"/>
    <s v="Yes"/>
    <s v="Active"/>
    <x v="2"/>
    <x v="1"/>
    <s v="Terrier"/>
    <s v="Harry"/>
    <s v="1y 1m 1d"/>
    <s v="Male"/>
    <s v="No"/>
    <s v="Black"/>
    <s v="No"/>
    <m/>
    <x v="7"/>
    <s v="7"/>
    <s v="HW -"/>
  </r>
  <r>
    <s v=""/>
    <s v="A0059391437"/>
    <s v="Yes"/>
    <s v="Active"/>
    <x v="2"/>
    <x v="1"/>
    <s v="Terrier, American Pit Bull"/>
    <s v="Bear"/>
    <s v="2y 1m 1d"/>
    <s v="Male"/>
    <s v="No"/>
    <s v="Brown"/>
    <s v="No"/>
    <m/>
    <x v="1"/>
    <s v="Equipment Storage Area"/>
    <s v="HW -"/>
  </r>
  <r>
    <s v=""/>
    <s v="A0059387936"/>
    <s v="Yes"/>
    <s v="Active"/>
    <x v="8"/>
    <x v="1"/>
    <s v="Mixed Breed, Medium (up to 44 lbs fully grown)"/>
    <s v="Prince (A Peterson)"/>
    <s v="0y 4m 2d"/>
    <s v="Male"/>
    <s v="No"/>
    <s v="Brown"/>
    <s v="No"/>
    <s v="941000031735778"/>
    <x v="5"/>
    <s v="AdoptionTrial"/>
    <m/>
  </r>
  <r>
    <s v=""/>
    <s v="A0059371437"/>
    <s v="Yes"/>
    <s v="Active"/>
    <x v="2"/>
    <x v="0"/>
    <s v="Domestic Shorthair"/>
    <s v="Boo (H. Pearce)"/>
    <s v="0y 2m 19d"/>
    <s v="Female"/>
    <s v="No"/>
    <s v="Black"/>
    <s v="No"/>
    <m/>
    <x v="5"/>
    <s v="AdoptAmbassador"/>
    <m/>
  </r>
  <r>
    <s v=""/>
    <s v="A0059366991"/>
    <s v="Yes"/>
    <s v="Active"/>
    <x v="10"/>
    <x v="0"/>
    <s v="Domestic Medium Hair"/>
    <s v="(P. Pellum)"/>
    <s v="0y 2m 8d"/>
    <s v="Female"/>
    <s v="No"/>
    <s v="Grey"/>
    <s v="No"/>
    <m/>
    <x v="5"/>
    <s v="AdoptAmbassador"/>
    <m/>
  </r>
  <r>
    <s v=""/>
    <s v="A0059366988"/>
    <s v="Yes"/>
    <s v="Active"/>
    <x v="10"/>
    <x v="0"/>
    <s v="Domestic Shorthair"/>
    <s v="(P. Pellum)"/>
    <s v="0y 2m 8d"/>
    <s v="Female"/>
    <s v="No"/>
    <s v="Brown"/>
    <s v="No"/>
    <m/>
    <x v="5"/>
    <s v="AdoptAmbassador"/>
    <m/>
  </r>
  <r>
    <s v=""/>
    <s v="A0059366979"/>
    <s v="Yes"/>
    <s v="Active"/>
    <x v="10"/>
    <x v="0"/>
    <s v="Domestic Shorthair"/>
    <s v="(P. Pellum)"/>
    <s v="0y 2m 8d"/>
    <s v="Male"/>
    <s v="No"/>
    <s v="Black"/>
    <s v="No"/>
    <m/>
    <x v="5"/>
    <s v="AdoptAmbassador"/>
    <m/>
  </r>
  <r>
    <s v=""/>
    <s v="A0059366978"/>
    <s v="Yes"/>
    <s v="Active"/>
    <x v="10"/>
    <x v="0"/>
    <s v="Domestic Medium Hair"/>
    <s v="(P. Pellum)"/>
    <s v="0y 2m 8d"/>
    <s v="Female"/>
    <s v="No"/>
    <s v="Grey"/>
    <s v="No"/>
    <m/>
    <x v="5"/>
    <s v="AdoptAmbassador"/>
    <m/>
  </r>
  <r>
    <s v=""/>
    <s v="A0059366976"/>
    <s v="Yes"/>
    <s v="Active"/>
    <x v="10"/>
    <x v="0"/>
    <s v="Domestic Shorthair"/>
    <s v="(P. Pellum)"/>
    <s v="0y 2m 8d"/>
    <s v="Female"/>
    <s v="No"/>
    <s v="Black"/>
    <s v="No"/>
    <m/>
    <x v="5"/>
    <s v="AdoptAmbassador"/>
    <m/>
  </r>
  <r>
    <s v=""/>
    <s v="A0059364488"/>
    <s v="Yes"/>
    <s v="Active"/>
    <x v="10"/>
    <x v="0"/>
    <s v="Domestic Shorthair"/>
    <s v="Dewey"/>
    <s v="0y 1m 19d"/>
    <s v="Male"/>
    <s v="No"/>
    <s v="Grey"/>
    <s v="No"/>
    <m/>
    <x v="12"/>
    <s v="Pop up cage - no #"/>
    <m/>
  </r>
  <r>
    <s v=""/>
    <s v="A0059364485"/>
    <s v="Yes"/>
    <s v="Active"/>
    <x v="10"/>
    <x v="0"/>
    <s v="Domestic Shorthair"/>
    <s v="Billy"/>
    <s v="0y 1m 19d"/>
    <s v="Male"/>
    <s v="No"/>
    <s v="Grey"/>
    <s v="No"/>
    <m/>
    <x v="12"/>
    <s v="Pop up cage - no #"/>
    <m/>
  </r>
  <r>
    <s v=""/>
    <s v="A0059364482"/>
    <s v="Yes"/>
    <s v="Active"/>
    <x v="11"/>
    <x v="0"/>
    <s v="Domestic Shorthair"/>
    <s v="Stu (preadopted J Kinard)"/>
    <s v="0y 1m 19d"/>
    <s v="Male"/>
    <s v="No"/>
    <s v="Grey"/>
    <s v="No"/>
    <m/>
    <x v="12"/>
    <s v="Pop up cage - no #"/>
    <m/>
  </r>
  <r>
    <s v=""/>
    <s v="A0059364446"/>
    <s v="Yes"/>
    <s v="Active"/>
    <x v="10"/>
    <x v="0"/>
    <s v="Domestic Shorthair"/>
    <s v="Tatum"/>
    <s v="0y 1m 19d"/>
    <s v="Female"/>
    <s v="No"/>
    <s v="Grey"/>
    <s v="No"/>
    <m/>
    <x v="12"/>
    <s v="Pop up cage - no #"/>
    <m/>
  </r>
  <r>
    <s v=""/>
    <s v="A0059364421"/>
    <s v="Yes"/>
    <s v="Active"/>
    <x v="2"/>
    <x v="0"/>
    <s v="Domestic Shorthair"/>
    <s v="Casey"/>
    <s v="3y 0m 19d"/>
    <s v="Female"/>
    <s v="No"/>
    <s v="Grey"/>
    <s v="No"/>
    <m/>
    <x v="12"/>
    <s v="Pop up cage - no #"/>
    <m/>
  </r>
  <r>
    <s v=""/>
    <s v="A0059363522"/>
    <s v=""/>
    <s v="Active"/>
    <x v="8"/>
    <x v="0"/>
    <s v="Domestic Shorthair"/>
    <s v="Toes (C. Demers)"/>
    <s v="0y 2m 2d"/>
    <s v="Male"/>
    <s v="No"/>
    <s v="Black"/>
    <s v="No"/>
    <m/>
    <x v="5"/>
    <s v="AdoptionTrial"/>
    <m/>
  </r>
  <r>
    <s v=""/>
    <s v="A0059363288"/>
    <s v="Yes"/>
    <s v="Active"/>
    <x v="2"/>
    <x v="0"/>
    <s v="Domestic Shorthair"/>
    <s v="Cali (C. Demers)"/>
    <s v=""/>
    <s v="Female"/>
    <s v="No"/>
    <s v="White"/>
    <s v="No"/>
    <m/>
    <x v="5"/>
    <s v="AdoptAmbassador"/>
    <m/>
  </r>
  <r>
    <s v=""/>
    <s v="A0059362072"/>
    <s v="Yes"/>
    <s v="Active"/>
    <x v="5"/>
    <x v="1"/>
    <s v="Retriever, Labrador"/>
    <s v="Hershey"/>
    <s v="2y 1m 5d"/>
    <s v="Male"/>
    <s v="Yes"/>
    <s v="Brown"/>
    <s v="No"/>
    <s v="941000031684297"/>
    <x v="7"/>
    <s v="Medical Kennel"/>
    <s v="HW -"/>
  </r>
  <r>
    <s v=""/>
    <s v="A0059358304"/>
    <s v=""/>
    <s v="Active"/>
    <x v="8"/>
    <x v="0"/>
    <s v="Domestic Shorthair"/>
    <s v="Jasmine (C. Young)"/>
    <s v="0y 3m 28d"/>
    <s v="Female"/>
    <s v="No"/>
    <s v="Black"/>
    <s v="No"/>
    <m/>
    <x v="5"/>
    <s v="AdoptionTrial"/>
    <m/>
  </r>
  <r>
    <s v=""/>
    <s v="A0059358291"/>
    <s v="Yes"/>
    <s v="Active"/>
    <x v="8"/>
    <x v="0"/>
    <s v="Domestic Shorthair"/>
    <s v="Ali (C. Young)"/>
    <s v="0y 3m 28d"/>
    <s v="Female"/>
    <s v="No"/>
    <s v="Orange"/>
    <s v="No"/>
    <m/>
    <x v="5"/>
    <s v="AdoptionTrial"/>
    <m/>
  </r>
  <r>
    <s v=""/>
    <s v="A0059354378"/>
    <s v="Yes"/>
    <s v="Active"/>
    <x v="5"/>
    <x v="1"/>
    <s v="Mixed Breed, Medium (up to 44 lbs fully grown)"/>
    <s v="Java"/>
    <s v="1y 7m 5d"/>
    <s v="Male"/>
    <s v="Yes"/>
    <s v="Brown"/>
    <s v="No"/>
    <s v="941000031684052"/>
    <x v="7"/>
    <s v="13"/>
    <s v="HW-3"/>
  </r>
  <r>
    <s v=""/>
    <s v="A0059350629"/>
    <s v="Yes"/>
    <s v="Active"/>
    <x v="5"/>
    <x v="1"/>
    <s v="Cur, Black-Mouth"/>
    <s v="Homer"/>
    <s v="0y 4m 0d"/>
    <s v="Male"/>
    <s v="Yes"/>
    <s v="Brown"/>
    <s v="No"/>
    <s v="941000028853239"/>
    <x v="7"/>
    <s v="10"/>
    <s v="HW-"/>
  </r>
  <r>
    <s v=""/>
    <s v="A0059350618"/>
    <s v="Yes"/>
    <s v="Active"/>
    <x v="5"/>
    <x v="1"/>
    <s v="Cur, Black-Mouth"/>
    <s v="Marge"/>
    <s v="0y 4m 0d"/>
    <s v="Female"/>
    <s v="Yes"/>
    <s v="Brown"/>
    <s v="No"/>
    <s v="941000028841259"/>
    <x v="7"/>
    <s v="10"/>
    <s v="HW-"/>
  </r>
  <r>
    <s v=""/>
    <s v="A0059348409"/>
    <s v="Yes"/>
    <s v="Active"/>
    <x v="5"/>
    <x v="1"/>
    <s v="Terrier"/>
    <s v="Ranger (C. Seward)"/>
    <s v="0y 11m 8d"/>
    <s v="Male"/>
    <s v="Yes"/>
    <s v="Brown"/>
    <s v="No"/>
    <s v="941000031684328"/>
    <x v="5"/>
    <s v="AdoptAmbassador"/>
    <s v="HW-"/>
  </r>
  <r>
    <s v=""/>
    <s v="A0059348394"/>
    <s v="Yes"/>
    <s v="Active"/>
    <x v="5"/>
    <x v="1"/>
    <s v="Terrier"/>
    <s v="Cap (C. Seward)"/>
    <s v="0y 11m 8d"/>
    <s v="Male"/>
    <s v="Yes"/>
    <s v="Brindle"/>
    <s v="No"/>
    <s v="941000031683643"/>
    <x v="5"/>
    <s v="AdoptAmbassador"/>
    <s v="HW-"/>
  </r>
  <r>
    <s v=""/>
    <s v="A0059341621"/>
    <s v="Yes"/>
    <s v="Active"/>
    <x v="2"/>
    <x v="0"/>
    <s v="Domestic Shorthair"/>
    <s v="Griswold (S. Gilroy)"/>
    <s v="0y 2m 0d"/>
    <s v="Male"/>
    <s v="No"/>
    <s v="Grey"/>
    <s v="No"/>
    <m/>
    <x v="5"/>
    <s v="AdoptAmbassador"/>
    <m/>
  </r>
  <r>
    <s v=""/>
    <s v="A0059341245"/>
    <s v="Yes"/>
    <s v="Active"/>
    <x v="0"/>
    <x v="0"/>
    <s v="Domestic Shorthair"/>
    <s v="Shy"/>
    <s v="1y 1m 9d"/>
    <s v="Female"/>
    <s v="Yes"/>
    <s v="Orange"/>
    <s v="No"/>
    <m/>
    <x v="14"/>
    <s v="Run 3"/>
    <m/>
  </r>
  <r>
    <s v=""/>
    <s v="A0059340484"/>
    <s v="Yes"/>
    <s v="Active"/>
    <x v="5"/>
    <x v="1"/>
    <s v="Shepherd"/>
    <s v="Moana"/>
    <s v="1y 7m 6d"/>
    <s v="Female"/>
    <s v="Yes"/>
    <s v="Brown"/>
    <s v="No"/>
    <s v="941000031684292"/>
    <x v="3"/>
    <s v="Medical Lobby Cages"/>
    <s v="HW+4"/>
  </r>
  <r>
    <s v=""/>
    <s v="A0059324409"/>
    <s v="Yes"/>
    <s v="Active"/>
    <x v="5"/>
    <x v="0"/>
    <s v="Domestic Shorthair"/>
    <s v="Evie"/>
    <s v="2y 1m 11d"/>
    <s v="Female"/>
    <s v="Yes"/>
    <s v="White"/>
    <s v="No"/>
    <m/>
    <x v="14"/>
    <s v="Run 3"/>
    <m/>
  </r>
  <r>
    <s v=""/>
    <s v="A0059324403"/>
    <s v="Yes"/>
    <s v="Active"/>
    <x v="5"/>
    <x v="0"/>
    <s v="Domestic Shorthair"/>
    <s v="Morgan"/>
    <s v="2y 1m 11d"/>
    <s v="Male"/>
    <s v="Yes"/>
    <s v="White"/>
    <s v="No"/>
    <m/>
    <x v="14"/>
    <s v="Run 3"/>
    <m/>
  </r>
  <r>
    <s v=""/>
    <s v="A0059319390"/>
    <s v="Yes"/>
    <s v="Active"/>
    <x v="2"/>
    <x v="0"/>
    <s v="Domestic Shorthair"/>
    <s v="Jam (J. Neal)"/>
    <s v="0y 2m 15d"/>
    <s v="Female"/>
    <s v="No"/>
    <s v="Brown"/>
    <s v="No"/>
    <m/>
    <x v="5"/>
    <s v="AdoptAmbassador"/>
    <m/>
  </r>
  <r>
    <s v=""/>
    <s v="A0059319379"/>
    <s v="Yes"/>
    <s v="Active"/>
    <x v="2"/>
    <x v="0"/>
    <s v="Domestic Shorthair"/>
    <s v="Toast (J. Neal)"/>
    <s v="0y 2m 15d"/>
    <s v="Male"/>
    <s v="No"/>
    <s v="Tan"/>
    <s v="No"/>
    <m/>
    <x v="5"/>
    <s v="AdoptAmbassador"/>
    <m/>
  </r>
  <r>
    <s v=""/>
    <s v="A0059318502"/>
    <s v="Yes"/>
    <s v="Active"/>
    <x v="11"/>
    <x v="1"/>
    <s v="Terrier"/>
    <s v="Wolfy-Pre Adopted"/>
    <s v="2y 1m 12d"/>
    <s v="Male"/>
    <s v="No"/>
    <s v="Brown"/>
    <s v="No"/>
    <m/>
    <x v="3"/>
    <s v="Medical Lobby Cages"/>
    <s v="HW+"/>
  </r>
  <r>
    <s v=""/>
    <s v="A0059318212"/>
    <s v="Yes"/>
    <s v="Active"/>
    <x v="6"/>
    <x v="0"/>
    <s v="Domestic Shorthair"/>
    <s v="Clove"/>
    <s v="4y 0m 19d"/>
    <s v="Female"/>
    <s v="No"/>
    <s v="Grey"/>
    <s v="No"/>
    <m/>
    <x v="2"/>
    <s v="2"/>
    <m/>
  </r>
  <r>
    <s v=""/>
    <s v="A0059318148"/>
    <s v="Yes"/>
    <s v="Active"/>
    <x v="5"/>
    <x v="1"/>
    <s v="Hound"/>
    <s v="Rooster"/>
    <s v="1y 1m 12d"/>
    <s v="Male"/>
    <s v="Yes"/>
    <s v="Black"/>
    <s v="No"/>
    <s v="941000031683727"/>
    <x v="13"/>
    <s v="15"/>
    <s v="HW+"/>
  </r>
  <r>
    <s v=""/>
    <s v="A0059317663"/>
    <s v="Yes"/>
    <s v="Active"/>
    <x v="6"/>
    <x v="0"/>
    <s v="Domestic Shorthair"/>
    <s v="Minky"/>
    <s v="14y 1m 12d"/>
    <s v="Female"/>
    <s v="Yes"/>
    <s v="Black"/>
    <s v="No"/>
    <s v="982000365614228"/>
    <x v="12"/>
    <s v="Upper Condo"/>
    <m/>
  </r>
  <r>
    <s v=""/>
    <s v="A0059317645"/>
    <s v="Yes"/>
    <s v="Active"/>
    <x v="2"/>
    <x v="0"/>
    <s v="Domestic Shorthair"/>
    <s v="Ryn (C Stanfield)"/>
    <s v="0y 4m 3d"/>
    <s v="Female"/>
    <s v="No"/>
    <s v="Black"/>
    <s v="No"/>
    <s v="941000031735637"/>
    <x v="5"/>
    <s v="AdoptAmbassador"/>
    <m/>
  </r>
  <r>
    <s v=""/>
    <s v="A0059317640"/>
    <s v="Yes"/>
    <s v="Active"/>
    <x v="6"/>
    <x v="0"/>
    <s v="Domestic Shorthair"/>
    <s v="Scrappy"/>
    <s v="14y 1m 12d"/>
    <s v="Male"/>
    <s v="Yes"/>
    <s v="Orange"/>
    <s v="No"/>
    <s v="982000365449947"/>
    <x v="12"/>
    <s v="Upper Condo"/>
    <m/>
  </r>
  <r>
    <s v=""/>
    <s v="A0059317070"/>
    <s v="Yes"/>
    <s v="Active"/>
    <x v="10"/>
    <x v="0"/>
    <s v="Domestic Shorthair"/>
    <s v="Danny Meowvito (A. Flynt)"/>
    <s v="0y 2m 8d"/>
    <s v="Male"/>
    <s v="No"/>
    <s v="Orange"/>
    <s v="No"/>
    <m/>
    <x v="5"/>
    <s v="AdoptAmbassador"/>
    <m/>
  </r>
  <r>
    <s v=""/>
    <s v="A0059317055"/>
    <s v="Yes"/>
    <s v="Active"/>
    <x v="10"/>
    <x v="0"/>
    <s v="Domestic Shorthair"/>
    <s v="Meowlle Pfeiffer  (A. Flynt)"/>
    <s v="0y 2m 8d"/>
    <s v="Female"/>
    <s v="No"/>
    <s v="Black"/>
    <s v="No"/>
    <m/>
    <x v="5"/>
    <s v="AdoptAmbassador"/>
    <m/>
  </r>
  <r>
    <s v=""/>
    <s v="A0059304713"/>
    <s v="Yes"/>
    <s v="Active"/>
    <x v="5"/>
    <x v="1"/>
    <s v="Retriever, Labrador"/>
    <s v="Gunner"/>
    <s v="4y 1m 15d"/>
    <s v="Male"/>
    <s v="Yes"/>
    <s v="Black"/>
    <s v="No"/>
    <s v="941000031684121"/>
    <x v="7"/>
    <s v="1"/>
    <s v="HW-"/>
  </r>
  <r>
    <s v=""/>
    <s v="A0059303191"/>
    <s v="Yes"/>
    <s v="Active"/>
    <x v="12"/>
    <x v="0"/>
    <s v="Domestic Shorthair"/>
    <s v="Pans"/>
    <s v="0y 2m 21d"/>
    <s v="Male"/>
    <s v="No"/>
    <s v="Orange"/>
    <s v="No"/>
    <m/>
    <x v="0"/>
    <s v="8"/>
    <m/>
  </r>
  <r>
    <s v=""/>
    <s v="A0059297671"/>
    <s v="Yes"/>
    <s v="Active"/>
    <x v="13"/>
    <x v="0"/>
    <s v="Domestic Medium Hair"/>
    <s v="Johnny [Barn Cat]"/>
    <s v="4y 1m 16d"/>
    <s v="Male"/>
    <s v="Yes"/>
    <s v="White"/>
    <s v="No"/>
    <m/>
    <x v="14"/>
    <s v="Catio Free Roaming"/>
    <m/>
  </r>
  <r>
    <s v=""/>
    <s v="A0059294662"/>
    <s v="Yes"/>
    <s v="Active"/>
    <x v="2"/>
    <x v="0"/>
    <s v="Domestic Shorthair"/>
    <s v="Shadow (J. Plunkett)"/>
    <s v="0y 2m 13d"/>
    <s v="Male"/>
    <s v="No"/>
    <s v="Grey"/>
    <s v="No"/>
    <m/>
    <x v="5"/>
    <s v="AdoptAmbassador"/>
    <m/>
  </r>
  <r>
    <s v=""/>
    <s v="A0059290255"/>
    <s v="Yes"/>
    <s v="Active"/>
    <x v="8"/>
    <x v="0"/>
    <s v="Domestic Shorthair"/>
    <s v="Birdie (S. Thomason)"/>
    <s v="0y 3m 11d"/>
    <s v="Female"/>
    <s v="No"/>
    <s v="Black"/>
    <s v="No"/>
    <m/>
    <x v="5"/>
    <s v="AdoptionTrial"/>
    <m/>
  </r>
  <r>
    <s v=""/>
    <s v="A0059288140"/>
    <s v="Yes"/>
    <s v="Active"/>
    <x v="5"/>
    <x v="1"/>
    <s v="Terrier"/>
    <s v="Lainey"/>
    <s v="1y 1m 17d"/>
    <s v="Female"/>
    <s v="Yes"/>
    <s v="Tan"/>
    <s v="No"/>
    <s v="941000031684214"/>
    <x v="3"/>
    <s v="Medical Lobby Cages"/>
    <s v="HW -"/>
  </r>
  <r>
    <s v=""/>
    <s v="A0059282376"/>
    <s v="Yes"/>
    <s v="Active"/>
    <x v="5"/>
    <x v="0"/>
    <s v="Domestic Shorthair"/>
    <s v="Ebony"/>
    <s v="0y 2m 15d"/>
    <s v="Female"/>
    <s v="Yes"/>
    <s v="Black"/>
    <s v="No"/>
    <s v="941000031684248"/>
    <x v="11"/>
    <s v="Bank 2 Cage 1"/>
    <m/>
  </r>
  <r>
    <s v=""/>
    <s v="A0059282370"/>
    <s v="Yes"/>
    <s v="Active"/>
    <x v="5"/>
    <x v="0"/>
    <s v="Domestic Shorthair"/>
    <s v="Buddy"/>
    <s v="0y 2m 15d"/>
    <s v="Male"/>
    <s v="Yes"/>
    <s v="Black"/>
    <s v="No"/>
    <s v="941000031683860"/>
    <x v="11"/>
    <s v="Bank 2 Cage 1"/>
    <m/>
  </r>
  <r>
    <s v=""/>
    <s v="A0059282360"/>
    <s v="Yes"/>
    <s v="Active"/>
    <x v="5"/>
    <x v="0"/>
    <s v="Domestic Shorthair"/>
    <s v="Ash (D. Ciardi)"/>
    <s v="0y 2m 15d"/>
    <s v="Male"/>
    <s v="Yes"/>
    <s v="Grey"/>
    <s v="No"/>
    <s v="941000031684053"/>
    <x v="11"/>
    <s v="Bank 2 Cage 1"/>
    <m/>
  </r>
  <r>
    <s v=""/>
    <s v="A0059278153"/>
    <s v="Yes"/>
    <s v="Active"/>
    <x v="9"/>
    <x v="0"/>
    <s v="Domestic Shorthair"/>
    <s v="Oliver"/>
    <s v="2y 1m 18d"/>
    <s v="Male"/>
    <s v="No"/>
    <s v="Brown"/>
    <s v="No"/>
    <m/>
    <x v="2"/>
    <s v="9"/>
    <m/>
  </r>
  <r>
    <s v=""/>
    <s v="A0059262241"/>
    <s v="Yes"/>
    <s v="Active"/>
    <x v="2"/>
    <x v="1"/>
    <s v="Mixed Breed, Medium (up to 44 lbs fully grown)"/>
    <s v="Madre (K. Czupek)"/>
    <s v="5y 1m 19d"/>
    <s v="Female"/>
    <s v="No"/>
    <s v="Black"/>
    <s v="No"/>
    <m/>
    <x v="5"/>
    <s v="AdoptAmbassador"/>
    <s v="HW+"/>
  </r>
  <r>
    <s v=""/>
    <s v="A0059259601"/>
    <s v="Yes"/>
    <s v="Active"/>
    <x v="5"/>
    <x v="1"/>
    <s v="Retriever, Labrador"/>
    <s v="Shadow (L. Notaro)"/>
    <s v="0y 5m 22d"/>
    <s v="Male"/>
    <s v="Yes"/>
    <s v="Black"/>
    <s v="No"/>
    <s v="941000031683861"/>
    <x v="5"/>
    <s v="AdoptAmbassador"/>
    <m/>
  </r>
  <r>
    <s v=""/>
    <s v="A0059258024"/>
    <s v="Yes"/>
    <s v="Active"/>
    <x v="2"/>
    <x v="1"/>
    <s v="Mixed Breed, Large (over 44 lbs fully grown)"/>
    <s v="Shells (P Frank)"/>
    <s v="2y 1m 22d"/>
    <s v="Female"/>
    <s v="No"/>
    <s v="Brown"/>
    <s v="No"/>
    <m/>
    <x v="5"/>
    <s v="AdoptAmbassador"/>
    <s v="HW-"/>
  </r>
  <r>
    <s v=""/>
    <s v="A0059256046"/>
    <s v="Yes"/>
    <s v="Active"/>
    <x v="0"/>
    <x v="3"/>
    <s v="Domestic Pig"/>
    <s v="p2-1"/>
    <s v="0y 1m 29d"/>
    <s v="Male"/>
    <s v="No"/>
    <s v="Brown"/>
    <s v="No"/>
    <m/>
    <x v="15"/>
    <s v="Stable 2"/>
    <s v="p2-1"/>
  </r>
  <r>
    <s v=""/>
    <s v="A0059256039"/>
    <s v="Yes"/>
    <s v="Active"/>
    <x v="0"/>
    <x v="3"/>
    <s v="Domestic Pig"/>
    <s v="p2-4"/>
    <s v="0y 1m 29d"/>
    <s v="Female"/>
    <s v="No"/>
    <s v="Brown"/>
    <s v="No"/>
    <m/>
    <x v="15"/>
    <s v="Stable 2"/>
    <s v="p2-4"/>
  </r>
  <r>
    <s v=""/>
    <s v="A0059256035"/>
    <s v="Yes"/>
    <s v="Active"/>
    <x v="0"/>
    <x v="3"/>
    <s v="Domestic Pig"/>
    <s v="p2-5"/>
    <s v="0y 1m 29d"/>
    <s v="Male"/>
    <s v="No"/>
    <s v="Brown"/>
    <s v="No"/>
    <m/>
    <x v="15"/>
    <s v="Stable 2"/>
    <s v="p2-5"/>
  </r>
  <r>
    <s v=""/>
    <s v="A0059256033"/>
    <s v="Yes"/>
    <s v="Active"/>
    <x v="7"/>
    <x v="3"/>
    <s v="Domestic Pig"/>
    <s v="p2-6"/>
    <s v="0y 1m 29d"/>
    <s v="Female"/>
    <s v="No"/>
    <s v="Brown"/>
    <s v="No"/>
    <m/>
    <x v="15"/>
    <s v="Stable 2"/>
    <s v="p2-6"/>
  </r>
  <r>
    <s v=""/>
    <s v="A0059256031"/>
    <s v="Yes"/>
    <s v="Active"/>
    <x v="0"/>
    <x v="3"/>
    <s v="Domestic Pig"/>
    <s v="p2-2"/>
    <s v="0y 1m 29d"/>
    <s v="Female"/>
    <s v="No"/>
    <s v="Brown"/>
    <s v="No"/>
    <m/>
    <x v="15"/>
    <s v="Stable 2"/>
    <s v="p2-2"/>
  </r>
  <r>
    <s v=""/>
    <s v="A0059256012"/>
    <s v="Yes"/>
    <s v="Active"/>
    <x v="7"/>
    <x v="3"/>
    <s v="Domestic Pig"/>
    <s v="p2-7"/>
    <s v="0y 1m 29d"/>
    <s v="Unknown"/>
    <s v="No"/>
    <s v="White"/>
    <s v="No"/>
    <m/>
    <x v="15"/>
    <s v="Stable 2"/>
    <s v="p2-7"/>
  </r>
  <r>
    <s v=""/>
    <s v="A0059256010"/>
    <s v="Yes"/>
    <s v="Active"/>
    <x v="7"/>
    <x v="3"/>
    <s v="Domestic Pig"/>
    <s v="p2-3"/>
    <s v="0y 1m 29d"/>
    <s v="Female"/>
    <s v="No"/>
    <s v="White"/>
    <s v="No"/>
    <m/>
    <x v="15"/>
    <s v="Stable 2"/>
    <s v="p2-3"/>
  </r>
  <r>
    <s v=""/>
    <s v="A0059255987"/>
    <s v="Yes"/>
    <s v="Active"/>
    <x v="0"/>
    <x v="3"/>
    <s v="Domestic Pig"/>
    <s v="P1-4"/>
    <s v="0y 2m 6d"/>
    <s v="Female"/>
    <s v="No"/>
    <s v="Red"/>
    <s v="No"/>
    <m/>
    <x v="15"/>
    <s v="Stable 1"/>
    <s v="P1-4"/>
  </r>
  <r>
    <s v=""/>
    <s v="A0059255980"/>
    <s v="Yes"/>
    <s v="Active"/>
    <x v="0"/>
    <x v="3"/>
    <s v="Domestic Pig"/>
    <s v="P1-5"/>
    <s v="0y 2m 6d"/>
    <s v="Male"/>
    <s v="No"/>
    <s v="White"/>
    <s v="No"/>
    <m/>
    <x v="15"/>
    <s v="Stable 1"/>
    <s v="P1-5"/>
  </r>
  <r>
    <s v=""/>
    <s v="A0059255979"/>
    <s v="Yes"/>
    <s v="Active"/>
    <x v="0"/>
    <x v="3"/>
    <s v="Domestic Pig"/>
    <s v="p1-3"/>
    <s v="0y 2m 6d"/>
    <s v="Female"/>
    <s v="No"/>
    <s v="White"/>
    <s v="No"/>
    <m/>
    <x v="15"/>
    <s v="Stable 1"/>
    <s v="P1-3"/>
  </r>
  <r>
    <s v=""/>
    <s v="A0059255976"/>
    <s v="Yes"/>
    <s v="Active"/>
    <x v="0"/>
    <x v="3"/>
    <s v="Domestic Pig"/>
    <s v="P1-2"/>
    <s v="0y 2m 6d"/>
    <s v="Male"/>
    <s v="No"/>
    <s v="White"/>
    <s v="No"/>
    <m/>
    <x v="15"/>
    <s v="Stable 1"/>
    <s v="P1-2"/>
  </r>
  <r>
    <s v=""/>
    <s v="A0059255963"/>
    <s v="Yes"/>
    <s v="Active"/>
    <x v="0"/>
    <x v="3"/>
    <s v="Domestic Pig"/>
    <s v="P1-1"/>
    <s v="0y 2m 6d"/>
    <s v="Female"/>
    <s v="No"/>
    <s v="Black"/>
    <s v="No"/>
    <m/>
    <x v="15"/>
    <s v="Stable 1"/>
    <s v="P1-1"/>
  </r>
  <r>
    <s v=""/>
    <s v="A0059250430"/>
    <s v="Yes"/>
    <s v="Active"/>
    <x v="2"/>
    <x v="1"/>
    <s v="Mixed Breed, Medium (up to 44 lbs fully grown)"/>
    <s v="Mary (V. Rosenberger)"/>
    <s v="1y 1m 22d"/>
    <s v="Female"/>
    <s v="No"/>
    <s v="White"/>
    <s v="No"/>
    <m/>
    <x v="5"/>
    <s v="AdoptAmbassador"/>
    <s v="HW-"/>
  </r>
  <r>
    <s v=""/>
    <s v="A0059250424"/>
    <s v="Yes"/>
    <s v="Active"/>
    <x v="8"/>
    <x v="1"/>
    <s v="Mixed Breed, Medium (up to 44 lbs fully grown)"/>
    <s v="Maya (S. Rafferty)"/>
    <s v="1y 1m 22d"/>
    <s v="Female"/>
    <s v="No"/>
    <s v="Brindle"/>
    <s v="No"/>
    <s v="941000030976306"/>
    <x v="5"/>
    <s v="AdoptionTrial"/>
    <s v="HW-"/>
  </r>
  <r>
    <s v=""/>
    <s v="A0059246670"/>
    <s v="Yes"/>
    <s v="Active"/>
    <x v="2"/>
    <x v="1"/>
    <s v="Terrier, Pit Bull"/>
    <s v="Guppy (A. Wahlberg)"/>
    <s v="1y 1m 23d"/>
    <s v="Female"/>
    <s v="No"/>
    <s v="Black"/>
    <s v="No"/>
    <m/>
    <x v="5"/>
    <s v="AdoptAmbassador"/>
    <s v="HW-"/>
  </r>
  <r>
    <s v=""/>
    <s v="A0059240665"/>
    <s v="Yes"/>
    <s v="Active"/>
    <x v="8"/>
    <x v="1"/>
    <s v="Mixed Breed, Medium (up to 44 lbs fully grown)"/>
    <s v="Lady (B. Cares)"/>
    <s v="2y 1m 24d"/>
    <s v="Female"/>
    <s v="No"/>
    <s v="Grey"/>
    <s v="No"/>
    <m/>
    <x v="5"/>
    <s v="AdoptionTrial"/>
    <s v="HW-"/>
  </r>
  <r>
    <s v=""/>
    <s v="A0059240393"/>
    <s v="Yes"/>
    <s v="Active"/>
    <x v="5"/>
    <x v="1"/>
    <s v="Mixed Breed, Medium (up to 44 lbs fully grown)"/>
    <s v="Cheech"/>
    <s v="2y 1m 22d"/>
    <s v="Male"/>
    <s v="Yes"/>
    <s v="Tan"/>
    <s v="No"/>
    <s v="941000031684407"/>
    <x v="3"/>
    <s v="Medical Lobby Cages"/>
    <s v="HW-"/>
  </r>
  <r>
    <s v=""/>
    <s v="A0059236925"/>
    <s v="Yes"/>
    <s v="Active"/>
    <x v="8"/>
    <x v="1"/>
    <s v="Hound"/>
    <s v="Sasha (J. Mazur)"/>
    <s v="0y 3m 6d"/>
    <s v="Female"/>
    <s v="No"/>
    <s v="Brown"/>
    <s v="No"/>
    <m/>
    <x v="5"/>
    <s v="AdoptionTrial"/>
    <m/>
  </r>
  <r>
    <s v=""/>
    <s v="A0059233187"/>
    <s v="Yes"/>
    <s v="Active"/>
    <x v="5"/>
    <x v="1"/>
    <s v="Retriever, Golden"/>
    <s v="Captain Crunch (M. Fichera)"/>
    <s v="0y 11m 25d"/>
    <s v="Male"/>
    <s v="Yes"/>
    <s v="Golden"/>
    <s v="No"/>
    <s v="941000031684024"/>
    <x v="5"/>
    <s v="AdoptAmbassador"/>
    <s v="HW -"/>
  </r>
  <r>
    <s v=""/>
    <s v="A0059220015"/>
    <s v="Yes"/>
    <s v="Active"/>
    <x v="2"/>
    <x v="0"/>
    <s v="Domestic Shorthair"/>
    <s v="Monica (S. Raimer)"/>
    <s v="0y 3m 2d"/>
    <s v="Female"/>
    <s v="No"/>
    <s v="Brown"/>
    <s v="No"/>
    <m/>
    <x v="5"/>
    <s v="AdoptAmbassador"/>
    <m/>
  </r>
  <r>
    <s v=""/>
    <s v="A0059218846"/>
    <s v="Yes"/>
    <s v="Active"/>
    <x v="5"/>
    <x v="1"/>
    <s v="Terrier, American Pit Bull"/>
    <s v="Feta"/>
    <s v="3y 1m 28d"/>
    <s v="Male"/>
    <s v="Yes"/>
    <s v="Yellow"/>
    <s v="No"/>
    <s v="941000031684325"/>
    <x v="16"/>
    <s v="3"/>
    <s v="HW+"/>
  </r>
  <r>
    <s v=""/>
    <s v="A0059214054"/>
    <s v="Yes"/>
    <s v="Active"/>
    <x v="8"/>
    <x v="0"/>
    <s v="Domestic Shorthair"/>
    <s v="Oreo (W. Aquino)"/>
    <s v="0y 2m 26d"/>
    <s v="Male"/>
    <s v="No"/>
    <s v="Black"/>
    <s v="No"/>
    <m/>
    <x v="5"/>
    <s v="AdoptionTrial"/>
    <m/>
  </r>
  <r>
    <s v=""/>
    <s v="A0059211510"/>
    <s v="Yes"/>
    <s v="Active"/>
    <x v="5"/>
    <x v="1"/>
    <s v="Terrier"/>
    <s v="Pocahontas (M. Kniffen)"/>
    <s v="2y 1m 29d"/>
    <s v="Female"/>
    <s v="Yes"/>
    <s v="Brown"/>
    <s v="No"/>
    <s v="941000031683514"/>
    <x v="5"/>
    <s v="AdoptionTrial"/>
    <s v="HW -"/>
  </r>
  <r>
    <s v=""/>
    <s v="A0059200388"/>
    <s v="Yes"/>
    <s v="Active"/>
    <x v="5"/>
    <x v="1"/>
    <s v="Mixed Breed, Medium (up to 44 lbs fully grown)"/>
    <s v="Tramp"/>
    <s v="2y 2m 1d"/>
    <s v="Male"/>
    <s v="Yes"/>
    <s v="Black"/>
    <s v="No"/>
    <s v="941000031683509"/>
    <x v="7"/>
    <s v="5"/>
    <s v="HW+"/>
  </r>
  <r>
    <s v=""/>
    <s v="A0059197970"/>
    <s v="Yes"/>
    <s v="Active"/>
    <x v="5"/>
    <x v="1"/>
    <s v="Mixed Breed, Medium (up to 44 lbs fully grown)"/>
    <s v="Roux"/>
    <s v="3y 2m 1d"/>
    <s v="Female"/>
    <s v="Yes"/>
    <s v="White"/>
    <s v="No"/>
    <s v="941000031750353"/>
    <x v="13"/>
    <s v="20"/>
    <s v="HW -"/>
  </r>
  <r>
    <s v=""/>
    <s v="A0059197919"/>
    <s v="Yes"/>
    <s v="Active"/>
    <x v="5"/>
    <x v="1"/>
    <s v="Hound"/>
    <s v="Emmett"/>
    <s v="5y 2m 0d"/>
    <s v="Male"/>
    <s v="Yes"/>
    <s v="Black"/>
    <s v="No"/>
    <s v="941000031684296"/>
    <x v="16"/>
    <s v="17"/>
    <s v="HW+3"/>
  </r>
  <r>
    <s v=""/>
    <s v="A0059193976"/>
    <s v="Yes"/>
    <s v="Active"/>
    <x v="5"/>
    <x v="1"/>
    <s v="Terrier, Pit Bull"/>
    <s v="Claudia"/>
    <s v="1y 2m 1d"/>
    <s v="Female"/>
    <s v="Yes"/>
    <s v="Brown"/>
    <s v="No"/>
    <s v="941000031684048"/>
    <x v="7"/>
    <s v="12"/>
    <s v="HW-"/>
  </r>
  <r>
    <s v=""/>
    <s v="A0059190623"/>
    <s v="Yes"/>
    <s v="Active"/>
    <x v="8"/>
    <x v="0"/>
    <s v="Domestic Shorthair"/>
    <s v="Trixie (B. Harmon)"/>
    <s v="0y 2m 22d"/>
    <s v="Female"/>
    <s v="No"/>
    <s v="Black"/>
    <s v="No"/>
    <m/>
    <x v="5"/>
    <s v="AdoptionTrial"/>
    <m/>
  </r>
  <r>
    <s v=""/>
    <s v="A0059190614"/>
    <s v="Yes"/>
    <s v="Active"/>
    <x v="2"/>
    <x v="0"/>
    <s v="Domestic Shorthair"/>
    <s v="Stumpy (C. Demers)"/>
    <s v="0y 2m 16d"/>
    <s v="Male"/>
    <s v="No"/>
    <s v="Orange"/>
    <s v="No"/>
    <m/>
    <x v="11"/>
    <s v="Bank 1 Cage 2"/>
    <m/>
  </r>
  <r>
    <s v=""/>
    <s v="A0059190606"/>
    <s v="Yes"/>
    <s v="Active"/>
    <x v="5"/>
    <x v="0"/>
    <s v="Domestic Shorthair"/>
    <s v="Ren (C. Demers)"/>
    <s v="0y 2m 16d"/>
    <s v="Male"/>
    <s v="Yes"/>
    <s v="Orange"/>
    <s v="No"/>
    <s v="941000031683586"/>
    <x v="11"/>
    <s v="Bank 1 Cage 2"/>
    <m/>
  </r>
  <r>
    <s v=""/>
    <s v="A0059189718"/>
    <s v="Yes"/>
    <s v="Active"/>
    <x v="2"/>
    <x v="0"/>
    <s v="Domestic Shorthair"/>
    <s v="Blanch (S. Raimer)"/>
    <s v="0y 2m 13d"/>
    <s v="Female"/>
    <s v="No"/>
    <s v="Black"/>
    <s v="No"/>
    <m/>
    <x v="5"/>
    <s v="AdoptAmbassador"/>
    <m/>
  </r>
  <r>
    <s v=""/>
    <s v="A0059126376"/>
    <s v="Yes"/>
    <s v="Active"/>
    <x v="2"/>
    <x v="0"/>
    <s v="Domestic Medium Hair"/>
    <s v="Tana"/>
    <s v="0y 3m 0d"/>
    <s v="Female"/>
    <s v="No"/>
    <s v="Orange"/>
    <s v="No"/>
    <m/>
    <x v="11"/>
    <s v="Bank 2 Cage 5"/>
    <m/>
  </r>
  <r>
    <s v=""/>
    <s v="A0059126373"/>
    <s v="Yes"/>
    <s v="Active"/>
    <x v="2"/>
    <x v="0"/>
    <s v="Domestic Medium Hair"/>
    <s v="Thor"/>
    <s v="0y 3m 0d"/>
    <s v="Male"/>
    <s v="No"/>
    <s v="Orange"/>
    <s v="No"/>
    <m/>
    <x v="11"/>
    <s v="Bank 2 Cage 5"/>
    <m/>
  </r>
  <r>
    <s v=""/>
    <s v="A0059095322"/>
    <s v="Yes"/>
    <s v="Active"/>
    <x v="8"/>
    <x v="0"/>
    <s v="Domestic Shorthair"/>
    <s v="Pumpkin (M Craven)"/>
    <s v="0y 4m 3d"/>
    <s v="Male"/>
    <s v="No"/>
    <s v="Orange"/>
    <s v="No"/>
    <m/>
    <x v="5"/>
    <s v="AdoptionTrial"/>
    <m/>
  </r>
  <r>
    <s v=""/>
    <s v="A0059095311"/>
    <s v="Yes"/>
    <s v="Active"/>
    <x v="8"/>
    <x v="0"/>
    <s v="Domestic Shorthair"/>
    <s v="Winnie (M Craven)"/>
    <s v="0y 3m 10d"/>
    <s v="Male"/>
    <s v="No"/>
    <s v="Orange"/>
    <s v="No"/>
    <m/>
    <x v="5"/>
    <s v="AdoptionTrial"/>
    <m/>
  </r>
  <r>
    <s v=""/>
    <s v="A0059085846"/>
    <s v="Yes"/>
    <s v="Active"/>
    <x v="6"/>
    <x v="0"/>
    <s v="Domestic Shorthair"/>
    <s v="Leo"/>
    <s v="4y 2m 9d"/>
    <s v="Male"/>
    <s v="Yes"/>
    <s v="Black"/>
    <s v="No"/>
    <m/>
    <x v="11"/>
    <s v="Bank 1 Cage 1"/>
    <m/>
  </r>
  <r>
    <s v=""/>
    <s v="A0059072755"/>
    <s v="Yes"/>
    <s v="Active"/>
    <x v="5"/>
    <x v="1"/>
    <s v="Terrier"/>
    <s v="Royal"/>
    <s v="3y 2m 12d"/>
    <s v="Female"/>
    <s v="Yes"/>
    <s v="Tan"/>
    <s v="No"/>
    <s v="985141007345971"/>
    <x v="13"/>
    <s v="17"/>
    <s v="HW +"/>
  </r>
  <r>
    <s v=""/>
    <s v="A0059066282"/>
    <s v="Yes"/>
    <s v="Active"/>
    <x v="5"/>
    <x v="0"/>
    <s v="Domestic Shorthair"/>
    <s v="Mary Jane [Barn Cat]"/>
    <s v="1y 2m 13d"/>
    <s v="Female"/>
    <s v="Yes"/>
    <s v="Black"/>
    <s v="No"/>
    <m/>
    <x v="14"/>
    <s v="Run 2"/>
    <m/>
  </r>
  <r>
    <s v=""/>
    <s v="A0059058634"/>
    <s v="Yes"/>
    <s v="Active"/>
    <x v="5"/>
    <x v="1"/>
    <s v="Mixed Breed, Medium (up to 44 lbs fully grown)"/>
    <s v="Elliott"/>
    <s v="2y 2m 14d"/>
    <s v="Male"/>
    <s v="Yes"/>
    <s v="Brown"/>
    <s v="No"/>
    <s v="941000031684376"/>
    <x v="16"/>
    <s v="2"/>
    <s v="HW-"/>
  </r>
  <r>
    <s v=""/>
    <s v="A0059055443"/>
    <s v="Yes"/>
    <s v="Active"/>
    <x v="9"/>
    <x v="0"/>
    <s v="Domestic Shorthair"/>
    <s v="June"/>
    <s v="1y 2m 14d"/>
    <s v="Female"/>
    <s v="Yes"/>
    <s v="Black"/>
    <s v="No"/>
    <m/>
    <x v="14"/>
    <s v="Run 4"/>
    <m/>
  </r>
  <r>
    <s v=""/>
    <s v="A0059055318"/>
    <s v="Yes"/>
    <s v="Active"/>
    <x v="4"/>
    <x v="1"/>
    <s v="Mixed Breed, Medium (up to 44 lbs fully grown)"/>
    <s v="Lovey"/>
    <s v="5y 0m 20d"/>
    <s v="Female"/>
    <s v="No"/>
    <s v="White"/>
    <s v="No"/>
    <m/>
    <x v="16"/>
    <s v="8"/>
    <s v="HW+4"/>
  </r>
  <r>
    <s v=""/>
    <s v="A0059055262"/>
    <s v="Yes"/>
    <s v="Active"/>
    <x v="4"/>
    <x v="1"/>
    <s v="Mixed Breed, Large (over 44 lbs fully grown)"/>
    <s v="Lola"/>
    <s v="3y 0m 20d"/>
    <s v="Female"/>
    <s v="No"/>
    <s v="White"/>
    <s v="No"/>
    <m/>
    <x v="16"/>
    <s v="9"/>
    <s v="HW+4"/>
  </r>
  <r>
    <s v=""/>
    <s v="A0059055232"/>
    <s v="Yes"/>
    <s v="Active"/>
    <x v="2"/>
    <x v="1"/>
    <s v="Mixed Breed, Large (over 44 lbs fully grown)"/>
    <s v="Vanna"/>
    <s v="1y 2m 14d"/>
    <s v="Female"/>
    <s v="No"/>
    <s v="White"/>
    <s v="No"/>
    <m/>
    <x v="1"/>
    <s v="Equipment Storage Area"/>
    <s v="HW+4"/>
  </r>
  <r>
    <s v=""/>
    <s v="A0059055142"/>
    <s v="Yes"/>
    <s v="Active"/>
    <x v="4"/>
    <x v="1"/>
    <s v="Mixed Breed, Large (over 44 lbs fully grown)"/>
    <s v="Una"/>
    <s v="3y 0m 20d"/>
    <s v="Female"/>
    <s v="No"/>
    <s v="Brown"/>
    <s v="No"/>
    <m/>
    <x v="16"/>
    <s v="6"/>
    <s v="HW-3"/>
  </r>
  <r>
    <s v=""/>
    <s v="A0059055106"/>
    <s v="Yes"/>
    <s v="Active"/>
    <x v="5"/>
    <x v="1"/>
    <s v="Mixed Breed, Large (over 44 lbs fully grown)"/>
    <s v="Reno"/>
    <s v="5y 0m 20d"/>
    <s v="Male"/>
    <s v="Yes"/>
    <s v="White"/>
    <s v="No"/>
    <s v="941000031684377"/>
    <x v="16"/>
    <s v="7"/>
    <s v="HW-3"/>
  </r>
  <r>
    <s v=""/>
    <s v="A0059048748"/>
    <s v="Yes"/>
    <s v="Active"/>
    <x v="2"/>
    <x v="1"/>
    <s v="Mixed Breed, Medium (up to 44 lbs fully grown)"/>
    <s v="Hellga (N. Skala)"/>
    <s v="10y 2m 15d"/>
    <s v="Female"/>
    <s v="No"/>
    <s v="Black"/>
    <s v="No"/>
    <s v="941000031735652"/>
    <x v="5"/>
    <s v="AdoptAmbassador"/>
    <s v="HW +"/>
  </r>
  <r>
    <s v=""/>
    <s v="A0059041716"/>
    <s v="Yes"/>
    <s v="Active"/>
    <x v="2"/>
    <x v="0"/>
    <s v="Domestic Shorthair"/>
    <s v="Rocky (A. Flynt)"/>
    <s v="0y 3m 13d"/>
    <s v="Male"/>
    <s v="No"/>
    <s v="Black"/>
    <s v="No"/>
    <m/>
    <x v="5"/>
    <s v="AdoptAmbassador"/>
    <m/>
  </r>
  <r>
    <s v=""/>
    <s v="A0059040345"/>
    <s v="Yes"/>
    <s v="Active"/>
    <x v="5"/>
    <x v="1"/>
    <s v="Mixed Breed, Medium (up to 44 lbs fully grown)"/>
    <s v="Deebo"/>
    <s v="1y 2m 16d"/>
    <s v="Male"/>
    <s v="Yes"/>
    <s v="Brindle"/>
    <s v="No"/>
    <s v="941000031683746"/>
    <x v="16"/>
    <s v="10"/>
    <s v="HW -"/>
  </r>
  <r>
    <s v=""/>
    <s v="A0059040305"/>
    <s v="Yes"/>
    <s v="Active"/>
    <x v="5"/>
    <x v="1"/>
    <s v="Terrier, American Pit Bull"/>
    <s v="Auggie"/>
    <s v="1y 2m 16d"/>
    <s v="Male"/>
    <s v="Yes"/>
    <s v="Grey"/>
    <s v="No"/>
    <s v="941000031735776"/>
    <x v="13"/>
    <s v="11"/>
    <s v="HW-"/>
  </r>
  <r>
    <s v=""/>
    <s v="A0059031537"/>
    <s v="Yes"/>
    <s v="Active"/>
    <x v="5"/>
    <x v="1"/>
    <s v="Mixed Breed, Medium (up to 44 lbs fully grown)"/>
    <s v="Dingo (A. Cox)"/>
    <s v="1y 2m 15d"/>
    <s v="Male"/>
    <s v="Yes"/>
    <s v="Brown"/>
    <s v="No"/>
    <s v="985113008707018"/>
    <x v="5"/>
    <s v="AdoptAmbassador"/>
    <s v="HW-"/>
  </r>
  <r>
    <s v=""/>
    <s v="A0059026516"/>
    <s v="Yes"/>
    <s v="Active"/>
    <x v="5"/>
    <x v="1"/>
    <s v="Retriever, Labrador"/>
    <s v="Lotus ( E Campbell)"/>
    <s v="1y 2m 19d"/>
    <s v="Female"/>
    <s v="Yes"/>
    <s v="Brown"/>
    <s v="No"/>
    <s v="941000031684004"/>
    <x v="5"/>
    <s v="AdoptAmbassador"/>
    <s v="HW-3"/>
  </r>
  <r>
    <s v=""/>
    <s v="A0059026177"/>
    <s v="Yes"/>
    <s v="Active"/>
    <x v="6"/>
    <x v="0"/>
    <s v="Domestic Shorthair"/>
    <s v="THIS CAT HAS TWO WEEK OLD KITTENS"/>
    <s v="1y 2m 19d"/>
    <s v="Female"/>
    <s v="No"/>
    <s v="Brown"/>
    <s v="No"/>
    <m/>
    <x v="6"/>
    <s v="Cage 2"/>
    <m/>
  </r>
  <r>
    <s v=""/>
    <s v="A0059021778"/>
    <s v="Yes"/>
    <s v="Active"/>
    <x v="5"/>
    <x v="1"/>
    <s v="Boxer"/>
    <s v="Craig"/>
    <s v="4y 2m 19d"/>
    <s v="Male"/>
    <s v="Yes"/>
    <s v="Black"/>
    <s v="No"/>
    <s v="941000031684331"/>
    <x v="16"/>
    <s v="16"/>
    <s v="HW+"/>
  </r>
  <r>
    <s v=""/>
    <s v="A0059020403"/>
    <s v="Yes"/>
    <s v="Active"/>
    <x v="2"/>
    <x v="0"/>
    <s v="Domestic Shorthair"/>
    <s v="Magnolia (Q Morris)"/>
    <s v="0y 4m 1d"/>
    <s v="Female"/>
    <s v="No"/>
    <s v="White"/>
    <s v="No"/>
    <m/>
    <x v="5"/>
    <s v="AdoptAmbassador"/>
    <m/>
  </r>
  <r>
    <s v=""/>
    <s v="A0059020393"/>
    <s v="Yes"/>
    <s v="Active"/>
    <x v="2"/>
    <x v="0"/>
    <s v="Domestic Shorthair"/>
    <s v="Cypress (Q Morris)"/>
    <s v="0y 4m 1d"/>
    <s v="Male"/>
    <s v="No"/>
    <s v="Black"/>
    <s v="No"/>
    <m/>
    <x v="5"/>
    <s v="AdoptAmbassador"/>
    <m/>
  </r>
  <r>
    <s v=""/>
    <s v="A0059018179"/>
    <s v="Yes"/>
    <s v="Active"/>
    <x v="2"/>
    <x v="0"/>
    <s v="Domestic Shorthair"/>
    <s v="Bandit"/>
    <s v="5y 2m 19d"/>
    <s v="Male"/>
    <s v="No"/>
    <s v="Black"/>
    <s v="No"/>
    <m/>
    <x v="2"/>
    <s v="6"/>
    <m/>
  </r>
  <r>
    <s v=""/>
    <s v="A0058991001"/>
    <s v="Yes"/>
    <s v="Active"/>
    <x v="11"/>
    <x v="1"/>
    <s v="Retriever, Labrador"/>
    <s v="Charlie (aka Oreo N.Parker)"/>
    <s v="0y 8m 5d"/>
    <s v="Male"/>
    <s v="Yes"/>
    <s v="Black"/>
    <s v="No"/>
    <s v="941000031683620"/>
    <x v="1"/>
    <s v="Equipment Storage Area"/>
    <s v="HW -"/>
  </r>
  <r>
    <s v=""/>
    <s v="A0058974308"/>
    <s v="Yes"/>
    <s v="Active"/>
    <x v="2"/>
    <x v="0"/>
    <s v="Domestic Shorthair"/>
    <s v="Kirk (A. Flynt)"/>
    <s v="0y 3m 16d"/>
    <s v="Male"/>
    <s v="No"/>
    <s v="Grey"/>
    <s v="No"/>
    <s v="941000031735587"/>
    <x v="5"/>
    <s v="AdoptAmbassador"/>
    <m/>
  </r>
  <r>
    <s v=""/>
    <s v="A0058974302"/>
    <s v="Yes"/>
    <s v="Active"/>
    <x v="2"/>
    <x v="0"/>
    <s v="Domestic Shorthair"/>
    <s v="Spoc (A. Flynt)"/>
    <s v="0y 3m 16d"/>
    <s v="Male"/>
    <s v="No"/>
    <s v="Brown"/>
    <s v="No"/>
    <s v="941000031735724"/>
    <x v="5"/>
    <s v="AdoptAmbassador"/>
    <m/>
  </r>
  <r>
    <s v=""/>
    <s v="A0058966537"/>
    <s v="Yes"/>
    <s v="Active"/>
    <x v="5"/>
    <x v="0"/>
    <s v="Domestic Shorthair"/>
    <s v="Larry [Barn Cat]"/>
    <s v="0y 4m 9d"/>
    <s v="Male"/>
    <s v="Yes"/>
    <s v="Grey"/>
    <s v="No"/>
    <m/>
    <x v="14"/>
    <s v="Catio Free Roaming"/>
    <m/>
  </r>
  <r>
    <s v=""/>
    <s v="A0058929883"/>
    <s v="Yes"/>
    <s v="Active"/>
    <x v="5"/>
    <x v="1"/>
    <s v="Mixed Breed, Large (over 44 lbs fully grown)"/>
    <s v="Max"/>
    <s v="3y 3m 3d"/>
    <s v="Male"/>
    <s v="Yes"/>
    <s v="Black"/>
    <s v="No"/>
    <s v="941000031683913"/>
    <x v="4"/>
    <s v="Pen 1"/>
    <s v="HW-3"/>
  </r>
  <r>
    <s v=""/>
    <s v="A0058928950"/>
    <s v="Yes"/>
    <s v="Active"/>
    <x v="2"/>
    <x v="1"/>
    <s v="Shepherd"/>
    <s v="Jovi"/>
    <s v="3y 3m 3d"/>
    <s v="Female"/>
    <s v="No"/>
    <s v="Black"/>
    <s v="No"/>
    <m/>
    <x v="4"/>
    <s v="Pen 1"/>
    <s v="HW-4"/>
  </r>
  <r>
    <s v=""/>
    <s v="A0058922485"/>
    <s v="Yes"/>
    <s v="Active"/>
    <x v="5"/>
    <x v="1"/>
    <s v="Boxer"/>
    <s v="Landon"/>
    <s v="3y 3m 4d"/>
    <s v="Male"/>
    <s v="Yes"/>
    <s v="Bronze"/>
    <s v="No"/>
    <s v="982091074519787"/>
    <x v="16"/>
    <s v="15"/>
    <s v="HW +"/>
  </r>
  <r>
    <s v=""/>
    <s v="A0058904337"/>
    <s v="Yes"/>
    <s v="Active"/>
    <x v="5"/>
    <x v="1"/>
    <s v="Rottweiler"/>
    <s v="Yukiko (L. Clark)"/>
    <s v="2y 3m 6d"/>
    <s v="Female"/>
    <s v="Yes"/>
    <s v="Black"/>
    <s v="No"/>
    <s v="941000031683973"/>
    <x v="5"/>
    <s v="AdoptAmbassador"/>
    <s v="HW+"/>
  </r>
  <r>
    <s v=""/>
    <s v="A0058882239"/>
    <s v="Yes"/>
    <s v="Active"/>
    <x v="6"/>
    <x v="0"/>
    <s v="Domestic Shorthair"/>
    <s v="[Barn Cat]"/>
    <s v="4y 3m 10d"/>
    <s v="Male"/>
    <s v="Yes"/>
    <s v="White"/>
    <s v="No"/>
    <m/>
    <x v="6"/>
    <s v="Cage 5"/>
    <m/>
  </r>
  <r>
    <s v=""/>
    <s v="A0058881642"/>
    <s v="Yes"/>
    <s v="Active"/>
    <x v="5"/>
    <x v="1"/>
    <s v="Hound"/>
    <s v="Journey (S. Nutter)"/>
    <s v="7y 0m 13d"/>
    <s v="Male"/>
    <s v="Yes"/>
    <s v="Black"/>
    <s v="No"/>
    <s v="941000031683518"/>
    <x v="5"/>
    <s v="AdoptAmbassador"/>
    <s v="HWT"/>
  </r>
  <r>
    <s v=""/>
    <s v="A0058874559"/>
    <s v="Yes"/>
    <s v="Active"/>
    <x v="5"/>
    <x v="0"/>
    <s v="Domestic Shorthair"/>
    <s v="Victor [Barn Cat]"/>
    <s v="3y 3m 11d"/>
    <s v="Male"/>
    <s v="Yes"/>
    <s v="Black"/>
    <s v="No"/>
    <m/>
    <x v="14"/>
    <s v="Catio Free Roaming"/>
    <m/>
  </r>
  <r>
    <s v=""/>
    <s v="A0058873126"/>
    <s v="Yes"/>
    <s v="Active"/>
    <x v="5"/>
    <x v="1"/>
    <s v="Terrier"/>
    <s v="Gretchen"/>
    <s v="2y 3m 10d"/>
    <s v="Female"/>
    <s v="Yes"/>
    <s v="Grey"/>
    <s v="No"/>
    <s v="941000031683715"/>
    <x v="16"/>
    <s v="12"/>
    <s v="HW+"/>
  </r>
  <r>
    <s v=""/>
    <s v="A0058872904"/>
    <s v="Yes"/>
    <s v="Active"/>
    <x v="5"/>
    <x v="1"/>
    <s v="American Red Heeler"/>
    <s v="Luca (J. Bowers)"/>
    <s v="5y 3m 11d"/>
    <s v="Male"/>
    <s v="Yes"/>
    <s v="Red"/>
    <s v="No"/>
    <s v="941000030972197"/>
    <x v="5"/>
    <s v="AdoptAmbassador"/>
    <s v="HW-"/>
  </r>
  <r>
    <s v=""/>
    <s v="A0058855958"/>
    <s v="Yes"/>
    <s v="Active"/>
    <x v="9"/>
    <x v="0"/>
    <s v="Domestic Shorthair"/>
    <s v="Bubby"/>
    <s v="2y 2m 27d"/>
    <s v="Male"/>
    <s v="No"/>
    <s v="Orange"/>
    <s v="No"/>
    <m/>
    <x v="2"/>
    <s v="7"/>
    <m/>
  </r>
  <r>
    <s v=""/>
    <s v="A0058828496"/>
    <s v="Yes"/>
    <s v="Active"/>
    <x v="5"/>
    <x v="1"/>
    <s v="German Shepherd"/>
    <s v="Leilani"/>
    <s v="2y 3m 18d"/>
    <s v="Female"/>
    <s v="Yes"/>
    <s v="Brown"/>
    <s v="No"/>
    <s v="941000031750548"/>
    <x v="16"/>
    <s v="18"/>
    <s v="HWT"/>
  </r>
  <r>
    <s v=""/>
    <s v="A0058823615"/>
    <s v="Yes"/>
    <s v="Active"/>
    <x v="9"/>
    <x v="0"/>
    <s v="Domestic Shorthair"/>
    <s v="Gronk"/>
    <s v="5y 2m 17d"/>
    <s v="Male"/>
    <s v="Yes"/>
    <s v="Orange"/>
    <s v="No"/>
    <m/>
    <x v="0"/>
    <s v="2"/>
    <m/>
  </r>
  <r>
    <s v=""/>
    <s v="A0058815537"/>
    <s v="Yes"/>
    <s v="Active"/>
    <x v="5"/>
    <x v="1"/>
    <s v="Retriever, Labrador"/>
    <s v="Brownie (K. Maurer)"/>
    <s v="0y 6m 20d"/>
    <s v="Female"/>
    <s v="Yes"/>
    <s v="Brown"/>
    <s v="No"/>
    <s v="941000031683595"/>
    <x v="5"/>
    <s v="AdoptAmbassador"/>
    <m/>
  </r>
  <r>
    <s v=""/>
    <s v="A0058812660"/>
    <s v="Yes"/>
    <s v="Active"/>
    <x v="14"/>
    <x v="1"/>
    <s v="Mixed Breed, Small (under 24 lbs fully grown)"/>
    <s v="Khonsu (D. House)"/>
    <s v="4y 3m 20d"/>
    <s v="Male"/>
    <s v="Yes"/>
    <s v="Black"/>
    <s v="No"/>
    <s v="941000030975929"/>
    <x v="5"/>
    <s v="AdoptionTrial"/>
    <s v="HW+"/>
  </r>
  <r>
    <s v=""/>
    <s v="A0058801624"/>
    <s v="Yes"/>
    <s v="Active"/>
    <x v="5"/>
    <x v="1"/>
    <s v="Mixed Breed, Small (under 24 lbs fully grown)"/>
    <s v="Peyton (R. Gainey)"/>
    <s v="3y 3m 23d"/>
    <s v="Male"/>
    <s v="Yes"/>
    <s v="White"/>
    <s v="No"/>
    <s v="941000031750153"/>
    <x v="5"/>
    <s v="AdoptAmbassador"/>
    <s v="HWT"/>
  </r>
  <r>
    <s v=""/>
    <s v="A0058764342"/>
    <s v="Yes"/>
    <s v="Active"/>
    <x v="8"/>
    <x v="0"/>
    <s v="Domestic Shorthair"/>
    <s v="Jessup (A. Raymond)"/>
    <s v="0y 4m 24d"/>
    <s v="Male"/>
    <s v="No"/>
    <s v="Black"/>
    <s v="No"/>
    <m/>
    <x v="5"/>
    <s v="AdoptionTrial"/>
    <m/>
  </r>
  <r>
    <s v=""/>
    <s v="A0058762939"/>
    <s v="Yes"/>
    <s v="Active"/>
    <x v="5"/>
    <x v="1"/>
    <s v="Terrier"/>
    <s v="Everlee"/>
    <s v="2y 3m 27d"/>
    <s v="Female"/>
    <s v="Yes"/>
    <s v="Brown"/>
    <s v="No"/>
    <s v="941000030972061"/>
    <x v="13"/>
    <s v="14"/>
    <s v="HWT"/>
  </r>
  <r>
    <s v=""/>
    <s v="A0058760527"/>
    <s v="Yes"/>
    <s v="Active"/>
    <x v="5"/>
    <x v="1"/>
    <s v="Retriever, Labrador"/>
    <s v="Twister"/>
    <s v="6y 3m 10d"/>
    <s v="Male"/>
    <s v="Yes"/>
    <s v="Black"/>
    <s v="No"/>
    <s v="941000031749827"/>
    <x v="13"/>
    <s v="1"/>
    <s v="HW+"/>
  </r>
  <r>
    <s v=""/>
    <s v="A0058760517"/>
    <s v="Yes"/>
    <s v="Active"/>
    <x v="5"/>
    <x v="1"/>
    <s v="Shepherd"/>
    <s v="Tanya"/>
    <s v="8y 3m 27d"/>
    <s v="Female"/>
    <s v="Yes"/>
    <s v="Tan"/>
    <s v="No"/>
    <s v="941000031683941"/>
    <x v="13"/>
    <s v="9"/>
    <s v="HWT"/>
  </r>
  <r>
    <s v=""/>
    <s v="A0058760472"/>
    <s v="Yes"/>
    <s v="Active"/>
    <x v="5"/>
    <x v="1"/>
    <s v="Hound"/>
    <s v="Kirby"/>
    <s v="3y 3m 27d"/>
    <s v="Male"/>
    <s v="Yes"/>
    <s v="Grey"/>
    <s v="No"/>
    <s v="941000031750068"/>
    <x v="13"/>
    <s v="12"/>
    <s v="HW Trx"/>
  </r>
  <r>
    <s v=""/>
    <s v="A0058748347"/>
    <s v="Yes"/>
    <s v="Active"/>
    <x v="14"/>
    <x v="1"/>
    <s v="Terrier"/>
    <s v="Karma (M Kelly)"/>
    <s v="6y 4m 0d"/>
    <s v="Female"/>
    <s v="Yes"/>
    <s v="Grey"/>
    <s v="No"/>
    <s v="941000031684310"/>
    <x v="5"/>
    <s v="AdoptionTrial"/>
    <s v="HW+"/>
  </r>
  <r>
    <s v=""/>
    <s v="A0058730783"/>
    <s v="Yes"/>
    <s v="Active"/>
    <x v="5"/>
    <x v="1"/>
    <s v="Terrier"/>
    <s v="Kim"/>
    <s v="4y 4m 3d"/>
    <s v="Female"/>
    <s v="Yes"/>
    <s v="Black"/>
    <s v="No"/>
    <s v="941000030975999"/>
    <x v="7"/>
    <s v="3"/>
    <s v="HW+"/>
  </r>
  <r>
    <s v=""/>
    <s v="A0058726011"/>
    <s v="Yes"/>
    <s v="Active"/>
    <x v="2"/>
    <x v="0"/>
    <s v="Domestic Shorthair"/>
    <s v="Pistol"/>
    <s v="0y 4m 17d"/>
    <s v="Male"/>
    <s v="No"/>
    <s v="Black"/>
    <s v="No"/>
    <m/>
    <x v="17"/>
    <s v="Pop up cage - no #"/>
    <m/>
  </r>
  <r>
    <s v=""/>
    <s v="A0058719090"/>
    <s v="Yes"/>
    <s v="Active"/>
    <x v="5"/>
    <x v="1"/>
    <s v="Terrier, American Staffordshire"/>
    <s v="Ava Grace"/>
    <s v="2y 4m 4d"/>
    <s v="Female"/>
    <s v="Yes"/>
    <s v="Brown"/>
    <s v="No"/>
    <s v="941000030951410"/>
    <x v="16"/>
    <s v="14"/>
    <s v="HWTrx"/>
  </r>
  <r>
    <s v=""/>
    <s v="A0058705427"/>
    <s v="Yes"/>
    <s v="Active"/>
    <x v="5"/>
    <x v="1"/>
    <s v="Retriever, Labrador"/>
    <s v="Cole (K. Vogel)"/>
    <s v="1y 4m 7d"/>
    <s v="Male"/>
    <s v="Yes"/>
    <s v="Black"/>
    <s v="No"/>
    <s v="941000031683783"/>
    <x v="5"/>
    <s v="AdoptAmbassador"/>
    <s v="HW-"/>
  </r>
  <r>
    <s v=""/>
    <s v="A0058688400"/>
    <s v="Yes"/>
    <s v="Active"/>
    <x v="5"/>
    <x v="1"/>
    <s v="Shepherd"/>
    <s v="Julian"/>
    <s v="3y 4m 9d"/>
    <s v="Male"/>
    <s v="Yes"/>
    <s v="Black"/>
    <s v="No"/>
    <s v="941000031683707"/>
    <x v="13"/>
    <s v="2"/>
    <s v="HWT"/>
  </r>
  <r>
    <s v=""/>
    <s v="A0058687058"/>
    <s v="Yes"/>
    <s v="Active"/>
    <x v="5"/>
    <x v="0"/>
    <s v="Domestic Shorthair"/>
    <s v="Timmy [Barn Cat]"/>
    <s v="4y 1m 28d"/>
    <s v="Male"/>
    <s v="Yes"/>
    <s v="Orange"/>
    <s v="No"/>
    <m/>
    <x v="2"/>
    <s v="4"/>
    <m/>
  </r>
  <r>
    <s v=""/>
    <s v="A0058679788"/>
    <s v="Yes"/>
    <s v="Active"/>
    <x v="5"/>
    <x v="0"/>
    <s v="Domestic Shorthair"/>
    <s v="Trinity"/>
    <s v="0y 5m 23d"/>
    <s v="Female"/>
    <s v="Yes"/>
    <s v="White"/>
    <s v="No"/>
    <s v="941000031683512"/>
    <x v="11"/>
    <s v="Bank 3 Cage 6"/>
    <m/>
  </r>
  <r>
    <s v=""/>
    <s v="A0058673677"/>
    <s v="Yes"/>
    <s v="Active"/>
    <x v="2"/>
    <x v="1"/>
    <s v="Mixed Breed, Medium (up to 44 lbs fully grown)"/>
    <s v="Beth Anne"/>
    <s v="2y 4m 9d"/>
    <s v="Female"/>
    <s v="No"/>
    <s v="Brown"/>
    <s v="No"/>
    <m/>
    <x v="16"/>
    <s v="20"/>
    <s v="HW +"/>
  </r>
  <r>
    <s v=""/>
    <s v="A0058670555"/>
    <s v="Yes"/>
    <s v="Active"/>
    <x v="5"/>
    <x v="0"/>
    <s v="Domestic Shorthair"/>
    <s v="Tilly (A. Watson)"/>
    <s v="2y 4m 11d"/>
    <s v="Female"/>
    <s v="Yes"/>
    <s v="Grey"/>
    <s v="No"/>
    <s v="941000031684313"/>
    <x v="5"/>
    <s v="AdoptAmbassador"/>
    <m/>
  </r>
  <r>
    <s v=""/>
    <s v="A0058669176"/>
    <s v="Yes"/>
    <s v="Active"/>
    <x v="5"/>
    <x v="0"/>
    <s v="Domestic Shorthair"/>
    <s v="Tia [Barn Cat]"/>
    <s v="1y 4m 11d"/>
    <s v="Female"/>
    <s v="Yes"/>
    <s v="White"/>
    <s v="No"/>
    <m/>
    <x v="14"/>
    <s v="Run 1"/>
    <m/>
  </r>
  <r>
    <s v=""/>
    <s v="A0058657796"/>
    <s v="Yes"/>
    <s v="Active"/>
    <x v="2"/>
    <x v="0"/>
    <s v="Domestic Shorthair"/>
    <s v="Biscuit (Q Morris)"/>
    <s v="0y 6m 20d"/>
    <s v="Male"/>
    <s v="No"/>
    <s v="Black"/>
    <s v="No"/>
    <m/>
    <x v="5"/>
    <s v="AdoptAmbassador"/>
    <m/>
  </r>
  <r>
    <s v=""/>
    <s v="A0058657785"/>
    <s v="Yes"/>
    <s v="Active"/>
    <x v="2"/>
    <x v="0"/>
    <s v="Domestic Shorthair"/>
    <s v="Smudge (Q Morris)"/>
    <s v="0y 6m 20d"/>
    <s v="Male"/>
    <s v="No"/>
    <s v="Black"/>
    <s v="No"/>
    <m/>
    <x v="5"/>
    <s v="AdoptAmbassador"/>
    <m/>
  </r>
  <r>
    <s v=""/>
    <s v="A0058657655"/>
    <s v="Yes"/>
    <s v="Active"/>
    <x v="5"/>
    <x v="0"/>
    <s v="Domestic Shorthair"/>
    <s v="Bessie"/>
    <s v="3y 4m 14d"/>
    <s v="Female"/>
    <s v="Yes"/>
    <s v="Grey"/>
    <s v="No"/>
    <s v="941000028840619"/>
    <x v="11"/>
    <s v="Bank 3 Cage 3"/>
    <m/>
  </r>
  <r>
    <s v=""/>
    <s v="A0058640822"/>
    <s v="Yes"/>
    <s v="Active"/>
    <x v="5"/>
    <x v="0"/>
    <s v="Domestic Shorthair"/>
    <s v="Zuko [Barn Cat]"/>
    <s v="2y 4m 16d"/>
    <s v="Male"/>
    <s v="Yes"/>
    <s v="Black"/>
    <s v="No"/>
    <m/>
    <x v="14"/>
    <s v="Catio Free Roaming"/>
    <m/>
  </r>
  <r>
    <s v=""/>
    <s v="A0058640805"/>
    <s v="Yes"/>
    <s v="Active"/>
    <x v="5"/>
    <x v="0"/>
    <s v="Domestic Shorthair"/>
    <s v="Trout"/>
    <s v="0y 5m 9d"/>
    <s v="Male"/>
    <s v="Yes"/>
    <s v="Orange"/>
    <s v="No"/>
    <s v="941000031684261"/>
    <x v="11"/>
    <s v="Bank 2 Cage 6"/>
    <m/>
  </r>
  <r>
    <s v=""/>
    <s v="A0058640772"/>
    <s v="Yes"/>
    <s v="Active"/>
    <x v="5"/>
    <x v="0"/>
    <s v="Domestic Shorthair"/>
    <s v="Sushi"/>
    <s v="0y 5m 9d"/>
    <s v="Female"/>
    <s v="Yes"/>
    <s v="Beige"/>
    <s v="No"/>
    <s v="941000031683710"/>
    <x v="11"/>
    <s v="Bank 2 Cage 6"/>
    <m/>
  </r>
  <r>
    <s v=""/>
    <s v="A0058640092"/>
    <s v="Yes"/>
    <s v="Active"/>
    <x v="8"/>
    <x v="1"/>
    <s v="Bulldog, French"/>
    <s v="Cookie (A. Gardner)"/>
    <s v="7y 4m 16d"/>
    <s v="Female"/>
    <s v="No"/>
    <s v="Brindle"/>
    <s v="No"/>
    <m/>
    <x v="5"/>
    <s v="AdoptionTrial"/>
    <s v="HW -"/>
  </r>
  <r>
    <s v=""/>
    <s v="A0058632375"/>
    <s v="Yes"/>
    <s v="Active"/>
    <x v="5"/>
    <x v="0"/>
    <s v="Domestic Shorthair"/>
    <s v="Lottie [Barn Cat]"/>
    <s v="6y 4m 9d"/>
    <s v="Female"/>
    <s v="Yes"/>
    <s v="White"/>
    <s v="No"/>
    <m/>
    <x v="14"/>
    <s v="Catio Free Roaming"/>
    <m/>
  </r>
  <r>
    <s v=""/>
    <s v="A0058620547"/>
    <s v="Yes"/>
    <s v="Active"/>
    <x v="5"/>
    <x v="0"/>
    <s v="Domestic Shorthair"/>
    <s v="Judd (K. Michaux)"/>
    <s v="2y 4m 18d"/>
    <s v="Male"/>
    <s v="Yes"/>
    <s v="Black"/>
    <s v="No"/>
    <s v="941000031749682"/>
    <x v="5"/>
    <s v="AdoptAmbassador"/>
    <m/>
  </r>
  <r>
    <s v=""/>
    <s v="A0058605681"/>
    <s v="Yes"/>
    <s v="Active"/>
    <x v="3"/>
    <x v="3"/>
    <s v="Domestic Pig"/>
    <s v="Bitty Boo"/>
    <s v="0y 5m 25d"/>
    <s v="Female"/>
    <s v="No"/>
    <s v="Black"/>
    <s v="No"/>
    <m/>
    <x v="5"/>
    <s v="Foster home"/>
    <m/>
  </r>
  <r>
    <s v=""/>
    <s v="A0058590008"/>
    <s v="Yes"/>
    <s v="Active"/>
    <x v="5"/>
    <x v="0"/>
    <s v="Domestic Shorthair"/>
    <s v="Sweets"/>
    <s v="0y 6m 2d"/>
    <s v="Female"/>
    <s v="Yes"/>
    <s v="Grey"/>
    <s v="No"/>
    <s v="941000031684078"/>
    <x v="11"/>
    <s v="Bank 1 Cage 4"/>
    <m/>
  </r>
  <r>
    <s v=""/>
    <s v="A0058584267"/>
    <s v="Yes"/>
    <s v="Active"/>
    <x v="8"/>
    <x v="0"/>
    <s v="Domestic Shorthair"/>
    <s v="Stitch (E. Shearouse)"/>
    <s v="0y 3m 25d"/>
    <s v="Male"/>
    <s v="No"/>
    <s v="Black"/>
    <s v="No"/>
    <s v="941000031735842"/>
    <x v="5"/>
    <s v="AdoptionTrial"/>
    <m/>
  </r>
  <r>
    <s v=""/>
    <s v="A0058557091"/>
    <s v="Yes"/>
    <s v="Active"/>
    <x v="14"/>
    <x v="1"/>
    <s v="Mixed Breed, Medium (up to 44 lbs fully grown)"/>
    <s v="Miss White (R. McGeehan)"/>
    <s v="1y 4m 28d"/>
    <s v="Female"/>
    <s v="Yes"/>
    <s v="White"/>
    <s v="No"/>
    <s v="941000031749636"/>
    <x v="5"/>
    <s v="AdoptionTrial"/>
    <s v="HW +"/>
  </r>
  <r>
    <s v=""/>
    <s v="A0058540854"/>
    <s v="Yes"/>
    <s v="Active"/>
    <x v="5"/>
    <x v="1"/>
    <s v="Retriever, Labrador"/>
    <s v="Nash"/>
    <s v="3y 5m 0d"/>
    <s v="Male"/>
    <s v="Yes"/>
    <s v="Brown"/>
    <s v="No"/>
    <s v="941000030972352"/>
    <x v="13"/>
    <s v="8"/>
    <s v="HW -"/>
  </r>
  <r>
    <s v=""/>
    <s v="A0058532837"/>
    <s v="Yes"/>
    <s v="Active"/>
    <x v="5"/>
    <x v="0"/>
    <s v="Domestic Shorthair"/>
    <s v="Rain"/>
    <s v="0y 5m 26d"/>
    <s v="Female"/>
    <s v="Yes"/>
    <s v="White"/>
    <s v="No"/>
    <s v="941000031749670"/>
    <x v="11"/>
    <s v="Bank 2 Cage 2"/>
    <m/>
  </r>
  <r>
    <s v=""/>
    <s v="A0058532782"/>
    <s v="Yes"/>
    <s v="Active"/>
    <x v="2"/>
    <x v="0"/>
    <s v="Domestic Shorthair"/>
    <s v="Abbott (A. Flynt)"/>
    <s v="0y 5m 26d"/>
    <s v="Male"/>
    <s v="No"/>
    <s v="Black"/>
    <s v="No"/>
    <m/>
    <x v="5"/>
    <s v="AdoptAmbassador"/>
    <m/>
  </r>
  <r>
    <s v=""/>
    <s v="A0058532682"/>
    <s v="Yes"/>
    <s v="Active"/>
    <x v="5"/>
    <x v="0"/>
    <s v="Domestic Shorthair"/>
    <s v="Bowie"/>
    <s v="0y 5m 26d"/>
    <s v="Male"/>
    <s v="Yes"/>
    <s v="White"/>
    <s v="No"/>
    <s v="941000031749728"/>
    <x v="11"/>
    <s v="Bank 2 Cage 2"/>
    <m/>
  </r>
  <r>
    <s v=""/>
    <s v="A0058532674"/>
    <s v="Yes"/>
    <s v="Active"/>
    <x v="5"/>
    <x v="0"/>
    <s v="Domestic Shorthair"/>
    <s v="Mini"/>
    <s v="0y 5m 26d"/>
    <s v="Female"/>
    <s v="Yes"/>
    <s v="White"/>
    <s v="No"/>
    <s v="941000031749599"/>
    <x v="2"/>
    <s v="1"/>
    <m/>
  </r>
  <r>
    <s v=""/>
    <s v="A0058490000"/>
    <s v="Yes"/>
    <s v="Active"/>
    <x v="8"/>
    <x v="0"/>
    <s v="Domestic Shorthair"/>
    <s v="(Y Peterson)"/>
    <s v="0y 7m 2d"/>
    <s v="Male"/>
    <s v="No"/>
    <s v="White"/>
    <s v="No"/>
    <m/>
    <x v="5"/>
    <s v="AdoptionTrial"/>
    <m/>
  </r>
  <r>
    <s v=""/>
    <s v="A0058481134"/>
    <s v="Yes"/>
    <s v="Active"/>
    <x v="5"/>
    <x v="1"/>
    <s v="Terrier, Pit Bull"/>
    <s v="Kira"/>
    <s v="3y 4m 10d"/>
    <s v="Female"/>
    <s v="Yes"/>
    <s v="Grey"/>
    <s v="No"/>
    <s v="941000030976620"/>
    <x v="13"/>
    <s v="5"/>
    <s v="HW-"/>
  </r>
  <r>
    <s v=""/>
    <s v="A0058478761"/>
    <s v="Yes"/>
    <s v="Active"/>
    <x v="5"/>
    <x v="0"/>
    <s v="Domestic Shorthair"/>
    <s v="Scoops"/>
    <s v="0y 6m 9d"/>
    <s v="Male"/>
    <s v="Yes"/>
    <s v="Brown"/>
    <s v="No"/>
    <s v="941000031684057"/>
    <x v="11"/>
    <s v="Bank 1 Cage 6"/>
    <m/>
  </r>
  <r>
    <s v=""/>
    <s v="A0058442143"/>
    <s v="Yes"/>
    <s v="Active"/>
    <x v="3"/>
    <x v="3"/>
    <s v="Domestic Pig"/>
    <s v="River pig-A"/>
    <s v=""/>
    <s v="Unknown"/>
    <s v="No"/>
    <s v="Black"/>
    <s v="No"/>
    <m/>
    <x v="15"/>
    <s v="Stable 6"/>
    <m/>
  </r>
  <r>
    <s v=""/>
    <s v="A0058442142"/>
    <s v="Yes"/>
    <s v="Active"/>
    <x v="3"/>
    <x v="3"/>
    <s v="Domestic Pig"/>
    <s v="River pig-B"/>
    <s v=""/>
    <s v="Unknown"/>
    <s v="No"/>
    <s v="Brown"/>
    <s v="No"/>
    <m/>
    <x v="15"/>
    <s v="Stable 6"/>
    <m/>
  </r>
  <r>
    <s v=""/>
    <s v="A0058442130"/>
    <s v="Yes"/>
    <s v="Active"/>
    <x v="3"/>
    <x v="3"/>
    <s v="Domestic Pig"/>
    <s v="River pig-D"/>
    <s v=""/>
    <s v="Unknown"/>
    <s v="No"/>
    <s v="Grey"/>
    <s v="No"/>
    <m/>
    <x v="15"/>
    <s v="Stable 6"/>
    <m/>
  </r>
  <r>
    <s v=""/>
    <s v="A0058442122"/>
    <s v="Yes"/>
    <s v="Active"/>
    <x v="3"/>
    <x v="3"/>
    <s v="Domestic Pig"/>
    <s v="River pig-G"/>
    <s v=""/>
    <s v="Unknown"/>
    <s v="No"/>
    <s v="White"/>
    <s v="No"/>
    <m/>
    <x v="15"/>
    <s v="Stable 6"/>
    <m/>
  </r>
  <r>
    <s v=""/>
    <s v="A0058442118"/>
    <s v="Yes"/>
    <s v="Active"/>
    <x v="3"/>
    <x v="3"/>
    <s v="Domestic Pig"/>
    <s v="River pig-H"/>
    <s v=""/>
    <s v="Unknown"/>
    <s v="No"/>
    <s v="Black"/>
    <s v="No"/>
    <m/>
    <x v="15"/>
    <s v="Stable 6"/>
    <m/>
  </r>
  <r>
    <s v=""/>
    <s v="A0058442115"/>
    <s v="Yes"/>
    <s v="Active"/>
    <x v="3"/>
    <x v="3"/>
    <s v="Domestic Pig"/>
    <s v="River pig-I"/>
    <s v=""/>
    <s v="Unknown"/>
    <s v="No"/>
    <s v="Brown"/>
    <s v="No"/>
    <m/>
    <x v="15"/>
    <s v="Stable 6"/>
    <m/>
  </r>
  <r>
    <s v=""/>
    <s v="A0058442112"/>
    <s v="Yes"/>
    <s v="Active"/>
    <x v="3"/>
    <x v="3"/>
    <s v="Domestic Pig"/>
    <s v="River pig-J"/>
    <s v=""/>
    <s v="Unknown"/>
    <s v="No"/>
    <s v="White"/>
    <s v="No"/>
    <m/>
    <x v="15"/>
    <s v="Stable 6"/>
    <m/>
  </r>
  <r>
    <s v=""/>
    <s v="A0058442109"/>
    <s v="Yes"/>
    <s v="Active"/>
    <x v="3"/>
    <x v="3"/>
    <s v="Domestic Pig"/>
    <s v="River pig-K"/>
    <s v=""/>
    <s v="Unknown"/>
    <s v="No"/>
    <s v="White"/>
    <s v="No"/>
    <m/>
    <x v="15"/>
    <s v="Stable 6"/>
    <m/>
  </r>
  <r>
    <s v=""/>
    <s v="A0058442105"/>
    <s v="Yes"/>
    <s v="Active"/>
    <x v="3"/>
    <x v="3"/>
    <s v="Domestic Pig"/>
    <s v="River pig-L"/>
    <s v=""/>
    <s v="Unknown"/>
    <s v="No"/>
    <s v="White"/>
    <s v="No"/>
    <m/>
    <x v="15"/>
    <s v="Stable 6"/>
    <m/>
  </r>
  <r>
    <s v=""/>
    <s v="A0058442099"/>
    <s v="Yes"/>
    <s v="Active"/>
    <x v="3"/>
    <x v="3"/>
    <s v="Domestic Pig"/>
    <s v="River pig-M"/>
    <s v=""/>
    <s v="Unknown"/>
    <s v="No"/>
    <s v="Black"/>
    <s v="No"/>
    <m/>
    <x v="15"/>
    <s v="Stable 6"/>
    <m/>
  </r>
  <r>
    <s v=""/>
    <s v="A0058436930"/>
    <s v="Yes"/>
    <s v="Active"/>
    <x v="5"/>
    <x v="0"/>
    <s v="Domestic Shorthair"/>
    <s v="Phillip"/>
    <s v="0y 6m 6d"/>
    <s v="Male"/>
    <s v="Yes"/>
    <s v="Black"/>
    <s v="No"/>
    <s v="941000031684380"/>
    <x v="11"/>
    <s v="Bank 4 Cage 3"/>
    <m/>
  </r>
  <r>
    <s v=""/>
    <s v="A0058436912"/>
    <s v="Yes"/>
    <s v="Active"/>
    <x v="5"/>
    <x v="0"/>
    <s v="Domestic Shorthair"/>
    <s v="Dexter"/>
    <s v="0y 6m 6d"/>
    <s v="Male"/>
    <s v="Yes"/>
    <s v="White"/>
    <s v="No"/>
    <s v="941000031683713"/>
    <x v="11"/>
    <s v="Bank 4 Cage 3"/>
    <m/>
  </r>
  <r>
    <s v=""/>
    <s v="A0058435777"/>
    <s v="Yes"/>
    <s v="Active"/>
    <x v="5"/>
    <x v="0"/>
    <s v="Domestic Shorthair"/>
    <s v="Jojo"/>
    <s v="0y 6m 6d"/>
    <s v="Male"/>
    <s v="Yes"/>
    <s v="Black"/>
    <s v="No"/>
    <s v="941000031683613"/>
    <x v="11"/>
    <s v="Bank 4 Cage 2"/>
    <m/>
  </r>
  <r>
    <s v=""/>
    <s v="A0058435745"/>
    <s v="Yes"/>
    <s v="Active"/>
    <x v="5"/>
    <x v="0"/>
    <s v="Domestic Shorthair"/>
    <s v="Kobe"/>
    <s v="0y 6m 6d"/>
    <s v="Male"/>
    <s v="Yes"/>
    <s v="White"/>
    <s v="No"/>
    <s v="941000031683459"/>
    <x v="11"/>
    <s v="Bank 4 Cage 2"/>
    <m/>
  </r>
  <r>
    <s v=""/>
    <s v="A0058422062"/>
    <s v="Yes"/>
    <s v="Active"/>
    <x v="5"/>
    <x v="0"/>
    <s v="Domestic Medium Hair"/>
    <s v="Bee [Barn Cat]"/>
    <s v="2y 5m 18d"/>
    <s v="Female"/>
    <s v="Yes"/>
    <s v="Black"/>
    <s v="No"/>
    <m/>
    <x v="14"/>
    <s v="Run 4"/>
    <m/>
  </r>
  <r>
    <s v=""/>
    <s v="A0058420918"/>
    <s v="Yes"/>
    <s v="Active"/>
    <x v="5"/>
    <x v="0"/>
    <s v="Domestic Shorthair"/>
    <s v="Smudge"/>
    <s v="0y 6m 16d"/>
    <s v="Male"/>
    <s v="Yes"/>
    <s v="Black"/>
    <s v="No"/>
    <s v="941000031684276"/>
    <x v="11"/>
    <s v="Bank 1 Cage 6"/>
    <m/>
  </r>
  <r>
    <s v=""/>
    <s v="A0058415737"/>
    <s v="Yes"/>
    <s v="Active"/>
    <x v="5"/>
    <x v="0"/>
    <s v="Domestic Shorthair"/>
    <s v="Wilson"/>
    <s v="1y 5m 19d"/>
    <s v="Male"/>
    <s v="Yes"/>
    <s v="Black"/>
    <s v="No"/>
    <m/>
    <x v="14"/>
    <s v="Run 4"/>
    <m/>
  </r>
  <r>
    <s v=""/>
    <s v="A0058368673"/>
    <s v="Yes"/>
    <s v="Active"/>
    <x v="5"/>
    <x v="0"/>
    <s v="Domestic Shorthair"/>
    <s v="Edith [Barn Cat]"/>
    <s v="2y 5m 26d"/>
    <s v="Female"/>
    <s v="Yes"/>
    <s v="Black"/>
    <s v="No"/>
    <m/>
    <x v="14"/>
    <s v="Catio Free Roaming"/>
    <m/>
  </r>
  <r>
    <s v=""/>
    <s v="A0058353818"/>
    <s v="Yes"/>
    <s v="Active"/>
    <x v="5"/>
    <x v="0"/>
    <s v="Domestic Medium Hair"/>
    <s v="Gus (C Warren)"/>
    <s v="2y 5m 28d"/>
    <s v="Male"/>
    <s v="Yes"/>
    <s v="Black"/>
    <s v="No"/>
    <s v="941000030972068"/>
    <x v="5"/>
    <s v="AdoptAmbassador"/>
    <m/>
  </r>
  <r>
    <s v=""/>
    <s v="A0058345913"/>
    <s v="Yes"/>
    <s v="Active"/>
    <x v="5"/>
    <x v="1"/>
    <s v="Terrier, American Pit Bull"/>
    <s v="Grasshopper (E. Beam)"/>
    <s v="2y 5m 29d"/>
    <s v="Male"/>
    <s v="Yes"/>
    <s v="White"/>
    <s v="No"/>
    <s v="941000030951402"/>
    <x v="5"/>
    <s v="AdoptAmbassador"/>
    <s v="HW -"/>
  </r>
  <r>
    <s v=""/>
    <s v="A0058345817"/>
    <s v="Yes"/>
    <s v="Active"/>
    <x v="5"/>
    <x v="0"/>
    <s v="Domestic Medium Hair"/>
    <s v="Leah [Barn Cat]"/>
    <s v="8y 5m 22d"/>
    <s v="Female"/>
    <s v="Yes"/>
    <s v="Black"/>
    <s v="No"/>
    <s v="941000030971951"/>
    <x v="14"/>
    <s v="Run 1"/>
    <m/>
  </r>
  <r>
    <s v=""/>
    <s v="A0058345457"/>
    <s v="Yes"/>
    <s v="Active"/>
    <x v="5"/>
    <x v="0"/>
    <s v="Domestic Shorthair"/>
    <s v="Kevin (L. Hautmaki)"/>
    <s v="0y 6m 22d"/>
    <s v="Male"/>
    <s v="Yes"/>
    <s v="Black"/>
    <s v="No"/>
    <s v="941000030976414"/>
    <x v="5"/>
    <s v="AdoptAmbassador"/>
    <m/>
  </r>
  <r>
    <s v=""/>
    <s v="A0058345452"/>
    <s v="Yes"/>
    <s v="Active"/>
    <x v="5"/>
    <x v="0"/>
    <s v="Domestic Shorthair"/>
    <s v="Kat (L. Hautmaki)"/>
    <s v="0y 6m 22d"/>
    <s v="Female"/>
    <s v="Yes"/>
    <s v="Black"/>
    <s v="No"/>
    <s v="941000030951091"/>
    <x v="5"/>
    <s v="AdoptAmbassador"/>
    <m/>
  </r>
  <r>
    <s v=""/>
    <s v="A0058297139"/>
    <s v="Yes"/>
    <s v="Active"/>
    <x v="5"/>
    <x v="1"/>
    <s v="Terrier, American Pit Bull"/>
    <s v="Luke (M. Arnold)"/>
    <s v="4y 5m 29d"/>
    <s v="Male"/>
    <s v="Yes"/>
    <s v="Brown"/>
    <s v="No"/>
    <s v="941000031684008"/>
    <x v="5"/>
    <s v="AdoptAmbassador"/>
    <s v="HWtxr"/>
  </r>
  <r>
    <s v=""/>
    <s v="A0058282132"/>
    <s v="Yes"/>
    <s v="Active"/>
    <x v="5"/>
    <x v="1"/>
    <s v="Terrier, American Pit Bull"/>
    <s v="Radar"/>
    <s v="6y 6m 10d"/>
    <s v="Male"/>
    <s v="Yes"/>
    <s v="Black"/>
    <s v="No"/>
    <s v="941000031750106"/>
    <x v="16"/>
    <s v="4"/>
    <s v="HW-"/>
  </r>
  <r>
    <s v=""/>
    <s v="A0058280488"/>
    <s v="Yes"/>
    <s v="Active"/>
    <x v="5"/>
    <x v="1"/>
    <s v="Hound"/>
    <s v="Odin (C. Bucknam)"/>
    <s v="2y 0m 10d"/>
    <s v="Male"/>
    <s v="Yes"/>
    <s v="Tan"/>
    <s v="No"/>
    <s v="941000030972568"/>
    <x v="5"/>
    <s v="AdoptAmbassador"/>
    <s v="HW -"/>
  </r>
  <r>
    <s v=""/>
    <s v="A0058276398"/>
    <s v="Yes"/>
    <s v="Active"/>
    <x v="5"/>
    <x v="1"/>
    <s v="Terrier, American Pit Bull"/>
    <s v="Koko"/>
    <s v="1y 6m 11d"/>
    <s v="Female"/>
    <s v="Yes"/>
    <s v="Blue"/>
    <s v="No"/>
    <s v="941000031750462"/>
    <x v="16"/>
    <s v="13"/>
    <s v="HW -"/>
  </r>
  <r>
    <s v=""/>
    <s v="A0058240635"/>
    <s v="Yes"/>
    <s v="Active"/>
    <x v="5"/>
    <x v="1"/>
    <s v="Terrier, Pit Bull"/>
    <s v="Jacob"/>
    <s v="3y 6m 17d"/>
    <s v="Male"/>
    <s v="Yes"/>
    <s v="Brown"/>
    <s v="No"/>
    <s v="941000030951287"/>
    <x v="13"/>
    <s v="4"/>
    <s v="HW-"/>
  </r>
  <r>
    <s v=""/>
    <s v="A0058233547"/>
    <s v="Yes"/>
    <s v="Active"/>
    <x v="5"/>
    <x v="1"/>
    <s v="Terrier, American Pit Bull"/>
    <s v="Zane (L. Creech)"/>
    <s v="2y 6m 18d"/>
    <s v="Male"/>
    <s v="Yes"/>
    <s v="Brown"/>
    <s v="No"/>
    <s v="941000030971791"/>
    <x v="5"/>
    <s v="AdoptAmbassador"/>
    <s v="HWTrx"/>
  </r>
  <r>
    <s v=""/>
    <s v="A0058224570"/>
    <s v="Yes"/>
    <s v="Active"/>
    <x v="5"/>
    <x v="0"/>
    <s v="Domestic Shorthair"/>
    <s v="Midge [Barn Cat]"/>
    <s v="1y 6m 19d"/>
    <s v="Male"/>
    <s v="Yes"/>
    <s v="Black"/>
    <s v="No"/>
    <m/>
    <x v="14"/>
    <s v="Catio Free Roaming"/>
    <m/>
  </r>
  <r>
    <s v=""/>
    <s v="A0058089692"/>
    <s v="Yes"/>
    <s v="Active"/>
    <x v="15"/>
    <x v="1"/>
    <s v="Terrier"/>
    <s v="Rajah"/>
    <s v="1y 6m 23d"/>
    <s v="Male"/>
    <s v="Yes"/>
    <s v="Black"/>
    <s v="No"/>
    <s v="982091074518525"/>
    <x v="7"/>
    <s v="4"/>
    <s v="HWTrx"/>
  </r>
  <r>
    <s v=""/>
    <s v="A0058018080"/>
    <s v="Yes"/>
    <s v="Active"/>
    <x v="5"/>
    <x v="1"/>
    <s v="Terrier"/>
    <s v="Zorua (C. Lester)"/>
    <s v="2y 7m 6d"/>
    <s v="Female"/>
    <s v="Yes"/>
    <s v="Black"/>
    <s v="No"/>
    <s v="941000031749716"/>
    <x v="5"/>
    <s v="AdoptAmbassador"/>
    <s v="HWTrx"/>
  </r>
  <r>
    <s v=""/>
    <s v="A0057890580"/>
    <s v="Yes"/>
    <s v="Active"/>
    <x v="5"/>
    <x v="1"/>
    <s v="Terrier, American Pit Bull"/>
    <s v="Myrtle"/>
    <s v="1y 7m 29d"/>
    <s v="Female"/>
    <s v="Yes"/>
    <s v="Grey"/>
    <s v="No"/>
    <s v="982091074347787"/>
    <x v="13"/>
    <s v="3"/>
    <s v="HWTrx"/>
  </r>
  <r>
    <s v=""/>
    <s v="A0057829377"/>
    <s v="Yes"/>
    <s v="Active"/>
    <x v="5"/>
    <x v="1"/>
    <s v="Terrier, Pit Bull"/>
    <s v="Woodstock"/>
    <s v="2y 8m 9d"/>
    <s v="Male"/>
    <s v="Yes"/>
    <s v="Grey"/>
    <s v="No"/>
    <s v="941000030951283"/>
    <x v="16"/>
    <s v="11"/>
    <s v="HW-"/>
  </r>
  <r>
    <s v=""/>
    <s v="A0057718939"/>
    <s v="Yes"/>
    <s v="Active"/>
    <x v="5"/>
    <x v="1"/>
    <s v="Bullmastiff"/>
    <s v="Goose"/>
    <s v="10y 7m 29d"/>
    <s v="Male"/>
    <s v="Yes"/>
    <s v="Brindle"/>
    <s v="No"/>
    <s v="982091074435993"/>
    <x v="16"/>
    <s v="1"/>
    <s v="HW +"/>
  </r>
  <r>
    <s v=""/>
    <s v="A0057637575"/>
    <s v="Yes"/>
    <s v="Active"/>
    <x v="5"/>
    <x v="0"/>
    <s v="Domestic Shorthair"/>
    <s v="Kathy (A. Flynt)"/>
    <s v="1y 9m 6d"/>
    <s v="Female"/>
    <s v="Yes"/>
    <s v="Black"/>
    <s v="No"/>
    <s v="982091074519645"/>
    <x v="5"/>
    <s v="AdoptAmbassador"/>
    <m/>
  </r>
  <r>
    <s v=""/>
    <s v="A0057330368"/>
    <s v="Yes"/>
    <s v="Active"/>
    <x v="5"/>
    <x v="1"/>
    <s v="Terrier, American Pit Bull"/>
    <s v="Lloyd (S. Miller)"/>
    <s v="5y 10m 12d"/>
    <s v="Male"/>
    <s v="Yes"/>
    <s v="Black"/>
    <s v="No"/>
    <s v="982091074517107"/>
    <x v="5"/>
    <s v="AdoptAmbassador"/>
    <s v="HWTX"/>
  </r>
  <r>
    <s v=""/>
    <s v="A0057142369"/>
    <s v="Yes"/>
    <s v="Active"/>
    <x v="5"/>
    <x v="1"/>
    <s v="Rottweiler"/>
    <s v="Sebastian"/>
    <s v="4y 11m 26d"/>
    <s v="Male"/>
    <s v="Yes"/>
    <s v="Black"/>
    <s v="No"/>
    <s v="941000031749603"/>
    <x v="16"/>
    <s v="19"/>
    <s v="HW+"/>
  </r>
  <r>
    <s v=""/>
    <s v="A0057060359"/>
    <s v="Yes"/>
    <s v="Active"/>
    <x v="5"/>
    <x v="1"/>
    <s v="Terrier"/>
    <s v="Fonzie"/>
    <s v="2y 5m 12d"/>
    <s v="Male"/>
    <s v="Yes"/>
    <s v="Brindle"/>
    <s v="No"/>
    <s v="982091074516639"/>
    <x v="13"/>
    <s v="13"/>
    <s v="HWTrx"/>
  </r>
  <r>
    <s v=""/>
    <s v="A0056684348"/>
    <s v="Yes"/>
    <s v="Active"/>
    <x v="5"/>
    <x v="1"/>
    <s v="Terrier, American Pit Bull"/>
    <s v="Chucky (J. Maher)"/>
    <s v="4y 1m 17d"/>
    <s v="Male"/>
    <s v="Yes"/>
    <s v="Brown"/>
    <s v="No"/>
    <s v="941000029787399"/>
    <x v="5"/>
    <s v="AdoptAmbassador"/>
    <s v="HW-"/>
  </r>
  <r>
    <s v=""/>
    <s v="A0056472536"/>
    <s v="Yes"/>
    <s v="Active"/>
    <x v="5"/>
    <x v="0"/>
    <s v="Domestic Shorthair"/>
    <s v="Lindsey (T. Myers)"/>
    <s v="1y 3m 17d"/>
    <s v="Female"/>
    <s v="Yes"/>
    <s v="Orange"/>
    <s v="No"/>
    <s v="941000031683466"/>
    <x v="5"/>
    <s v="AdoptAmbassador"/>
    <m/>
  </r>
  <r>
    <s v=""/>
    <s v="A0056059524"/>
    <s v="Yes"/>
    <s v="Active"/>
    <x v="9"/>
    <x v="0"/>
    <s v="Domestic Shorthair"/>
    <s v="Faye"/>
    <s v="1y 6m 17d"/>
    <s v="Female"/>
    <s v="Yes"/>
    <s v="Brown"/>
    <s v="No"/>
    <s v="941000029786880"/>
    <x v="2"/>
    <s v="8"/>
    <m/>
  </r>
  <r>
    <s v=""/>
    <s v="A0055990071"/>
    <s v="Yes"/>
    <s v="Active"/>
    <x v="5"/>
    <x v="1"/>
    <s v="Terrier, American Pit Bull"/>
    <s v="Mimir"/>
    <s v="3y 4m 23d"/>
    <s v="Male"/>
    <s v="Yes"/>
    <s v="Blue"/>
    <s v="No"/>
    <s v="982091074516862"/>
    <x v="16"/>
    <s v="5"/>
    <s v="HW+ 3"/>
  </r>
  <r>
    <s v=""/>
    <s v="A0055784207"/>
    <s v="Yes"/>
    <s v="Active"/>
    <x v="7"/>
    <x v="1"/>
    <s v="Mixed Breed, Large (over 44 lbs fully grown)"/>
    <s v="Lisa (J Seal)"/>
    <s v="3y 5m 21d"/>
    <s v="Female"/>
    <s v="Yes"/>
    <s v="Brown"/>
    <s v="No"/>
    <s v="941000029787938"/>
    <x v="5"/>
    <s v="AdoptionTrial"/>
    <s v="HW- 3"/>
  </r>
  <r>
    <s v=""/>
    <s v="A0055525300"/>
    <s v="Yes"/>
    <s v="Active"/>
    <x v="5"/>
    <x v="0"/>
    <s v="Domestic Shorthair"/>
    <s v="Gabber [Barn Cat]"/>
    <s v="3y 5m 7d"/>
    <s v="Female"/>
    <s v="Yes"/>
    <s v="Grey"/>
    <s v="No"/>
    <s v="941000028852735"/>
    <x v="14"/>
    <s v="Catio Free Roaming"/>
    <m/>
  </r>
  <r>
    <s v=""/>
    <s v="A0055524062"/>
    <s v="Yes"/>
    <s v="Active"/>
    <x v="5"/>
    <x v="1"/>
    <s v="Terrier, Pit Bull"/>
    <s v="Cameron (E. Wilson)"/>
    <s v="3y 4m 29d"/>
    <s v="Male"/>
    <s v="Yes"/>
    <s v="Rust"/>
    <s v="No"/>
    <s v="941000028853270"/>
    <x v="5"/>
    <s v="AdoptAmbassador"/>
    <s v="HW- 3"/>
  </r>
  <r>
    <s v=""/>
    <s v="A0055486470"/>
    <s v="Yes"/>
    <s v="Active"/>
    <x v="5"/>
    <x v="0"/>
    <s v="Domestic Shorthair"/>
    <s v="Mafia [Barn Cat]"/>
    <s v="2y 4m 21d"/>
    <s v="Male"/>
    <s v="Yes"/>
    <s v="Grey"/>
    <s v="No"/>
    <s v="941000028853363"/>
    <x v="14"/>
    <s v="Catio Free Roaming"/>
    <m/>
  </r>
  <r>
    <s v=""/>
    <s v="A0054750803"/>
    <s v="Yes"/>
    <s v="Active"/>
    <x v="5"/>
    <x v="0"/>
    <s v="Domestic Shorthair"/>
    <s v="Slate [Barn Cat]"/>
    <s v="2y 1m 12d"/>
    <s v="Male"/>
    <s v="Yes"/>
    <s v="Grey"/>
    <s v="No"/>
    <s v="941000028841335"/>
    <x v="14"/>
    <s v="Run 1"/>
    <m/>
  </r>
  <r>
    <s v=""/>
    <s v="A0054707397"/>
    <s v="Yes"/>
    <s v="Active"/>
    <x v="5"/>
    <x v="1"/>
    <s v="Terrier, American Pit Bull"/>
    <s v="Artemis"/>
    <s v="5y 11m 19d"/>
    <s v="Female"/>
    <s v="Yes"/>
    <s v="Blue"/>
    <s v="No"/>
    <s v="941000028840680"/>
    <x v="13"/>
    <s v="7"/>
    <s v="HW-3"/>
  </r>
  <r>
    <s v=""/>
    <s v="A0054696092"/>
    <s v="Yes"/>
    <s v="Active"/>
    <x v="5"/>
    <x v="1"/>
    <s v="Retriever, Labrador"/>
    <s v="Bella (D Ard)"/>
    <s v="2y 2m 19d"/>
    <s v="Female"/>
    <s v="No"/>
    <s v="Brown"/>
    <s v="No"/>
    <s v="941000028841118"/>
    <x v="5"/>
    <s v="Foster home"/>
    <s v="HW -"/>
  </r>
  <r>
    <s v=""/>
    <s v="A0053756095"/>
    <s v="Yes"/>
    <s v="Active"/>
    <x v="5"/>
    <x v="1"/>
    <s v="Terrier, Pit Bull"/>
    <s v="Taz (J. Stoilova)"/>
    <s v="2y 7m 5d"/>
    <s v="Male"/>
    <s v="Yes"/>
    <s v="Black"/>
    <s v="No"/>
    <s v="982091073934095"/>
    <x v="5"/>
    <s v="AdoptAmbassador"/>
    <s v="HW -"/>
  </r>
  <r>
    <s v=""/>
    <s v="A0052239691"/>
    <s v="Yes"/>
    <s v="Active"/>
    <x v="5"/>
    <x v="0"/>
    <s v="Domestic Shorthair"/>
    <s v="Jackie [Barn Cat]"/>
    <s v="3y 7m 6d"/>
    <s v="Female"/>
    <s v="Yes"/>
    <s v="Black"/>
    <s v="No"/>
    <s v="982091070185820"/>
    <x v="14"/>
    <s v="Catio Free Roaming"/>
    <m/>
  </r>
  <r>
    <s v=""/>
    <s v="A0051746637"/>
    <s v="Yes"/>
    <s v="Active"/>
    <x v="5"/>
    <x v="1"/>
    <s v="Retriever, Labrador"/>
    <s v="Ralph"/>
    <s v="3y 6m 19d"/>
    <s v="Male"/>
    <s v="Yes"/>
    <s v="White"/>
    <s v="No"/>
    <s v="941000028888795"/>
    <x v="13"/>
    <s v="10"/>
    <s v="HW-"/>
  </r>
  <r>
    <s v=""/>
    <s v="A0050342883"/>
    <s v="Yes"/>
    <s v="Active"/>
    <x v="14"/>
    <x v="1"/>
    <s v="Terrier, American Pit Bull"/>
    <s v="Phoebe (J. McLeroy)"/>
    <s v="11y 4m 14d"/>
    <s v="Female"/>
    <s v="Yes"/>
    <s v="Brown"/>
    <s v="No"/>
    <s v="982091071833720"/>
    <x v="5"/>
    <s v="AdoptionTrial"/>
    <m/>
  </r>
  <r>
    <s v=""/>
    <m/>
    <m/>
    <m/>
    <x v="16"/>
    <x v="4"/>
    <m/>
    <m/>
    <m/>
    <m/>
    <m/>
    <m/>
    <m/>
    <m/>
    <x v="18"/>
    <m/>
    <m/>
  </r>
  <r>
    <s v=""/>
    <m/>
    <m/>
    <m/>
    <x v="16"/>
    <x v="4"/>
    <m/>
    <m/>
    <m/>
    <m/>
    <m/>
    <m/>
    <m/>
    <m/>
    <x v="18"/>
    <m/>
    <m/>
  </r>
  <r>
    <s v=""/>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r>
    <m/>
    <m/>
    <m/>
    <m/>
    <x v="16"/>
    <x v="4"/>
    <m/>
    <m/>
    <m/>
    <m/>
    <m/>
    <m/>
    <m/>
    <m/>
    <x v="18"/>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x v="0"/>
    <n v="1"/>
    <m/>
    <s v="Chucky is proof that good things come to those who wait! After spending 11 long months at the shelter, this handsome brown-and-white Pittie/Bulldog mix is finally thriving in his Charleston foster home. Sweet, smart, and loyal, Chucky takes a little time to warm up—but once he does, he’s all heart. Playful and affectionate, he loves being part of a family and soaks up every bit of love and attention he can get. His gentle nature and goofy charm make him impossible not to adore. If you’re looking for a loyal companion who’s been waiting patiently for his happily-ever-after, Chucky is ready to give you all the love he’s been saving."/>
    <m/>
    <n v="414"/>
    <m/>
    <x v="0"/>
    <s v="Record Match"/>
    <n v="42938868"/>
    <s v="A0056684348"/>
    <s v="Chucky [Foster Home]"/>
    <s v="Chucky (J. Maher)"/>
    <s v="Chucky (J. Maher)"/>
    <s v="American Pit Bull Terrier"/>
    <s v="American Bulldog"/>
    <s v="Brown/Chocolate - with White"/>
    <s v="male"/>
    <s v="adult"/>
    <s v="Med. 26-60 lbs (12-27 kg)"/>
    <s v="Yes"/>
    <s v="Yes"/>
    <s v="Yes"/>
    <s v="No"/>
    <s v="No"/>
    <s v="Yes"/>
    <s v="Yes"/>
    <s v="Unknown"/>
    <x v="0"/>
    <x v="0"/>
    <s v="Brown"/>
    <x v="0"/>
    <s v="Stray/ACO Pickup / Drop Off"/>
    <d v="2024-09-04T10:03:00"/>
    <d v="2024-08-30T10:03:00"/>
    <x v="0"/>
    <n v="0"/>
    <s v="52.00 pound"/>
    <n v="3"/>
    <s v="231"/>
    <s v="571"/>
    <s v="3,697"/>
    <s v="1"/>
    <s v="23"/>
    <s v="433"/>
    <s v="0.4%"/>
  </r>
  <r>
    <x v="1"/>
    <n v="0"/>
    <m/>
    <m/>
    <m/>
    <n v="359.7"/>
    <m/>
    <x v="0"/>
    <s v="Record Match"/>
    <n v="43635040"/>
    <s v="A0057142369"/>
    <s v="Sebastian"/>
    <s v="Sebastian"/>
    <s v="Sebastian"/>
    <s v="Rottweiler"/>
    <n v="0"/>
    <s v="Black - with Brown, Red, Golden, Orange or Chestnut"/>
    <s v="male"/>
    <s v="adult"/>
    <s v="Large 61-100 lbs (28-45 kg)"/>
    <s v="No"/>
    <s v="Yes"/>
    <s v="Yes"/>
    <s v="No"/>
    <s v="No"/>
    <s v="Yes"/>
    <s v="Yes"/>
    <s v="Unknown"/>
    <x v="0"/>
    <x v="0"/>
    <s v="Black"/>
    <x v="1"/>
    <s v="Stray/ACO Pickup / Drop Off"/>
    <d v="2024-10-28T18:55:00"/>
    <d v="2024-10-23T18:55:00"/>
    <x v="1"/>
    <n v="0"/>
    <s v="88.00 pound"/>
    <n v="3"/>
    <s v="1,455"/>
    <s v="3,794"/>
    <s v="6,492"/>
    <s v="12"/>
    <s v="76"/>
    <s v="1,182"/>
    <s v="0.8%"/>
  </r>
  <r>
    <x v="1"/>
    <n v="0"/>
    <m/>
    <m/>
    <m/>
    <n v="249.1"/>
    <m/>
    <x v="0"/>
    <s v="Record Match"/>
    <n v="44475813"/>
    <s v="A0057829377"/>
    <s v="Woodstock"/>
    <s v="Woodstock"/>
    <s v="Woodstock"/>
    <s v="American Staffordshire Terrier"/>
    <s v="American Pit Bull Terrier"/>
    <s v="Gray/Blue/Silver/Salt &amp; Pepper"/>
    <s v="male"/>
    <s v="adult"/>
    <s v="Large 61-100 lbs (28-45 kg)"/>
    <s v="Yes"/>
    <s v="Yes"/>
    <s v="Yes"/>
    <s v="No"/>
    <s v="No"/>
    <s v="Yes"/>
    <s v="Yes"/>
    <s v="Unknown"/>
    <x v="0"/>
    <x v="0"/>
    <s v="Grey"/>
    <x v="1"/>
    <s v="Stray/ACO Pickup / Drop Off"/>
    <d v="2025-02-16T09:02:00"/>
    <d v="2025-02-11T09:02:00"/>
    <x v="2"/>
    <n v="0"/>
    <s v="62.00 pound"/>
    <n v="3"/>
    <s v="384"/>
    <s v="852"/>
    <s v="2,319"/>
    <s v="3"/>
    <s v="27"/>
    <s v="399"/>
    <s v="0.8%"/>
  </r>
  <r>
    <x v="0"/>
    <n v="1"/>
    <m/>
    <s v="Goose is a gentle giant with a heart as big as his paws. This handsome brindle Bullmastiff has a calm, mellow spirit and an independent streak that makes him easy to have around. He may be shy at first, but once he trusts you, Goose shows his soft, loyal side—a quiet companion who’s happiest just being near his people. He’s past the puppy chaos and prefers peaceful walks, cozy naps, and a calm home where he can feel safe and loved. If you’re looking for a loyal friend who asks for little but gives a lot in return, Goose is ready to waddle his way into your heart."/>
    <m/>
    <n v="239.9"/>
    <m/>
    <x v="0"/>
    <s v="Record Match"/>
    <n v="44937909"/>
    <s v="A0057718939"/>
    <s v="Goose"/>
    <s v="Goose"/>
    <s v="Goose"/>
    <s v="Bullmastiff"/>
    <n v="0"/>
    <s v="Brindle"/>
    <s v="male"/>
    <s v="adult"/>
    <s v="Large 61-100 lbs (28-45 kg)"/>
    <s v="Yes"/>
    <s v="Yes"/>
    <s v="Yes"/>
    <s v="No"/>
    <s v="No"/>
    <s v="Yes"/>
    <s v="Yes"/>
    <s v="Unknown"/>
    <x v="0"/>
    <x v="0"/>
    <s v="Brindle"/>
    <x v="1"/>
    <s v="Return/Returned Adoption"/>
    <d v="1899-12-30T00:00:00"/>
    <d v="2025-02-20T13:00:00"/>
    <x v="3"/>
    <n v="0"/>
    <s v="69.00 pound"/>
    <n v="3"/>
    <s v="277"/>
    <s v="748"/>
    <s v="1,688"/>
    <s v="10"/>
    <s v="60"/>
    <s v="274"/>
    <s v="3.6%"/>
  </r>
  <r>
    <x v="0"/>
    <n v="1"/>
    <m/>
    <s v="Koko is a bundle of joy with a heart full of play! This beautiful blue Pit Bull mix is smart, sweet, and endlessly entertaining. She adores her toys—especially her beloved binky—and could play fetch for hours with a grin on her face. Koko’s goofy hops and frog-like pounces will have you laughing in no time, and her friendly personality makes her a hit with everyone she meets. Beneath her playful energy is a loyal, loving girl who’s happiest when she’s with her people (and her toys!). If you’re looking for a fun, affectionate companion who brings sunshine and smiles wherever she goes, Koko is your girl."/>
    <m/>
    <n v="191.9"/>
    <m/>
    <x v="0"/>
    <s v="Record Match"/>
    <n v="44938825"/>
    <s v="A0058276398"/>
    <s v="Koko"/>
    <s v="Koko"/>
    <s v="Koko"/>
    <s v="American Pit Bull Terrier"/>
    <n v="0"/>
    <s v="Gray/Blue/Silver/Salt &amp; Pepper"/>
    <s v="female"/>
    <s v="adult"/>
    <s v="Med. 26-60 lbs (12-27 kg)"/>
    <s v="Yes"/>
    <s v="Yes"/>
    <s v="Yes"/>
    <s v="No"/>
    <s v="No"/>
    <s v="Yes"/>
    <s v="Yes"/>
    <s v="Unknown"/>
    <x v="0"/>
    <x v="0"/>
    <s v="Blue"/>
    <x v="1"/>
    <s v="Stray/ACO Pickup / Drop Off"/>
    <d v="2025-04-14T14:33:00"/>
    <d v="2025-04-09T14:33:00"/>
    <x v="4"/>
    <n v="0"/>
    <s v="40.00 pound"/>
    <n v="3"/>
    <s v="401"/>
    <s v="946"/>
    <s v="2,092"/>
    <s v="14"/>
    <s v="48"/>
    <s v="260"/>
    <s v="3.5%"/>
  </r>
  <r>
    <x v="0"/>
    <n v="1"/>
    <m/>
    <s v="Zorua is the definition of a gentle soul. This lovely black-and-white Pittie mix is as sweet and loyal as they come, with a heart that melts the moment you meet her. She’s laid-back and affectionate, happiest when she’s soaking up belly rubs or snuggling by your side for hours. Zorua is wonderful on the leash and loves a nice, calm evening walk followed by quiet time with her people. She’s the perfect mix of cuddly and composed—easy to love and even easier to live with. If you’re looking for a loving companion who will fill your days with warmth and your nights with cozy cuddles, Zorua is your girl."/>
    <m/>
    <n v="217.8"/>
    <m/>
    <x v="0"/>
    <s v="Record Match"/>
    <n v="44937929"/>
    <s v="A0058018080"/>
    <s v="Zorua [Foster Home]"/>
    <s v="Zorua (C. Lester)"/>
    <s v="Zorua (C. Lester)"/>
    <s v="American Staffordshire Terrier"/>
    <s v="American Pit Bull Terrier"/>
    <s v="Black - with White"/>
    <s v="female"/>
    <s v="adult"/>
    <s v="Med. 26-60 lbs (12-27 kg)"/>
    <s v="Yes"/>
    <s v="Yes"/>
    <s v="Yes"/>
    <s v="No"/>
    <s v="No"/>
    <s v="Yes"/>
    <s v="Yes"/>
    <s v="Unknown"/>
    <x v="0"/>
    <x v="0"/>
    <s v="Black"/>
    <x v="0"/>
    <s v="Stray/Public Drop Off"/>
    <d v="2025-03-19T15:07:00"/>
    <d v="2025-03-14T15:07:00"/>
    <x v="5"/>
    <n v="0"/>
    <s v="52.00 pound"/>
    <n v="3"/>
    <s v="400"/>
    <s v="912"/>
    <s v="1,947"/>
    <s v="5"/>
    <s v="25"/>
    <s v="191"/>
    <s v="1.2%"/>
  </r>
  <r>
    <x v="1"/>
    <n v="0"/>
    <m/>
    <m/>
    <m/>
    <n v="123.9"/>
    <m/>
    <x v="0"/>
    <s v="Record Match"/>
    <n v="45190855"/>
    <s v="A0058719090"/>
    <s v="Ava Grace"/>
    <s v="Ava Grace"/>
    <s v="Ava Grace"/>
    <s v="American Staffordshire Terrier"/>
    <s v="Cane Corso"/>
    <s v="Brindle - with White"/>
    <s v="female"/>
    <s v="adult"/>
    <s v="Large 61-100 lbs (28-45 kg)"/>
    <s v="Yes"/>
    <s v="Yes"/>
    <s v="Yes"/>
    <s v="No"/>
    <s v="No"/>
    <s v="Yes"/>
    <s v="Yes"/>
    <s v="Unknown"/>
    <x v="0"/>
    <x v="0"/>
    <s v="Brown"/>
    <x v="1"/>
    <s v="Stray/Police Pickup / Drop Off"/>
    <d v="2025-06-21T13:18:00"/>
    <d v="2025-06-16T13:18:00"/>
    <x v="6"/>
    <n v="0"/>
    <s v="81.00 pound"/>
    <n v="3"/>
    <s v="409"/>
    <s v="911"/>
    <s v="1,599"/>
    <s v="25"/>
    <s v="36"/>
    <s v="191"/>
    <s v="6.1%"/>
  </r>
  <r>
    <x v="0"/>
    <n v="1"/>
    <m/>
    <s v="Cole is the total package—sweet, social, and full of life! This handsome black Lab/Hound mix is a gentle playmate who gets along wonderfully with other dogs, cats, and even kids. He loves to run, chase, and explore outside, but he’s just as happy curling up for cuddles afterward. Cole has an easygoing, playful energy and a soft heart that makes him a joy to be around. He rides great in the car, walks nicely on a leash, and always brings a little sunshine wherever he goes. If you’re looking for a fun, affectionate companion who’s ready to join you on every adventure (and every couch snuggle), Cole is your guy."/>
    <m/>
    <n v="126.9"/>
    <m/>
    <x v="1"/>
    <s v="Record Match"/>
    <n v="45190845"/>
    <s v="A0058705427"/>
    <s v="Cole [Foster Home]"/>
    <s v="Cole (K. Vogel)"/>
    <s v="Cole (K. Vogel)"/>
    <s v="Labrador Retriever"/>
    <s v="Hound (Unknown Type)"/>
    <s v="Black"/>
    <s v="male"/>
    <s v="young"/>
    <s v="Med. 26-60 lbs (12-27 kg)"/>
    <s v="Yes"/>
    <s v="Yes"/>
    <s v="Yes"/>
    <s v="No"/>
    <s v="No"/>
    <s v="Yes"/>
    <s v="Yes"/>
    <s v="Yes"/>
    <x v="0"/>
    <x v="0"/>
    <s v="Black"/>
    <x v="0"/>
    <s v="Stray/Public Drop Off"/>
    <d v="2025-06-18T14:07:00"/>
    <d v="2025-06-13T14:07:00"/>
    <x v="7"/>
    <n v="0"/>
    <s v="39.10 pound"/>
    <n v="3"/>
    <s v="336"/>
    <s v="905"/>
    <s v="2,002"/>
    <s v="35"/>
    <s v="248"/>
    <s v="627"/>
    <s v="10.4%"/>
  </r>
  <r>
    <x v="0"/>
    <n v="1"/>
    <m/>
    <s v="Kim is a playful sweetheart with a zest for life! This gorgeous black Lab/Pit mix loves to run, romp, and play—especially with her best friend, Taz. She’s friendly with everyone she meets and brings joy and laughter wherever she goes. Kim’s energetic spirit makes her the perfect companion for outdoor adventures, but she’s also happy to wind down with some cuddles once the fun is done. She has a big heart, a bright smile, and a tail that never stops wagging. If you’re looking for a loyal, loving dog who’s always up for playtime and companionship, Kim is ready to be your new best friend."/>
    <m/>
    <n v="122.8"/>
    <m/>
    <x v="1"/>
    <s v="Record Match"/>
    <n v="45190901"/>
    <s v="A0058730783"/>
    <s v="Kim"/>
    <s v="Kim"/>
    <s v="Kim"/>
    <s v="Labrador Retriever"/>
    <s v="American Pit Bull Terrier"/>
    <s v="Black"/>
    <s v="female"/>
    <s v="adult"/>
    <s v="Med. 26-60 lbs (12-27 kg)"/>
    <s v="Yes"/>
    <s v="Yes"/>
    <s v="Yes"/>
    <s v="No"/>
    <s v="No"/>
    <s v="Yes"/>
    <s v="Yes"/>
    <s v="Unknown"/>
    <x v="0"/>
    <x v="0"/>
    <s v="Black"/>
    <x v="2"/>
    <s v="Stray/Abandoned"/>
    <d v="2025-06-22T16:53:00"/>
    <d v="2025-06-17T16:53:00"/>
    <x v="8"/>
    <n v="0"/>
    <s v="48.00 pound"/>
    <n v="3"/>
    <s v="413"/>
    <s v="956"/>
    <s v="1,749"/>
    <s v="4"/>
    <s v="23"/>
    <s v="118"/>
    <s v="1.0%"/>
  </r>
  <r>
    <x v="1"/>
    <n v="0"/>
    <m/>
    <m/>
    <m/>
    <n v="117.9"/>
    <m/>
    <x v="1"/>
    <s v="Record Match"/>
    <n v="45346221"/>
    <s v="A0058760517"/>
    <s v="Tanya"/>
    <s v="Tanya"/>
    <s v="Tanya"/>
    <s v="Shepherd (Unknown Type)"/>
    <s v="Labrador Retriever"/>
    <s v="Tan/Yellow/Fawn - with Black"/>
    <s v="female"/>
    <s v="senior"/>
    <s v="Med. 26-60 lbs (12-27 kg)"/>
    <s v="Yes"/>
    <s v="Yes"/>
    <s v="Yes"/>
    <s v="No"/>
    <s v="No"/>
    <s v="Yes"/>
    <s v="Yes"/>
    <s v="Unknown"/>
    <x v="0"/>
    <x v="0"/>
    <s v="Tan"/>
    <x v="3"/>
    <s v="Seized/Cruelty"/>
    <d v="1899-12-30T00:00:00"/>
    <d v="2025-06-22T13:16:00"/>
    <x v="9"/>
    <n v="0"/>
    <s v="66.00 pound"/>
    <n v="3"/>
    <s v="305"/>
    <s v="708"/>
    <s v="1,142"/>
    <s v="9"/>
    <s v="33"/>
    <s v="121"/>
    <s v="3.0%"/>
  </r>
  <r>
    <x v="1"/>
    <n v="0"/>
    <m/>
    <s v="Kim is a playful sweetheart with a zest for life! This gorgeous black Lab/Pit mix loves to run, romp, and play—especially with her best friend, Taz. She’s friendly with everyone she meets and brings joy and laughter wherever she goes. Kim’s energetic spirit makes her the perfect companion for outdoor adventures, but she’s also happy to wind down with some cuddles once the fun is done. She has a big heart, a bright smile, and a tail that never stops wagging. If you’re looking for a loyal, loving dog who’s always up for playtime and companionship, Kim is ready to be your new best friend."/>
    <m/>
    <n v="101"/>
    <m/>
    <x v="0"/>
    <s v="Record Match"/>
    <n v="45472786"/>
    <s v="A0058873126"/>
    <s v="Gretchen"/>
    <s v="Gretchen"/>
    <s v="Gretchen"/>
    <s v="American Pit Bull Terrier"/>
    <s v="American Staffordshire Terrier"/>
    <s v="Gray/Blue/Silver/Salt &amp; Pepper"/>
    <s v="female"/>
    <s v="young"/>
    <s v="Med. 26-60 lbs (12-27 kg)"/>
    <s v="Yes"/>
    <s v="Yes"/>
    <s v="Yes"/>
    <s v="No"/>
    <s v="No"/>
    <s v="Yes"/>
    <s v="Yes"/>
    <s v="Unknown"/>
    <x v="0"/>
    <x v="0"/>
    <s v="Grey"/>
    <x v="1"/>
    <s v="Stray/Public Drop Off"/>
    <d v="2025-07-14T12:18:00"/>
    <d v="2025-07-09T12:18:00"/>
    <x v="10"/>
    <s v="Returned foster"/>
    <s v="43.00 pound"/>
    <n v="1"/>
    <s v="274"/>
    <s v="715"/>
    <s v="1,217"/>
    <s v="3"/>
    <s v="27"/>
    <s v="134"/>
    <s v="1.1%"/>
  </r>
  <r>
    <x v="1"/>
    <n v="0"/>
    <m/>
    <m/>
    <m/>
    <n v="99.9"/>
    <m/>
    <x v="1"/>
    <s v="Record Match"/>
    <n v="45472762"/>
    <s v="A0058881642"/>
    <s v="Journey [Foster Home]"/>
    <s v="Journey (S. Nutter)"/>
    <s v="Journey (S. Nutter)"/>
    <s v="Treeing Walker Coonhound"/>
    <s v="Foxhound"/>
    <s v="Tricolor (Tan/Brown &amp; Black &amp; White)"/>
    <s v="male"/>
    <s v="adult"/>
    <s v="Large 61-100 lbs (28-45 kg)"/>
    <s v="Yes"/>
    <s v="Yes"/>
    <s v="Yes"/>
    <s v="No"/>
    <s v="No"/>
    <s v="Yes"/>
    <s v="Yes"/>
    <s v="Yes"/>
    <x v="0"/>
    <x v="0"/>
    <s v="Black"/>
    <x v="0"/>
    <s v="Stray/Public Drop Off"/>
    <d v="2025-07-15T13:13:00"/>
    <d v="2025-07-10T13:13:00"/>
    <x v="11"/>
    <n v="0"/>
    <s v="75.60 pound"/>
    <n v="1"/>
    <s v="394"/>
    <s v="844"/>
    <s v="1,228"/>
    <s v="15"/>
    <s v="44"/>
    <s v="127"/>
    <s v="3.8%"/>
  </r>
  <r>
    <x v="0"/>
    <n v="1"/>
    <m/>
    <s v="Kirby is a gentle giant with a heart as big as his paws. This stunning gray-and-white Rottweiler/Cane Corso mix turns heads wherever he goes, but it’s his sweet, calm nature that truly stands out. Kirby is affectionate, well-mannered, and loves nothing more than being close to his people. Despite his impressive size, he’s gentle and kind—a big softie who just wants love and a comfy spot to rest. Whether he’s lounging at your feet or leaning in for pets, Kirby’s quiet presence brings warmth and peace to any home. If you’re looking for a loyal, loving companion with a heart of gold, Kirby is your guy."/>
    <m/>
    <n v="117.9"/>
    <m/>
    <x v="0"/>
    <s v="Record Match"/>
    <n v="45472546"/>
    <s v="A0058760472"/>
    <s v="Kirby"/>
    <s v="Kirby"/>
    <s v="Kirby"/>
    <s v="Rottweiler"/>
    <s v="Cane Corso"/>
    <s v="Gray/Silver/Salt &amp; Pepper - with White"/>
    <s v="male"/>
    <s v="adult"/>
    <s v="Large 61-100 lbs (28-45 kg)"/>
    <s v="Yes"/>
    <s v="Yes"/>
    <s v="Yes"/>
    <s v="No"/>
    <s v="No"/>
    <s v="Yes"/>
    <s v="Yes"/>
    <s v="Unknown"/>
    <x v="0"/>
    <x v="0"/>
    <s v="Grey"/>
    <x v="3"/>
    <s v="Seized/Cruelty"/>
    <d v="1899-12-30T00:00:00"/>
    <d v="2025-06-22T13:07:00"/>
    <x v="9"/>
    <n v="0"/>
    <s v="84.00 pound"/>
    <n v="3"/>
    <s v="455"/>
    <s v="1,123"/>
    <s v="1,625"/>
    <s v="23"/>
    <s v="63"/>
    <s v="166"/>
    <s v="5.1%"/>
  </r>
  <r>
    <x v="1"/>
    <n v="0"/>
    <m/>
    <m/>
    <m/>
    <n v="93.8"/>
    <m/>
    <x v="1"/>
    <s v="Record Match"/>
    <n v="45472971"/>
    <s v="A0058922485"/>
    <s v="Landon"/>
    <s v="Landon"/>
    <s v="Landon"/>
    <s v="Boxer"/>
    <s v="American Pit Bull Terrier"/>
    <s v="Brown/Chocolate - with White"/>
    <s v="male"/>
    <s v="adult"/>
    <s v="Med. 26-60 lbs (12-27 kg)"/>
    <s v="Yes"/>
    <s v="Yes"/>
    <s v="Yes"/>
    <s v="No"/>
    <s v="No"/>
    <s v="Yes"/>
    <s v="Yes"/>
    <s v="Unknown"/>
    <x v="0"/>
    <x v="0"/>
    <s v="Bronze"/>
    <x v="1"/>
    <s v="Stray/ACO Pickup / Drop Off"/>
    <d v="2025-07-21T15:39:00"/>
    <d v="2025-07-16T15:39:00"/>
    <x v="12"/>
    <n v="0"/>
    <s v="52.00 pound"/>
    <n v="3"/>
    <s v="270"/>
    <s v="667"/>
    <s v="1,085"/>
    <s v="9"/>
    <s v="51"/>
    <s v="151"/>
    <s v="3.3%"/>
  </r>
  <r>
    <x v="0"/>
    <n v="1"/>
    <m/>
    <s v="Ralph is a lovable goofball with the biggest wiggle butt you’ll ever meet! This sweet Pointer/Lab mix is gentle, friendly, and oh-so-cuddly once he gets to know you. He can be a little shy with new people at first, but he warms up quickly—and when he does, you’ll have a loyal friend for life. Ralph gets along great with other dogs and loves to play, but he’s just as happy relaxing by your side. Smart, funny, and full of heart, he’s the perfect blend of mellow and playful. If you’re looking for a gentle companion who’ll make you smile every single day, Ralph is ready to wag his way home."/>
    <m/>
    <n v="92.9"/>
    <m/>
    <x v="1"/>
    <s v="Record Match"/>
    <n v="45472996"/>
    <s v="A0051746637"/>
    <s v="Ralph"/>
    <s v="Ralph"/>
    <s v="Ralph"/>
    <s v="Pointer"/>
    <s v="Labrador Retriever"/>
    <s v="White - with Black"/>
    <s v="male"/>
    <s v="adult"/>
    <s v="Med. 26-60 lbs (12-27 kg)"/>
    <s v="Yes"/>
    <s v="Yes"/>
    <s v="Yes"/>
    <s v="No"/>
    <s v="No"/>
    <s v="Yes"/>
    <s v="Yes"/>
    <s v="Unknown"/>
    <x v="0"/>
    <x v="0"/>
    <s v="White"/>
    <x v="3"/>
    <s v="Stray/ACO Pickup / Drop Off"/>
    <d v="2025-07-22T14:05:00"/>
    <d v="2025-07-17T14:05:00"/>
    <x v="13"/>
    <n v="0"/>
    <s v="58.00 pound"/>
    <n v="3"/>
    <s v="1,391"/>
    <s v="3,553"/>
    <s v="3,996"/>
    <s v="30"/>
    <s v="83"/>
    <s v="198"/>
    <s v="2.2%"/>
  </r>
  <r>
    <x v="0"/>
    <n v="1"/>
    <m/>
    <s v="Twister is a fun-loving Lab with a heart as big as his splash! This handsome black boy is sweet, friendly, and always up for a good time—especially if it involves water. Whether he’s splashing in a pool, playing fetch, or soaking up scratches, Twister’s joy is contagious. He’s great with other dogs and gentle with little kids, making him the perfect family companion. His playful energy is balanced by his loving, easygoing nature—he just wants to be part of the fun and by your side. If you’re looking for a loyal, happy pup who can turn any day into an adventure, Twister is ready to dive right in."/>
    <m/>
    <n v="117.9"/>
    <m/>
    <x v="1"/>
    <s v="Record Match"/>
    <n v="45472654"/>
    <s v="A0058760527"/>
    <s v="Twister"/>
    <s v="Twister"/>
    <s v="Twister"/>
    <s v="Labrador Retriever"/>
    <n v="0"/>
    <s v="Black"/>
    <s v="male"/>
    <s v="adult"/>
    <s v="Large 61-100 lbs (28-45 kg)"/>
    <s v="Yes"/>
    <s v="Yes"/>
    <s v="Yes"/>
    <s v="No"/>
    <s v="No"/>
    <s v="Yes"/>
    <s v="Yes"/>
    <s v="Unknown"/>
    <x v="0"/>
    <x v="0"/>
    <s v="Black"/>
    <x v="3"/>
    <s v="Seized/Cruelty"/>
    <d v="1899-12-30T00:00:00"/>
    <d v="2025-06-22T13:19:00"/>
    <x v="9"/>
    <n v="0"/>
    <s v="71.00 pound"/>
    <n v="1"/>
    <s v="241"/>
    <s v="572"/>
    <s v="943"/>
    <s v="14"/>
    <s v="77"/>
    <s v="193"/>
    <s v="5.8%"/>
  </r>
  <r>
    <x v="1"/>
    <n v="0"/>
    <m/>
    <m/>
    <m/>
    <n v="95.9"/>
    <m/>
    <x v="0"/>
    <s v="Record Match"/>
    <n v="45472979"/>
    <s v="A0058904337"/>
    <s v="Yukiko [Foster Home]"/>
    <s v="Yukiko (L. Clark)"/>
    <s v="Yukiko (L. Clark)"/>
    <s v="Rottweiler"/>
    <s v="Labrador Retriever"/>
    <s v="Black - with Tan, Yellow or Fawn"/>
    <s v="female"/>
    <s v="young"/>
    <s v="Med. 26-60 lbs (12-27 kg)"/>
    <s v="Yes"/>
    <s v="Yes"/>
    <s v="Yes"/>
    <s v="No"/>
    <s v="No"/>
    <s v="Yes"/>
    <s v="Yes"/>
    <s v="Unknown"/>
    <x v="0"/>
    <x v="0"/>
    <s v="Black"/>
    <x v="0"/>
    <s v="Stray/ACO Pickup / Drop Off"/>
    <d v="2025-07-19T13:03:00"/>
    <d v="2025-07-14T13:03:00"/>
    <x v="14"/>
    <n v="0"/>
    <s v="60.00 pound"/>
    <n v="1"/>
    <s v="1,517"/>
    <s v="3,938"/>
    <s v="4,587"/>
    <s v="10"/>
    <s v="54"/>
    <s v="180"/>
    <s v="0.7%"/>
  </r>
  <r>
    <x v="1"/>
    <n v="0"/>
    <m/>
    <m/>
    <m/>
    <n v="75"/>
    <m/>
    <x v="0"/>
    <s v="Record Match"/>
    <n v="45606391"/>
    <s v="A0059040305"/>
    <s v="Auggie"/>
    <s v="Auggie"/>
    <s v="Auggie"/>
    <s v="American Staffordshire Terrier"/>
    <s v="Weimaraner"/>
    <s v="Gray/Silver/Salt &amp; Pepper - with White"/>
    <s v="male"/>
    <s v="young"/>
    <s v="Small 25 lbs (11 kg) or less"/>
    <s v="Yes"/>
    <s v="Yes"/>
    <s v="Yes"/>
    <s v="No"/>
    <s v="No"/>
    <s v="Yes"/>
    <s v="Yes"/>
    <s v="Unknown"/>
    <x v="0"/>
    <x v="0"/>
    <s v="Grey"/>
    <x v="3"/>
    <s v="Stray/ACO Pickup / Drop Off"/>
    <d v="2025-08-09T12:21:00"/>
    <d v="2025-08-04T12:21:00"/>
    <x v="15"/>
    <n v="0"/>
    <s v="25.00 pound"/>
    <n v="3"/>
    <s v="316"/>
    <s v="940"/>
    <s v="1,502"/>
    <s v="22"/>
    <s v="51"/>
    <s v="124"/>
    <s v="7.0%"/>
  </r>
  <r>
    <x v="0"/>
    <n v="1"/>
    <m/>
    <s v="Lotus is a burst of joy and energy wrapped in a shiny brown coat! This young Staffordshire Terrier is playful, smart, and full of personality. He loves to run, explore, and show off his goofy side, turning every outing into an adventure. Beneath his energetic spirit is a sweet, loving pup who adores being around people and learning new things. Lotus is eager to please and would thrive with someone who’s ready to keep up with his fun, active lifestyle. Whether it’s a game of fetch, a walk in the sunshine, or some well-earned cuddle time, Lotus is always all in. If you’re looking for a loyal best friend who’ll brighten every day, Lotus is your guy."/>
    <m/>
    <n v="75"/>
    <m/>
    <x v="0"/>
    <s v="Record Match"/>
    <n v="45606729"/>
    <s v="A0059026516"/>
    <s v="Lotus [Foster Home]"/>
    <s v="Lotus ( E Campbell)"/>
    <s v="Lotus ( E Campbell)"/>
    <s v="American Staffordshire Terrier"/>
    <n v="0"/>
    <s v="Brown/Chocolate"/>
    <s v="male"/>
    <s v="young"/>
    <s v="Med. 26-60 lbs (12-27 kg)"/>
    <s v="Yes"/>
    <s v="Yes"/>
    <s v="Yes"/>
    <s v="No"/>
    <s v="No"/>
    <s v="Yes"/>
    <s v="Yes"/>
    <s v="Unknown"/>
    <x v="0"/>
    <x v="0"/>
    <s v="Brown"/>
    <x v="0"/>
    <s v="Stray/Public Drop Off"/>
    <d v="2025-08-06T12:46:00"/>
    <d v="2025-08-01T12:46:00"/>
    <x v="16"/>
    <n v="0"/>
    <s v="46.40 pound"/>
    <n v="3"/>
    <s v="433"/>
    <s v="992"/>
    <s v="1,355"/>
    <s v="9"/>
    <s v="43"/>
    <s v="92"/>
    <s v="2.1%"/>
  </r>
  <r>
    <x v="0"/>
    <n v="1"/>
    <m/>
    <m/>
    <m/>
    <n v="78"/>
    <m/>
    <x v="1"/>
    <s v="Record Match"/>
    <n v="45763896"/>
    <s v="A0059021778"/>
    <s v="Craig"/>
    <s v="Craig"/>
    <s v="Craig"/>
    <s v="Boxer"/>
    <s v="American Bulldog"/>
    <s v="Black"/>
    <s v="male"/>
    <s v="adult"/>
    <s v="Med. 26-60 lbs (12-27 kg)"/>
    <s v="Yes"/>
    <s v="Yes"/>
    <s v="Yes"/>
    <s v="No"/>
    <s v="No"/>
    <s v="Yes"/>
    <s v="Yes"/>
    <s v="Unknown"/>
    <x v="0"/>
    <x v="0"/>
    <s v="Black"/>
    <x v="1"/>
    <s v="Stray/ACO Pickup / Drop Off"/>
    <d v="2025-08-05T16:29:00"/>
    <d v="2025-07-31T16:29:00"/>
    <x v="17"/>
    <n v="0"/>
    <s v="48.20 pound"/>
    <n v="3"/>
    <s v="1,414"/>
    <s v="3,037"/>
    <s v="3,152"/>
    <s v="7"/>
    <s v="27"/>
    <s v="64"/>
    <s v="0.5%"/>
  </r>
  <r>
    <x v="0"/>
    <n v="1"/>
    <m/>
    <m/>
    <m/>
    <n v="78.8"/>
    <m/>
    <x v="1"/>
    <s v="Record Match"/>
    <n v="45763997"/>
    <s v="A0059031537"/>
    <s v="Dingo [Foster Home]"/>
    <s v="Dingo (A. Cox)"/>
    <s v="Dingo (A. Cox)"/>
    <s v="Hound (Unknown Type)"/>
    <s v="American Eskimo Dog"/>
    <s v="Tan/Yellow/Fawn - with White"/>
    <s v="male"/>
    <s v="young"/>
    <s v="Med. 26-60 lbs (12-27 kg)"/>
    <s v="Yes"/>
    <s v="Yes"/>
    <s v="Yes"/>
    <s v="No"/>
    <s v="No"/>
    <s v="Yes"/>
    <s v="Yes"/>
    <s v="Unknown"/>
    <x v="0"/>
    <x v="0"/>
    <s v="Brown"/>
    <x v="0"/>
    <s v="Stray/ACO Pickup / Drop Off"/>
    <d v="2025-08-07T09:57:00"/>
    <d v="2025-08-02T09:57:00"/>
    <x v="18"/>
    <n v="0"/>
    <s v="37.00 pound"/>
    <n v="3"/>
    <s v="432"/>
    <s v="970"/>
    <s v="1,109"/>
    <s v="7"/>
    <s v="38"/>
    <s v="73"/>
    <s v="1.6%"/>
  </r>
  <r>
    <x v="1"/>
    <n v="0"/>
    <m/>
    <m/>
    <m/>
    <n v="77.099999999999994"/>
    <m/>
    <x v="0"/>
    <s v="Record Match"/>
    <n v="45764004"/>
    <s v="A0059058634"/>
    <s v="Elliott"/>
    <s v="Elliott"/>
    <s v="Elliott"/>
    <s v="American Staffordshire Terrier"/>
    <s v="American Pit Bull Terrier"/>
    <s v="Brown/Chocolate - with White"/>
    <s v="male"/>
    <s v="adult"/>
    <s v="Med. 26-60 lbs (12-27 kg)"/>
    <s v="Yes"/>
    <s v="Yes"/>
    <s v="Yes"/>
    <s v="No"/>
    <s v="No"/>
    <s v="Yes"/>
    <s v="Yes"/>
    <s v="Yes"/>
    <x v="0"/>
    <x v="0"/>
    <s v="Brown"/>
    <x v="1"/>
    <s v="Stray/ACO Pickup / Drop Off"/>
    <d v="2025-08-11T15:18:00"/>
    <d v="2025-08-06T15:18:00"/>
    <x v="19"/>
    <n v="0"/>
    <s v="56.00 pound"/>
    <n v="3"/>
    <s v="233"/>
    <s v="584"/>
    <s v="714"/>
    <s v="7"/>
    <s v="37"/>
    <s v="55"/>
    <s v="3.0%"/>
  </r>
  <r>
    <x v="1"/>
    <n v="0"/>
    <m/>
    <m/>
    <m/>
    <n v="72.8"/>
    <m/>
    <x v="1"/>
    <s v="Record Match"/>
    <n v="45764020"/>
    <s v="A0059197919"/>
    <s v="Emmett"/>
    <s v="Emmett"/>
    <s v="Emmett"/>
    <s v="Foxhound"/>
    <s v="Treeing Walker Coonhound"/>
    <s v="Tricolor (Tan/Brown &amp; Black &amp; White)"/>
    <s v="male"/>
    <s v="adult"/>
    <s v="Med. 26-60 lbs (12-27 kg)"/>
    <s v="Yes"/>
    <s v="Yes"/>
    <s v="Yes"/>
    <s v="No"/>
    <s v="No"/>
    <s v="Yes"/>
    <s v="Yes"/>
    <s v="Unknown"/>
    <x v="0"/>
    <x v="0"/>
    <s v="Black"/>
    <x v="1"/>
    <s v="Stray/ACO Pickup / Drop Off"/>
    <d v="2025-08-24T14:09:00"/>
    <d v="2025-08-19T14:09:00"/>
    <x v="20"/>
    <n v="0"/>
    <s v="44.80 pound"/>
    <n v="3"/>
    <s v="226"/>
    <s v="531"/>
    <s v="600"/>
    <s v="21"/>
    <s v="73"/>
    <s v="118"/>
    <s v="9.3%"/>
  </r>
  <r>
    <x v="1"/>
    <n v="0"/>
    <m/>
    <m/>
    <m/>
    <n v="59.9"/>
    <m/>
    <x v="1"/>
    <s v="Record Match"/>
    <n v="45764028"/>
    <s v="A0059218846"/>
    <s v="Feta"/>
    <s v="Feta"/>
    <s v="Feta"/>
    <s v="Bull Terrier"/>
    <s v="Carolina Dog"/>
    <s v="White - with Tan, Yellow or Fawn"/>
    <s v="male"/>
    <s v="adult"/>
    <s v="Med. 26-60 lbs (12-27 kg)"/>
    <s v="Yes"/>
    <s v="Yes"/>
    <s v="Yes"/>
    <s v="No"/>
    <s v="No"/>
    <s v="Yes"/>
    <s v="Yes"/>
    <s v="Unknown"/>
    <x v="0"/>
    <x v="0"/>
    <s v="Yellow"/>
    <x v="1"/>
    <s v="Stray/Public Drop Off"/>
    <d v="2025-08-27T11:14:00"/>
    <d v="2025-08-22T11:14:00"/>
    <x v="21"/>
    <n v="0"/>
    <s v="44.00 pound"/>
    <n v="3"/>
    <s v="409"/>
    <s v="942"/>
    <s v="1,061"/>
    <s v="10"/>
    <s v="52"/>
    <s v="110"/>
    <s v="2.4%"/>
  </r>
  <r>
    <x v="1"/>
    <n v="0"/>
    <m/>
    <m/>
    <m/>
    <n v="57"/>
    <m/>
    <x v="1"/>
    <s v="Record Match"/>
    <n v="45764063"/>
    <s v="A0059211510"/>
    <s v="Pocahontas [Foster To Adopt]"/>
    <s v="Pocahontas (M. Kniffen)"/>
    <s v="Pocahontas (M. Kniffen)"/>
    <s v="Labrador Retriever"/>
    <s v="Hound (Unknown Type)"/>
    <s v="Tan/Yellow/Fawn - with White"/>
    <s v="female"/>
    <s v="adult"/>
    <s v="Large 61-100 lbs (28-45 kg)"/>
    <s v="Yes"/>
    <s v="Yes"/>
    <s v="Yes"/>
    <s v="No"/>
    <s v="No"/>
    <s v="Yes"/>
    <s v="Yes"/>
    <s v="Unknown"/>
    <x v="0"/>
    <x v="0"/>
    <s v="Brown"/>
    <x v="0"/>
    <s v="Stray/Public Drop Off"/>
    <d v="2025-08-26T11:34:00"/>
    <d v="2025-08-21T11:34:00"/>
    <x v="22"/>
    <n v="0"/>
    <s v="78.00 pound"/>
    <n v="2"/>
    <s v="257"/>
    <s v="620"/>
    <s v="700"/>
    <s v="19"/>
    <s v="94"/>
    <s v="133"/>
    <s v="7.4%"/>
  </r>
  <r>
    <x v="0"/>
    <n v="1"/>
    <m/>
    <s v="Roux is pure joy wrapped in fur! This beautiful white-and-gray Pittie mix greets every day—and every person—with enthusiasm, spinning in happy circles when it’s time to play. She’s the perfect mix of playful and cuddly, always ready for a game of fetch or a snuggle on the couch. Roux’s curious nature makes her eager to explore, and her gentle personality wins over everyone she meets. She’s friendly with people, sweet to the core, and just wants to be part of the fun (and the love). If you’re looking for a loyal companion who can make your heart—and your tail—wag a little faster, Roux is your girl."/>
    <m/>
    <n v="58"/>
    <m/>
    <x v="0"/>
    <s v="Record Match"/>
    <n v="45764075"/>
    <s v="A0059197970"/>
    <s v="Roux"/>
    <s v="Roux"/>
    <s v="Roux"/>
    <s v="American Staffordshire Terrier"/>
    <s v="American Pit Bull Terrier"/>
    <s v="White - with Gray or Silver"/>
    <s v="female"/>
    <s v="adult"/>
    <s v="Med. 26-60 lbs (12-27 kg)"/>
    <s v="Yes"/>
    <s v="No"/>
    <s v="Yes"/>
    <s v="No"/>
    <s v="No"/>
    <s v="Yes"/>
    <s v="Yes"/>
    <s v="Unknown"/>
    <x v="0"/>
    <x v="0"/>
    <s v="White"/>
    <x v="3"/>
    <s v="Stray/ACO Pickup / Drop Off"/>
    <d v="2025-08-24T14:14:00"/>
    <d v="2025-08-19T14:14:00"/>
    <x v="20"/>
    <n v="0"/>
    <s v="52.20 pound"/>
    <n v="2"/>
    <s v="390"/>
    <s v="888"/>
    <s v="983"/>
    <s v="3"/>
    <s v="36"/>
    <s v="81"/>
    <s v="0.8%"/>
  </r>
  <r>
    <x v="1"/>
    <n v="0"/>
    <m/>
    <m/>
    <m/>
    <n v="59.9"/>
    <m/>
    <x v="0"/>
    <s v="Record Match"/>
    <n v="45764080"/>
    <s v="A0059072755"/>
    <s v="Royal"/>
    <s v="Royal"/>
    <s v="Royal"/>
    <s v="American Pit Bull Terrier"/>
    <s v="American Staffordshire Terrier"/>
    <s v="Red/Golden/Orange/Chestnut - with White"/>
    <s v="female"/>
    <s v="adult"/>
    <s v="Med. 26-60 lbs (12-27 kg)"/>
    <s v="Yes"/>
    <s v="Yes"/>
    <s v="Yes"/>
    <s v="No"/>
    <s v="No"/>
    <s v="Yes"/>
    <s v="Yes"/>
    <s v="Unknown"/>
    <x v="0"/>
    <x v="0"/>
    <s v="Tan"/>
    <x v="3"/>
    <s v="Stray/Public Drop Off"/>
    <d v="2025-08-13T13:35:00"/>
    <d v="2025-08-08T13:35:00"/>
    <x v="23"/>
    <n v="0"/>
    <s v="51.00 pound"/>
    <n v="3"/>
    <s v="233"/>
    <s v="589"/>
    <s v="684"/>
    <s v="3"/>
    <s v="18"/>
    <s v="44"/>
    <s v="1.3%"/>
  </r>
  <r>
    <x v="0"/>
    <n v="1"/>
    <m/>
    <s v="Deebo is a fun, friendly pup who lives for playtime and good company! This young brindle Pittie/Plott Hound mix loves running around with his best pals, Mimir and Koko, and is always up for a game or an adventure. His joyful energy and outgoing personality make him the life of the party, and his big heart shines through in every wag and smile. Deebo’s playful nature is balanced by his sweet, loving side—he’s as happy cuddling up after a long day as he is chasing his friends in the yard. If you’re looking for a loyal, energetic buddy who brings endless fun (and a few laughs) to every day, Deebo is your guy!"/>
    <m/>
    <n v="70.900000000000006"/>
    <m/>
    <x v="0"/>
    <s v="Record Match"/>
    <n v="45793976"/>
    <s v="A0059040345"/>
    <s v="Deebo"/>
    <s v="Deebo"/>
    <s v="Deebo"/>
    <s v="American Pit Bull Terrier"/>
    <s v="Plott Hound"/>
    <s v="Brindle"/>
    <s v="male"/>
    <s v="young"/>
    <s v="Med. 26-60 lbs (12-27 kg)"/>
    <s v="Yes"/>
    <s v="Yes"/>
    <s v="Yes"/>
    <s v="No"/>
    <s v="No"/>
    <s v="Yes"/>
    <s v="Yes"/>
    <s v="Unknown"/>
    <x v="0"/>
    <x v="0"/>
    <s v="Brindle"/>
    <x v="1"/>
    <s v="Stray/ACO Pickup / Drop Off"/>
    <d v="2025-08-09T12:27:00"/>
    <d v="2025-08-04T12:27:00"/>
    <x v="15"/>
    <n v="0"/>
    <s v="44.20 pound"/>
    <n v="3"/>
    <s v="261"/>
    <s v="659"/>
    <s v="738"/>
    <s v="16"/>
    <s v="72"/>
    <s v="141"/>
    <s v="6.1%"/>
  </r>
  <r>
    <x v="0"/>
    <n v="1"/>
    <m/>
    <s v="Captain Crunch is as sweet and goofy as his name suggests! This young Aussie/Golden mix has a heart of gold and energy to match. He could spend hours outside chasing toys or basking in the sunshine—give him a ball, and he’s in heaven. Playful yet independent, Captain Crunch loves exploring his surroundings but always comes back for affection and a smile that could melt the Grinch’s heart. He’s curious about the world, gentle with people, and happiest when he’s part of the fun. If you’re looking for a friendly, easygoing companion who’s ready for life’s adventures (and a good game of fetch), Captain Crunch is your guy!"/>
    <m/>
    <n v="75"/>
    <m/>
    <x v="1"/>
    <s v="Record Match"/>
    <n v="45968241"/>
    <s v="A0059233187"/>
    <s v="Captain Crunch [Foster Home]"/>
    <s v="Captain Crunch (M. Fichera)"/>
    <s v="Captain Crunch (M. Fichera)"/>
    <s v="Australian Shepherd"/>
    <s v="Golden Retriever"/>
    <s v="Tan/Yellow/Fawn"/>
    <s v="male"/>
    <s v="young"/>
    <s v="Med. 26-60 lbs (12-27 kg)"/>
    <s v="Yes"/>
    <s v="Yes"/>
    <s v="Yes"/>
    <s v="No"/>
    <s v="No"/>
    <s v="Yes"/>
    <s v="Yes"/>
    <s v="Unknown"/>
    <x v="0"/>
    <x v="0"/>
    <s v="Golden"/>
    <x v="0"/>
    <s v="Stray/Public Drop Off"/>
    <d v="2025-08-30T11:46:00"/>
    <d v="2025-08-25T11:46:00"/>
    <x v="24"/>
    <n v="0"/>
    <s v="45.00 pound"/>
    <n v="3"/>
    <s v="458"/>
    <s v="1,109"/>
    <s v="1,109"/>
    <s v="72"/>
    <s v="341"/>
    <s v="341"/>
    <s v="15.7%"/>
  </r>
  <r>
    <x v="0"/>
    <e v="#N/A"/>
    <m/>
    <s v="Cheech is a happy, playful pup who’s always ready for adventure! This tan-and-black Black Mouth Cur/Staffy mix is bursting with energy and joy. He loves walks, playtime, and exploring the world around him—his tail never stops wagging when he’s out and about. Cheech’s friendly, social nature makes him a hit with everyone he meets, and his sweet personality shines through in everything he does. He’s the perfect mix of fun and affection, always ready for a game or a good cuddle after a busy day. If you’re looking for a loyal, energetic companion who’ll keep you smiling and moving, Cheech is your guy!"/>
    <m/>
    <n v="54"/>
    <m/>
    <x v="1"/>
    <s v="Record Match"/>
    <n v="45970439"/>
    <s v="A0059240393"/>
    <s v="Cheech"/>
    <s v="Cheech"/>
    <s v="Cheech"/>
    <s v="Black Mouth Cur"/>
    <s v="American Staffordshire Terrier"/>
    <s v="Tan/Yellow/Fawn - with Black"/>
    <s v="male"/>
    <s v="young"/>
    <s v="Med. 26-60 lbs (12-27 kg)"/>
    <s v="Yes"/>
    <s v="Yes"/>
    <s v="Yes"/>
    <s v="No"/>
    <s v="No"/>
    <s v="Yes"/>
    <s v="Yes"/>
    <s v="Unknown"/>
    <x v="0"/>
    <x v="0"/>
    <s v="Tan"/>
    <x v="4"/>
    <s v="Stray/ACO Pickup / Drop Off"/>
    <d v="2025-08-31T11:25:00"/>
    <d v="2025-08-26T11:25:00"/>
    <x v="25"/>
    <n v="0"/>
    <s v="44.00 pound"/>
    <n v="3"/>
    <s v="284"/>
    <s v="630"/>
    <s v="630"/>
    <s v="15"/>
    <s v="60"/>
    <s v="60"/>
    <s v="5.3%"/>
  </r>
  <r>
    <x v="0"/>
    <n v="1"/>
    <m/>
    <s v="Claudia is as beautiful as she is sweet—a playful, puppy-hearted girl who’s full of love! This white-and-tan Pittie/Lab mix is gentle, cuddly, and always ready to brighten your day. She adores playtime, whether it’s romping around the yard or chasing her favorite toy, but she’s just as happy curling up close for snuggles. Claudia has that irresistible mix of youthful energy and soft affection that makes her the perfect companion for both fun adventures and cozy nights in. If you’re looking for a loving, playful pup who brings joy wherever she goes, Claudia is ready to steal your heart."/>
    <m/>
    <n v="53"/>
    <m/>
    <x v="0"/>
    <s v="Record Match"/>
    <n v="45968065"/>
    <s v="A0059193976"/>
    <s v="Claudia"/>
    <s v="Claudia"/>
    <s v="Claudia"/>
    <s v="American Pit Bull Terrier"/>
    <s v="Labrador Retriever"/>
    <s v="White - with Tan, Yellow or Fawn"/>
    <s v="female"/>
    <s v="young"/>
    <s v="Med. 26-60 lbs (12-27 kg)"/>
    <s v="Yes"/>
    <s v="Yes"/>
    <s v="Yes"/>
    <s v="No"/>
    <s v="No"/>
    <s v="Yes"/>
    <s v="Yes"/>
    <s v="Unknown"/>
    <x v="0"/>
    <x v="0"/>
    <s v="Brown"/>
    <x v="2"/>
    <s v="Stray/ACO Pickup / Drop Off"/>
    <d v="2025-08-24T08:58:00"/>
    <d v="2025-08-19T08:58:00"/>
    <x v="26"/>
    <n v="0"/>
    <s v="45.00 pound"/>
    <n v="3"/>
    <s v="432"/>
    <s v="972"/>
    <s v="972"/>
    <s v="6"/>
    <s v="64"/>
    <s v="64"/>
    <s v="1.4%"/>
  </r>
  <r>
    <x v="1"/>
    <n v="0"/>
    <m/>
    <m/>
    <m/>
    <n v="60.1"/>
    <m/>
    <x v="1"/>
    <s v="Record Match"/>
    <n v="45970275"/>
    <s v="A0059350629"/>
    <s v="Homer"/>
    <s v="Homer"/>
    <s v="Homer"/>
    <s v="Black Mouth Cur"/>
    <s v="Rhodesian Ridgeback"/>
    <s v="Tan/Yellow/Fawn - with Black"/>
    <s v="male"/>
    <s v="puppy"/>
    <s v="Med. 26-60 lbs (12-27 kg)"/>
    <s v="Yes"/>
    <s v="Yes"/>
    <s v="Yes"/>
    <s v="No"/>
    <s v="No"/>
    <s v="Yes"/>
    <s v="Yes"/>
    <s v="Yes"/>
    <x v="0"/>
    <x v="0"/>
    <s v="Brown"/>
    <x v="2"/>
    <s v="Stray/ACO Pickup / Drop Off"/>
    <d v="2025-09-17T14:39:00"/>
    <d v="2025-09-12T14:39:00"/>
    <x v="27"/>
    <n v="0"/>
    <s v="49.00 pound"/>
    <n v="3"/>
    <s v="500"/>
    <s v="1,100"/>
    <s v="1,100"/>
    <s v="25"/>
    <s v="154"/>
    <s v="154"/>
    <s v="5.0%"/>
  </r>
  <r>
    <x v="1"/>
    <n v="0"/>
    <m/>
    <m/>
    <m/>
    <n v="35.9"/>
    <m/>
    <x v="1"/>
    <s v="Record Match"/>
    <n v="45968028"/>
    <s v="A0058928950"/>
    <s v="Jovi"/>
    <s v="Jovi"/>
    <s v="Jovi"/>
    <s v="Shepherd (Unknown Type)"/>
    <n v="0"/>
    <s v="Black - with Tan, Yellow or Fawn"/>
    <s v="female"/>
    <s v="adult"/>
    <s v="Med. 26-60 lbs (12-27 kg)"/>
    <s v="Yes"/>
    <s v="No"/>
    <s v="Yes"/>
    <s v="No"/>
    <s v="No"/>
    <s v="Yes"/>
    <s v="Yes"/>
    <s v="Unknown"/>
    <x v="0"/>
    <x v="1"/>
    <s v="Black"/>
    <x v="5"/>
    <s v="Stray/ACO Pickup / Drop Off"/>
    <d v="2025-07-22T14:05:00"/>
    <d v="2025-07-17T14:05:00"/>
    <x v="13"/>
    <n v="0"/>
    <s v="60.00 pound"/>
    <n v="1"/>
    <s v="230"/>
    <s v="478"/>
    <s v="478"/>
    <s v="2"/>
    <s v="24"/>
    <s v="24"/>
    <s v="0.9%"/>
  </r>
  <r>
    <x v="1"/>
    <n v="0"/>
    <m/>
    <m/>
    <m/>
    <n v="92.9"/>
    <m/>
    <x v="1"/>
    <s v="Record Match"/>
    <n v="45969286"/>
    <s v="A0058872904"/>
    <s v="Luca [Foster Home]"/>
    <s v="Luca (J. Bowers)"/>
    <s v="Luca (J. Bowers)"/>
    <s v="Australian Cattle Dog"/>
    <s v="Blue Heeler"/>
    <s v="Red/Golden/Orange/Chestnut - with White"/>
    <s v="male"/>
    <s v="adult"/>
    <s v="Med. 26-60 lbs (12-27 kg)"/>
    <s v="Yes"/>
    <s v="Yes"/>
    <s v="Yes"/>
    <s v="No"/>
    <s v="No"/>
    <s v="Yes"/>
    <s v="Yes"/>
    <s v="Unknown"/>
    <x v="0"/>
    <x v="0"/>
    <s v="Red"/>
    <x v="0"/>
    <s v="Transfer In/Coalition Partner"/>
    <d v="1899-12-30T00:00:00"/>
    <d v="2025-09-23T10:36:00"/>
    <x v="28"/>
    <n v="0"/>
    <s v="46.00 pound"/>
    <n v="2"/>
    <s v="247"/>
    <s v="521"/>
    <s v="521"/>
    <s v="12"/>
    <s v="101"/>
    <s v="101"/>
    <s v="4.9%"/>
  </r>
  <r>
    <x v="0"/>
    <n v="1"/>
    <m/>
    <s v="Madre is the definition of calm and caring. This beautiful black-and-white American Bulldog/Staffy mix has a gentle, maternal nature that shines through in everything she does. She’s patient and nurturing with smaller dogs and puppies, often taking them under her paw. Though mellow and easygoing, Madre still enjoys her playful moments—especially when she knows she’s made her people smile. She’s sweet, loyal, and full of quiet affection, making her the perfect companion for anyone looking for a loving, steady presence in their home. If you’re searching for a gentle soul who brings peace (and a few happy tail wags) wherever she goes, Madre is the one for you."/>
    <m/>
    <n v="25"/>
    <m/>
    <x v="1"/>
    <s v="Record Match"/>
    <n v="45969536"/>
    <s v="A0059262241"/>
    <s v="Madre [Foster Home]"/>
    <s v="Madre (K. Czupek)"/>
    <s v="Madre (K. Czupek)"/>
    <s v="American Bulldog"/>
    <s v="American Staffordshire Terrier"/>
    <s v="Black - with White"/>
    <s v="female"/>
    <s v="adult"/>
    <s v="Med. 26-60 lbs (12-27 kg)"/>
    <s v="Yes"/>
    <s v="No"/>
    <s v="Yes"/>
    <s v="No"/>
    <s v="No"/>
    <s v="Yes"/>
    <s v="Yes"/>
    <s v="Unknown"/>
    <x v="0"/>
    <x v="1"/>
    <s v="Black"/>
    <x v="0"/>
    <s v="Stray/ACO Pickup / Drop Off"/>
    <d v="2025-09-03T08:28:00"/>
    <d v="2025-08-29T08:28:00"/>
    <x v="29"/>
    <n v="0"/>
    <s v="58.00 pound"/>
    <n v="1"/>
    <s v="240"/>
    <s v="533"/>
    <s v="533"/>
    <s v="5"/>
    <s v="55"/>
    <s v="55"/>
    <s v="2.1%"/>
  </r>
  <r>
    <x v="0"/>
    <n v="1"/>
    <m/>
    <m/>
    <m/>
    <n v="50.1"/>
    <m/>
    <x v="1"/>
    <s v="Record Match"/>
    <n v="45970242"/>
    <s v="A0059350618"/>
    <s v="Marge"/>
    <s v="Marge"/>
    <s v="Marge"/>
    <s v="Black Mouth Cur"/>
    <s v="Rhodesian Ridgeback"/>
    <s v="Tan/Yellow/Fawn - with Black"/>
    <s v="male"/>
    <s v="puppy"/>
    <s v="Med. 26-60 lbs (12-27 kg)"/>
    <s v="Yes"/>
    <s v="Yes"/>
    <s v="Yes"/>
    <s v="No"/>
    <s v="No"/>
    <s v="Yes"/>
    <s v="Yes"/>
    <s v="Yes"/>
    <x v="0"/>
    <x v="0"/>
    <s v="Brown"/>
    <x v="2"/>
    <s v="Stray/ACO Pickup / Drop Off"/>
    <d v="2025-09-17T14:39:00"/>
    <d v="2025-09-12T14:39:00"/>
    <x v="27"/>
    <n v="0"/>
    <s v="33.00 pound"/>
    <n v="3"/>
    <s v="500"/>
    <s v="1,094"/>
    <s v="1,094"/>
    <s v="13"/>
    <s v="101"/>
    <s v="101"/>
    <s v="2.6%"/>
  </r>
  <r>
    <x v="0"/>
    <n v="1"/>
    <m/>
    <m/>
    <m/>
    <n v="35.9"/>
    <m/>
    <x v="0"/>
    <s v="Record Match"/>
    <n v="45969485"/>
    <s v="A0059250430"/>
    <s v="Mary [Foster Home]"/>
    <s v="Mary (V. Rosenberger)"/>
    <s v="Mary (V. Rosenberger)"/>
    <s v="American Pit Bull Terrier"/>
    <s v="American Staffordshire Terrier"/>
    <s v="White"/>
    <s v="female"/>
    <s v="young"/>
    <s v="Med. 26-60 lbs (12-27 kg)"/>
    <s v="Yes"/>
    <s v="No"/>
    <s v="Yes"/>
    <s v="No"/>
    <s v="No"/>
    <s v="Yes"/>
    <s v="Yes"/>
    <s v="Yes"/>
    <x v="0"/>
    <x v="1"/>
    <s v="White"/>
    <x v="0"/>
    <s v="Stray/ACO Pickup / Drop Off"/>
    <d v="2025-09-01T14:22:00"/>
    <d v="2025-08-27T14:22:00"/>
    <x v="30"/>
    <n v="0"/>
    <s v="30.00 pound"/>
    <n v="1"/>
    <s v="448"/>
    <s v="1,075"/>
    <s v="1,075"/>
    <s v="18"/>
    <s v="69"/>
    <s v="69"/>
    <s v="4.0%"/>
  </r>
  <r>
    <x v="1"/>
    <n v="0"/>
    <m/>
    <m/>
    <m/>
    <n v="51.9"/>
    <m/>
    <x v="1"/>
    <s v="Record Match"/>
    <n v="45968036"/>
    <s v="A0058929883"/>
    <s v="Max"/>
    <s v="Max"/>
    <s v="Max"/>
    <s v="Shepherd (Unknown Type)"/>
    <s v="Rottweiler"/>
    <s v="Black - with Tan, Yellow or Fawn"/>
    <s v="male"/>
    <s v="adult"/>
    <s v="Large 61-100 lbs (28-45 kg)"/>
    <s v="Yes"/>
    <s v="Yes"/>
    <s v="Yes"/>
    <s v="No"/>
    <s v="No"/>
    <s v="Yes"/>
    <s v="Yes"/>
    <s v="Unknown"/>
    <x v="0"/>
    <x v="0"/>
    <s v="Black"/>
    <x v="5"/>
    <s v="Stray/ACO Pickup / Drop Off"/>
    <d v="2025-07-22T15:11:00"/>
    <d v="2025-07-17T15:11:00"/>
    <x v="31"/>
    <n v="0"/>
    <s v="75.80 pound"/>
    <n v="1"/>
    <s v="197"/>
    <s v="409"/>
    <s v="409"/>
    <s v="11"/>
    <s v="47"/>
    <s v="47"/>
    <s v="5.6%"/>
  </r>
  <r>
    <x v="1"/>
    <n v="0"/>
    <m/>
    <m/>
    <m/>
    <n v="92.8"/>
    <m/>
    <x v="0"/>
    <s v="Record Match"/>
    <n v="45969340"/>
    <s v="A0059250424"/>
    <s v="Maya [Foster To Adopt]"/>
    <s v="Maya (S. Rafferty)"/>
    <s v="Maya (S. Rafferty)"/>
    <s v="American Pit Bull Terrier"/>
    <s v="American Staffordshire Terrier"/>
    <s v="Brindle - with White"/>
    <s v="female"/>
    <s v="young"/>
    <s v="Med. 26-60 lbs (12-27 kg)"/>
    <s v="Yes"/>
    <s v="No"/>
    <s v="Yes"/>
    <s v="No"/>
    <s v="No"/>
    <s v="Yes"/>
    <s v="Yes"/>
    <s v="Yes"/>
    <x v="0"/>
    <x v="2"/>
    <s v="Brindle"/>
    <x v="0"/>
    <s v="Stray/ACO Pickup / Drop Off"/>
    <d v="2025-09-01T14:22:00"/>
    <d v="2025-08-27T14:22:00"/>
    <x v="30"/>
    <n v="0"/>
    <s v="30.00 pound"/>
    <n v="2"/>
    <s v="294"/>
    <s v="831"/>
    <s v="831"/>
    <s v="12"/>
    <s v="77"/>
    <s v="77"/>
    <s v="4.1%"/>
  </r>
  <r>
    <x v="1"/>
    <n v="0"/>
    <m/>
    <m/>
    <m/>
    <n v="51.9"/>
    <m/>
    <x v="1"/>
    <s v="Record Match"/>
    <n v="45970198"/>
    <s v="A0059318148"/>
    <s v="Rooster"/>
    <s v="Rooster"/>
    <s v="Rooster"/>
    <s v="Treeing Walker Coonhound"/>
    <s v="Black and Tan Coonhound"/>
    <s v="Black - with Tan, Yellow or Fawn"/>
    <s v="male"/>
    <s v="adult"/>
    <s v="Med. 26-60 lbs (12-27 kg)"/>
    <s v="Yes"/>
    <s v="Yes"/>
    <s v="Yes"/>
    <s v="No"/>
    <s v="No"/>
    <s v="Yes"/>
    <s v="Yes"/>
    <s v="Unknown"/>
    <x v="0"/>
    <x v="0"/>
    <s v="Black"/>
    <x v="3"/>
    <s v="Stray/Public Drop Off"/>
    <d v="2025-09-13T12:56:00"/>
    <d v="2025-09-08T12:56:00"/>
    <x v="32"/>
    <n v="0"/>
    <s v="44.00 pound"/>
    <n v="2"/>
    <s v="397"/>
    <s v="810"/>
    <s v="810"/>
    <s v="33"/>
    <s v="99"/>
    <s v="99"/>
    <s v="8.3%"/>
  </r>
  <r>
    <x v="0"/>
    <n v="1"/>
    <m/>
    <s v="Shells is the sweetest girl and an absolute gem! This tan Staffordshire mix is thriving in her Charleston foster home, soaking up all the love and comfort she deserves. Gentle, mellow, and endlessly cuddly, Shells is the kind of dog who makes every day feel a little softer. She loves quiet moments, cozy naps, and being close to her people—she’s all about simple joys and warm hearts. Her foster family can’t stop raving about how easy and loving she is. If you’re looking for a gentle companion who’ll fit right into your home and your heart, Shells is ready to bring her calm, sweet spirit to you."/>
    <m/>
    <n v="40"/>
    <m/>
    <x v="0"/>
    <s v="Record Match"/>
    <n v="45969530"/>
    <s v="A0059258024"/>
    <s v="Shells [Foster Home]"/>
    <s v="Shells (P Frank)"/>
    <s v="Shells (P Frank)"/>
    <s v="American Staffordshire Terrier"/>
    <n v="0"/>
    <s v="Tan/Yellow/Fawn"/>
    <s v="female"/>
    <s v="adult"/>
    <s v="Med. 26-60 lbs (12-27 kg)"/>
    <s v="Yes"/>
    <s v="No"/>
    <s v="Yes"/>
    <s v="No"/>
    <s v="No"/>
    <s v="Yes"/>
    <s v="Yes"/>
    <s v="Unknown"/>
    <x v="0"/>
    <x v="1"/>
    <s v="Brown"/>
    <x v="0"/>
    <s v="Stray/Public Drop Off"/>
    <d v="2025-09-02T13:57:00"/>
    <d v="2025-08-28T13:57:00"/>
    <x v="33"/>
    <n v="0"/>
    <s v="53.30 pound"/>
    <n v="3"/>
    <s v="393"/>
    <s v="792"/>
    <s v="792"/>
    <s v="4"/>
    <s v="45"/>
    <s v="45"/>
    <s v="1.0%"/>
  </r>
  <r>
    <x v="1"/>
    <n v="0"/>
    <m/>
    <m/>
    <m/>
    <n v="50.9"/>
    <m/>
    <x v="0"/>
    <s v="Record Match"/>
    <n v="45968103"/>
    <s v="A0059200388"/>
    <s v="Tramp"/>
    <s v="Tramp"/>
    <s v="Tramp"/>
    <s v="American Pit Bull Terrier"/>
    <n v="0"/>
    <s v="Black"/>
    <s v="male"/>
    <s v="adult"/>
    <s v="Med. 26-60 lbs (12-27 kg)"/>
    <s v="Yes"/>
    <s v="Yes"/>
    <s v="Yes"/>
    <s v="No"/>
    <s v="No"/>
    <s v="Yes"/>
    <s v="Yes"/>
    <s v="Unknown"/>
    <x v="0"/>
    <x v="0"/>
    <s v="Black"/>
    <x v="2"/>
    <s v="Stray/ACO Pickup / Drop Off"/>
    <d v="2025-08-24T16:53:00"/>
    <d v="2025-08-19T16:53:00"/>
    <x v="34"/>
    <n v="0"/>
    <s v="55.00 pound"/>
    <n v="3"/>
    <s v="211"/>
    <s v="454"/>
    <s v="454"/>
    <s v="11"/>
    <s v="39"/>
    <s v="39"/>
    <s v="5.2%"/>
  </r>
  <r>
    <x v="1"/>
    <n v="0"/>
    <m/>
    <m/>
    <m/>
    <n v="59.8"/>
    <m/>
    <x v="1"/>
    <s v="Record Match"/>
    <n v="45968075"/>
    <s v="A0059055232"/>
    <s v="Vanna"/>
    <s v="Vanna"/>
    <s v="Vanna"/>
    <s v="Whippet"/>
    <s v="Jack Russell Terrier"/>
    <s v="White"/>
    <s v="female"/>
    <s v="young"/>
    <s v="Med. 26-60 lbs (12-27 kg)"/>
    <s v="Yes"/>
    <s v="No"/>
    <s v="Yes"/>
    <s v="No"/>
    <s v="No"/>
    <s v="Yes"/>
    <s v="Yes"/>
    <s v="Unknown"/>
    <x v="0"/>
    <x v="1"/>
    <s v="White"/>
    <x v="6"/>
    <s v="Seized/Court Order"/>
    <d v="1899-12-30T00:00:00"/>
    <d v="2025-08-06T10:56:00"/>
    <x v="35"/>
    <n v="0"/>
    <s v="37.00 pound"/>
    <n v="2"/>
    <s v="468"/>
    <s v="1,059"/>
    <s v="1,059"/>
    <s v="15"/>
    <s v="79"/>
    <s v="79"/>
    <s v="3.2%"/>
  </r>
  <r>
    <x v="0"/>
    <e v="#N/A"/>
    <m/>
    <m/>
    <m/>
    <n v="73"/>
    <m/>
    <x v="1"/>
    <s v="Record Match"/>
    <n v="46184776"/>
    <s v="A0059407357"/>
    <s v="Bruno"/>
    <s v="Bruno"/>
    <s v="Bruno"/>
    <s v="Boxer"/>
    <s v="American Bulldog"/>
    <s v="Red/Golden/Orange/Chestnut - with White"/>
    <s v="male"/>
    <s v="adult"/>
    <s v="Med. 26-60 lbs (12-27 kg)"/>
    <s v="Yes"/>
    <s v="No"/>
    <s v="Yes"/>
    <s v="No"/>
    <s v="No"/>
    <s v="Yes"/>
    <s v="Yes"/>
    <s v="Unknown"/>
    <x v="0"/>
    <x v="1"/>
    <s v="Tan"/>
    <x v="6"/>
    <s v="Stray/ACO Pickup / Drop Off"/>
    <d v="2025-09-27T13:26:00"/>
    <d v="2025-09-22T13:26:00"/>
    <x v="36"/>
    <n v="0"/>
    <s v="44.00 pound"/>
    <n v="2"/>
    <s v="0"/>
    <s v="0"/>
    <s v="0"/>
    <s v="0"/>
    <s v="0"/>
    <s v="0"/>
    <s v="0%"/>
  </r>
  <r>
    <x v="0"/>
    <e v="#N/A"/>
    <m/>
    <m/>
    <m/>
    <m/>
    <m/>
    <x v="1"/>
    <s v="Record Match"/>
    <n v="46184787"/>
    <s v="A0059445995"/>
    <s v="Deeno"/>
    <s v="Deeno"/>
    <s v="Deeno"/>
    <s v="Weimaraner"/>
    <s v="Labrador Retriever"/>
    <s v="Tan/Yellow/Fawn"/>
    <s v="male"/>
    <s v="adult"/>
    <s v="Large 61-100 lbs (28-45 kg)"/>
    <s v="Yes"/>
    <s v="No"/>
    <s v="Yes"/>
    <s v="No"/>
    <s v="No"/>
    <s v="Yes"/>
    <s v="Yes"/>
    <s v="Unknown"/>
    <x v="0"/>
    <x v="1"/>
    <s v="Grey"/>
    <x v="7"/>
    <s v="Stray/ACO Pickup / Drop Off"/>
    <d v="2025-10-02T18:18:00"/>
    <d v="2025-09-27T18:18:00"/>
    <x v="37"/>
    <n v="0"/>
    <s v="64.00 pound"/>
    <n v="1"/>
    <s v="0"/>
    <s v="0"/>
    <s v="0"/>
    <s v="0"/>
    <s v="0"/>
    <s v="0"/>
    <s v="0%"/>
  </r>
  <r>
    <x v="1"/>
    <e v="#N/A"/>
    <m/>
    <m/>
    <m/>
    <m/>
    <m/>
    <x v="1"/>
    <s v="Record Match"/>
    <n v="46184800"/>
    <s v="A0059531269"/>
    <s v="Earl"/>
    <s v="Earl"/>
    <s v="Earl"/>
    <s v="German Shorthaired Pointer"/>
    <s v="Bluetick Coonhound"/>
    <s v="Black - with White"/>
    <s v="male"/>
    <s v="adult"/>
    <s v="Large 61-100 lbs (28-45 kg)"/>
    <s v="Yes"/>
    <s v="Yes"/>
    <s v="Yes"/>
    <s v="No"/>
    <s v="No"/>
    <s v="Yes"/>
    <s v="Yes"/>
    <s v="Unknown"/>
    <x v="0"/>
    <x v="0"/>
    <s v="Black"/>
    <x v="7"/>
    <s v="Transfer In/Coalition Partner"/>
    <d v="1899-12-30T00:00:00"/>
    <d v="2025-10-02T15:53:00"/>
    <x v="38"/>
    <n v="0"/>
    <s v="84.40 pound"/>
    <n v="2"/>
    <s v="0"/>
    <s v="0"/>
    <s v="0"/>
    <s v="0"/>
    <s v="0"/>
    <s v="0"/>
    <s v="0%"/>
  </r>
  <r>
    <x v="0"/>
    <e v="#N/A"/>
    <m/>
    <m/>
    <m/>
    <m/>
    <m/>
    <x v="1"/>
    <s v="Record Match"/>
    <n v="46184805"/>
    <s v="A0059565213"/>
    <s v="Fufu"/>
    <s v="Fufu"/>
    <s v="Fufu"/>
    <s v="Treeing Walker Coonhound"/>
    <s v="Foxhound"/>
    <s v="Tricolor (Tan/Brown &amp; Black &amp; White)"/>
    <s v="female"/>
    <s v="adult"/>
    <s v="Med. 26-60 lbs (12-27 kg)"/>
    <s v="Yes"/>
    <s v="No"/>
    <s v="Yes"/>
    <s v="No"/>
    <s v="No"/>
    <s v="Yes"/>
    <s v="Yes"/>
    <s v="Unknown"/>
    <x v="0"/>
    <x v="1"/>
    <s v="Tan"/>
    <x v="6"/>
    <s v="Stray/ACO Pickup / Drop Off"/>
    <d v="2025-10-13T13:56:00"/>
    <d v="2025-10-08T13:56:00"/>
    <x v="39"/>
    <n v="0"/>
    <s v="43.30 pound"/>
    <n v="1"/>
    <s v="0"/>
    <s v="0"/>
    <s v="0"/>
    <s v="0"/>
    <s v="0"/>
    <s v="0"/>
    <s v="0%"/>
  </r>
  <r>
    <x v="1"/>
    <e v="#N/A"/>
    <m/>
    <m/>
    <m/>
    <m/>
    <m/>
    <x v="1"/>
    <s v="Record Match"/>
    <n v="46184679"/>
    <s v="A0059431975"/>
    <s v="Gomez"/>
    <s v="Gomez"/>
    <s v="Gomez"/>
    <s v="Labrador Retriever"/>
    <s v="Beagle"/>
    <s v="Black - with White"/>
    <s v="male"/>
    <s v="young"/>
    <s v="Med. 26-60 lbs (12-27 kg)"/>
    <s v="Yes"/>
    <s v="No"/>
    <s v="Yes"/>
    <s v="No"/>
    <s v="No"/>
    <s v="Yes"/>
    <s v="Yes"/>
    <s v="Unknown"/>
    <x v="0"/>
    <x v="1"/>
    <s v="Black"/>
    <x v="3"/>
    <s v="Stray/ACO Pickup / Drop Off"/>
    <d v="2025-09-30T15:04:00"/>
    <d v="2025-09-25T15:04:00"/>
    <x v="40"/>
    <n v="0"/>
    <s v="28.00 pound"/>
    <n v="2"/>
    <s v="0"/>
    <s v="0"/>
    <s v="0"/>
    <s v="0"/>
    <s v="0"/>
    <s v="0"/>
    <s v="0%"/>
  </r>
  <r>
    <x v="0"/>
    <e v="#N/A"/>
    <m/>
    <m/>
    <m/>
    <m/>
    <m/>
    <x v="1"/>
    <s v="Record Match"/>
    <n v="46184656"/>
    <s v="A0059304713"/>
    <s v="Gunner"/>
    <s v="Gunner"/>
    <s v="Gunner"/>
    <s v="Labrador Retriever"/>
    <n v="0"/>
    <s v="Black"/>
    <s v="male"/>
    <s v="adult"/>
    <s v="Med. 26-60 lbs (12-27 kg)"/>
    <s v="Yes"/>
    <s v="Yes"/>
    <s v="Yes"/>
    <s v="No"/>
    <s v="No"/>
    <s v="Yes"/>
    <s v="Yes"/>
    <s v="Unknown"/>
    <x v="0"/>
    <x v="0"/>
    <s v="Black"/>
    <x v="2"/>
    <s v="Stray/ACO Pickup / Drop Off"/>
    <d v="2025-09-10T13:33:00"/>
    <d v="2025-09-05T13:33:00"/>
    <x v="41"/>
    <n v="0"/>
    <s v="59.40 pound"/>
    <n v="2"/>
    <s v="0"/>
    <s v="0"/>
    <s v="0"/>
    <s v="0"/>
    <s v="0"/>
    <s v="0"/>
    <s v="0%"/>
  </r>
  <r>
    <x v="1"/>
    <e v="#N/A"/>
    <m/>
    <m/>
    <m/>
    <m/>
    <m/>
    <x v="0"/>
    <s v="Record Match"/>
    <n v="46184864"/>
    <s v="A0059395399"/>
    <s v="Harry"/>
    <s v="Harry"/>
    <s v="Harry"/>
    <s v="American Pit Bull Terrier"/>
    <s v="Labrador Retriever"/>
    <s v="Black - with White"/>
    <s v="male"/>
    <s v="young"/>
    <s v="Med. 26-60 lbs (12-27 kg)"/>
    <s v="Yes"/>
    <s v="No"/>
    <s v="Yes"/>
    <s v="No"/>
    <s v="No"/>
    <s v="Yes"/>
    <s v="Yes"/>
    <s v="Unknown"/>
    <x v="0"/>
    <x v="1"/>
    <s v="Black"/>
    <x v="2"/>
    <s v="Stray/Public Drop Off"/>
    <d v="2025-09-24T15:12:00"/>
    <d v="2025-09-19T15:12:00"/>
    <x v="42"/>
    <n v="0"/>
    <s v="46.00 pound"/>
    <n v="2"/>
    <s v="0"/>
    <s v="0"/>
    <s v="0"/>
    <s v="0"/>
    <s v="0"/>
    <s v="0"/>
    <s v="0%"/>
  </r>
  <r>
    <x v="0"/>
    <e v="#N/A"/>
    <m/>
    <m/>
    <m/>
    <m/>
    <m/>
    <x v="1"/>
    <s v="Record Match"/>
    <n v="46184910"/>
    <s v="A0059362072"/>
    <s v="Hershey"/>
    <s v="Hershey"/>
    <s v="Hershey"/>
    <s v="German Shorthaired Pointer"/>
    <s v="Labrador Retriever"/>
    <s v="Brown/Chocolate"/>
    <s v="male"/>
    <s v="young"/>
    <s v="Med. 26-60 lbs (12-27 kg)"/>
    <s v="Yes"/>
    <s v="Yes"/>
    <s v="Yes"/>
    <s v="No"/>
    <s v="No"/>
    <s v="Yes"/>
    <s v="Yes"/>
    <s v="Unknown"/>
    <x v="0"/>
    <x v="0"/>
    <s v="Brown"/>
    <x v="2"/>
    <s v="Stray/Public Drop Off"/>
    <d v="2025-09-20T12:29:00"/>
    <d v="2025-09-15T12:29:00"/>
    <x v="43"/>
    <n v="0"/>
    <s v="46.00 pound"/>
    <n v="2"/>
    <s v="0"/>
    <s v="0"/>
    <s v="0"/>
    <s v="0"/>
    <s v="0"/>
    <s v="0"/>
    <s v="0%"/>
  </r>
  <r>
    <x v="1"/>
    <e v="#N/A"/>
    <m/>
    <m/>
    <m/>
    <m/>
    <m/>
    <x v="1"/>
    <s v="Record Match"/>
    <n v="46184923"/>
    <s v="A0059354378"/>
    <s v="Java"/>
    <s v="Java"/>
    <s v="Java"/>
    <s v="Labrador Retriever"/>
    <s v="Hound (Unknown Type)"/>
    <s v="Brown/Chocolate - with Black"/>
    <s v="male"/>
    <s v="young"/>
    <s v="Med. 26-60 lbs (12-27 kg)"/>
    <s v="Yes"/>
    <s v="Yes"/>
    <s v="Yes"/>
    <s v="No"/>
    <s v="No"/>
    <s v="Yes"/>
    <s v="Yes"/>
    <s v="Unknown"/>
    <x v="0"/>
    <x v="0"/>
    <s v="Brown"/>
    <x v="2"/>
    <s v="Stray/ACO Pickup / Drop Off"/>
    <d v="2025-09-18T11:51:00"/>
    <d v="2025-09-13T11:51:00"/>
    <x v="44"/>
    <n v="0"/>
    <s v="42.00 pound"/>
    <n v="2"/>
    <s v="0"/>
    <s v="0"/>
    <s v="0"/>
    <s v="0"/>
    <s v="0"/>
    <s v="0"/>
    <s v="0%"/>
  </r>
  <r>
    <x v="1"/>
    <e v="#N/A"/>
    <m/>
    <m/>
    <m/>
    <m/>
    <m/>
    <x v="0"/>
    <s v="Record Match"/>
    <n v="46184930"/>
    <s v="A0059288140"/>
    <s v="Lainey"/>
    <s v="Lainey"/>
    <s v="Lainey"/>
    <s v="American Pit Bull Terrier"/>
    <s v="American Bulldog"/>
    <s v="Tan/Yellow/Fawn - with White"/>
    <s v="female"/>
    <s v="young"/>
    <s v="Med. 26-60 lbs (12-27 kg)"/>
    <s v="Yes"/>
    <s v="Yes"/>
    <s v="Yes"/>
    <s v="No"/>
    <s v="No"/>
    <s v="Yes"/>
    <s v="Yes"/>
    <s v="Unknown"/>
    <x v="0"/>
    <x v="0"/>
    <s v="Tan"/>
    <x v="4"/>
    <s v="Stray/Public Drop Off"/>
    <d v="2025-09-08T11:44:00"/>
    <d v="2025-09-03T11:44:00"/>
    <x v="45"/>
    <n v="0"/>
    <s v="40.40 pound"/>
    <n v="2"/>
    <s v="0"/>
    <s v="0"/>
    <s v="0"/>
    <s v="0"/>
    <s v="0"/>
    <s v="0"/>
    <s v="0%"/>
  </r>
  <r>
    <x v="0"/>
    <e v="#N/A"/>
    <m/>
    <m/>
    <m/>
    <m/>
    <m/>
    <x v="1"/>
    <s v="Record Match"/>
    <n v="46184949"/>
    <s v="A0059340484"/>
    <s v="Moana"/>
    <s v="Moana"/>
    <s v="Moana"/>
    <s v="Shepherd (Unknown Type)"/>
    <s v="Chow Chow"/>
    <s v="Red/Golden/Orange/Chestnut"/>
    <s v="female"/>
    <s v="young"/>
    <s v="Med. 26-60 lbs (12-27 kg)"/>
    <s v="Yes"/>
    <s v="Yes"/>
    <s v="Yes"/>
    <s v="No"/>
    <s v="No"/>
    <s v="Yes"/>
    <s v="Yes"/>
    <s v="Unknown"/>
    <x v="0"/>
    <x v="0"/>
    <s v="Brown"/>
    <x v="4"/>
    <s v="Stray/Public Drop Off"/>
    <d v="2025-09-16T11:38:00"/>
    <d v="2025-09-11T11:38:00"/>
    <x v="46"/>
    <n v="0"/>
    <s v="32.00 pound"/>
    <n v="2"/>
    <s v="0"/>
    <s v="0"/>
    <s v="0"/>
    <s v="0"/>
    <s v="0"/>
    <s v="0"/>
    <s v="0%"/>
  </r>
  <r>
    <x v="1"/>
    <e v="#N/A"/>
    <m/>
    <m/>
    <m/>
    <m/>
    <m/>
    <x v="0"/>
    <s v="Record Match"/>
    <n v="46184619"/>
    <s v="A0059055106"/>
    <s v="Reno"/>
    <s v="Reno"/>
    <s v="Reno"/>
    <s v="American Pit Bull Terrier"/>
    <s v="American Staffordshire Terrier"/>
    <s v="White - with Red, Golden, Orange or Chestnut"/>
    <s v="male"/>
    <s v="adult"/>
    <s v="Med. 26-60 lbs (12-27 kg)"/>
    <s v="Yes"/>
    <s v="Yes"/>
    <s v="Yes"/>
    <s v="No"/>
    <s v="No"/>
    <s v="Yes"/>
    <s v="Yes"/>
    <s v="Unknown"/>
    <x v="0"/>
    <x v="0"/>
    <s v="White"/>
    <x v="1"/>
    <s v="Seized/Court Order"/>
    <d v="1899-12-30T00:00:00"/>
    <d v="2025-08-06T10:56:00"/>
    <x v="35"/>
    <n v="0"/>
    <s v="38.60 pound"/>
    <n v="2"/>
    <s v="0"/>
    <s v="0"/>
    <s v="0"/>
    <s v="0"/>
    <s v="0"/>
    <s v="0"/>
    <s v="0%"/>
  </r>
  <r>
    <x v="0"/>
    <e v="#N/A"/>
    <m/>
    <m/>
    <m/>
    <m/>
    <m/>
    <x v="0"/>
    <s v="Record Match"/>
    <n v="46185064"/>
    <s v="A0059406803"/>
    <s v="Rocky"/>
    <s v="Rocky"/>
    <s v="Rocky"/>
    <s v="American Pit Bull Terrier"/>
    <s v="Bulldog"/>
    <s v="Brindle - with White"/>
    <s v="male"/>
    <s v="adult"/>
    <s v="Med. 26-60 lbs (12-27 kg)"/>
    <s v="Yes"/>
    <s v="No"/>
    <s v="Yes"/>
    <s v="No"/>
    <s v="No"/>
    <s v="Yes"/>
    <s v="Yes"/>
    <s v="Unknown"/>
    <x v="0"/>
    <x v="1"/>
    <s v="Brown"/>
    <x v="2"/>
    <s v="Stray/ACO Pickup / Drop Off"/>
    <d v="2025-09-27T12:39:00"/>
    <d v="2025-09-22T12:39:00"/>
    <x v="47"/>
    <n v="0"/>
    <s v="40.00 pound"/>
    <n v="2"/>
    <s v="0"/>
    <s v="0"/>
    <s v="0"/>
    <s v="0"/>
    <s v="0"/>
    <s v="0"/>
    <s v="0%"/>
  </r>
  <r>
    <x v="0"/>
    <e v="#N/A"/>
    <m/>
    <m/>
    <m/>
    <m/>
    <m/>
    <x v="1"/>
    <s v="Record Match"/>
    <n v="46185077"/>
    <s v="A0059531197"/>
    <s v="Rufus"/>
    <s v="Rufus"/>
    <s v="Rufus"/>
    <s v="German Shorthaired Pointer"/>
    <s v="Bluetick Coonhound"/>
    <s v="Black - with White"/>
    <s v="male"/>
    <s v="adult"/>
    <s v="Med. 26-60 lbs (12-27 kg)"/>
    <s v="Yes"/>
    <s v="Yes"/>
    <s v="Yes"/>
    <s v="No"/>
    <s v="No"/>
    <s v="Yes"/>
    <s v="Yes"/>
    <s v="Unknown"/>
    <x v="0"/>
    <x v="0"/>
    <s v="Black"/>
    <x v="7"/>
    <s v="Transfer In/Coalition Partner"/>
    <d v="1899-12-30T00:00:00"/>
    <d v="2025-10-02T15:53:00"/>
    <x v="38"/>
    <n v="0"/>
    <s v="58.00 pound"/>
    <n v="2"/>
    <s v="0"/>
    <s v="0"/>
    <s v="0"/>
    <s v="0"/>
    <s v="0"/>
    <s v="0"/>
    <s v="0%"/>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r>
    <x v="2"/>
    <m/>
    <m/>
    <m/>
    <m/>
    <m/>
    <m/>
    <x v="2"/>
    <m/>
    <m/>
    <m/>
    <m/>
    <m/>
    <m/>
    <m/>
    <m/>
    <m/>
    <m/>
    <m/>
    <m/>
    <m/>
    <m/>
    <m/>
    <m/>
    <m/>
    <m/>
    <m/>
    <m/>
    <x v="1"/>
    <x v="3"/>
    <m/>
    <x v="8"/>
    <m/>
    <m/>
    <m/>
    <x v="48"/>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n v="37760469"/>
    <n v="52239691"/>
    <s v="Jackie [Barn Cat]"/>
    <s v="available"/>
    <d v="2023-04-06T00:00:00"/>
    <x v="0"/>
    <x v="0"/>
    <x v="0"/>
    <s v="Domestic Shorthair"/>
    <s v="Tortoiseshell"/>
    <s v="female"/>
    <x v="0"/>
    <m/>
    <s v="short"/>
    <s v="Yes"/>
    <s v="Yes"/>
    <s v="Yes"/>
    <s v="Unknown"/>
    <s v="No"/>
    <s v="No"/>
    <s v="Unknown"/>
    <s v="Unknown"/>
    <s v="Yes"/>
    <m/>
    <m/>
    <m/>
    <m/>
    <s v="https://pet-uploads.adoptapet.com/6/6/f/1243928269.jpg"/>
    <m/>
    <m/>
    <m/>
    <m/>
  </r>
  <r>
    <n v="41667618"/>
    <s v="A0055524062"/>
    <s v="Cameron [Foster Home]"/>
    <s v="available"/>
    <d v="2024-06-07T00:00:00"/>
    <x v="0"/>
    <x v="1"/>
    <x v="1"/>
    <m/>
    <s v="Tan/Yellow/Fawn"/>
    <s v="male"/>
    <x v="1"/>
    <s v="Med. 26-60 lbs (12-27 kg)"/>
    <m/>
    <s v="Yes"/>
    <s v="Yes"/>
    <s v="Yes"/>
    <s v="No"/>
    <s v="Unknown"/>
    <s v="No"/>
    <s v="Yes"/>
    <s v="Yes"/>
    <s v="Unknown"/>
    <s v="Who is looking for their next copper best friend? Look no further! Cameron is YOUR GUY. This sweet boy landed in doggie jail in March after being found as a stray with no owner reclaim. He is young, with some beautiful white teeth and THRIVES outside of his kennel space. He absolutely loves getting all the attention &amp; playing with every toy in the play yard. His tail wouldn‚Äôt stop wagging. The unfortunate part ‚Äî those moments are few &amp; far between. He needs stimulation &amp; enrichment time and the time he just doesn‚Äôt get in the shelter. Cameron went on a #PPPW and at first, was really pulling on the leash. We quickly found out, once he walks in front of the pack, he walks perfectly on leash. He rode well in the car to &amp; from and really enjoyed his time out of the shelter with his shelter best friends. Cameron hasn‚Äôt met a face he doesn‚Äôt love. Who‚Äôs ready to add this beautiful boy to their forever home? Adoption fee is $90.00 which includes a microchip, spay/neuter, heart worm test, rabies, vaccinations, and boosters."/>
    <m/>
    <m/>
    <m/>
    <s v="https://pet-uploads.adoptapet.com/e/1/d/1129992943.jpg"/>
    <s v="https://pet-uploads.adoptapet.com/0/7/7/1129992952.jpg"/>
    <s v="https://pet-uploads.adoptapet.com/7/c/2/1129992958.jpg"/>
    <m/>
    <m/>
  </r>
  <r>
    <n v="42798435"/>
    <s v="A0055990071"/>
    <s v="Mimir"/>
    <s v="available"/>
    <d v="2024-10-09T00:00:00"/>
    <x v="1"/>
    <x v="1"/>
    <x v="1"/>
    <s v="American Staffordshire Terrier"/>
    <s v="Gray/Silver/Salt &amp; Pepper - with White"/>
    <s v="male"/>
    <x v="1"/>
    <s v="Med. 26-60 lbs (12-27 kg)"/>
    <m/>
    <s v="Yes"/>
    <s v="Yes"/>
    <s v="Yes"/>
    <s v="No"/>
    <s v="Unknown"/>
    <s v="No"/>
    <s v="Yes"/>
    <s v="Yes"/>
    <s v="Unknown"/>
    <m/>
    <m/>
    <m/>
    <m/>
    <s v="https://pet-uploads.adoptapet.com/2/6/b/1172954276.jpg"/>
    <s v="https://pet-uploads.adoptapet.com/b/7/c/1172954285.jpg"/>
    <s v="https://pet-uploads.adoptapet.com/d/2/d/1172954291.jpg"/>
    <m/>
    <m/>
  </r>
  <r>
    <n v="42938868"/>
    <s v="A0056684348"/>
    <s v="Chucky [Foster Home]"/>
    <s v="available"/>
    <d v="2024-10-26T00:00:00"/>
    <x v="0"/>
    <x v="1"/>
    <x v="1"/>
    <s v="American Bulldog"/>
    <s v="Brown/Chocolate - with White"/>
    <s v="male"/>
    <x v="1"/>
    <s v="Med. 26-60 lbs (12-27 kg)"/>
    <m/>
    <s v="Yes"/>
    <s v="Yes"/>
    <s v="Yes"/>
    <s v="No"/>
    <s v="Unknown"/>
    <s v="No"/>
    <s v="Yes"/>
    <s v="Yes"/>
    <s v="Unknown"/>
    <m/>
    <m/>
    <m/>
    <m/>
    <s v="https://pet-uploads.adoptapet.com/a/d/5/1177618449.jpg"/>
    <s v="https://pet-uploads.adoptapet.com/0/d/0/1177618458.jpg"/>
    <m/>
    <m/>
    <m/>
  </r>
  <r>
    <n v="43045567"/>
    <s v="A0054055054"/>
    <s v="Cleopatra"/>
    <s v="available"/>
    <d v="2024-11-08T00:00:00"/>
    <x v="2"/>
    <x v="1"/>
    <x v="1"/>
    <s v="American Staffordshire Terrier"/>
    <s v="White - with Black"/>
    <s v="female"/>
    <x v="1"/>
    <s v="Med. 26-60 lbs (12-27 kg)"/>
    <m/>
    <s v="Yes"/>
    <s v="Yes"/>
    <s v="Yes"/>
    <s v="No"/>
    <s v="Unknown"/>
    <s v="No"/>
    <s v="Yes"/>
    <s v="Yes"/>
    <s v="Unknown"/>
    <m/>
    <m/>
    <m/>
    <m/>
    <s v="https://pet-uploads.adoptapet.com/d/c/b/1183963421.jpg"/>
    <s v="https://pet-uploads.adoptapet.com/0/3/6/1183963430.jpg"/>
    <s v="https://pet-uploads.adoptapet.com/8/c/4/1183963436.jpg"/>
    <s v="https://pet-uploads.adoptapet.com/1/b/2/1183963442.jpg"/>
    <m/>
  </r>
  <r>
    <n v="43045647"/>
    <s v="A0057060359"/>
    <s v="Fonzie"/>
    <s v="available"/>
    <d v="2024-11-08T00:00:00"/>
    <x v="0"/>
    <x v="1"/>
    <x v="2"/>
    <s v="Boxer"/>
    <s v="Brindle - with White"/>
    <s v="male"/>
    <x v="0"/>
    <s v="Med. 26-60 lbs (12-27 kg)"/>
    <m/>
    <s v="Yes"/>
    <s v="Yes"/>
    <s v="Yes"/>
    <s v="No"/>
    <s v="Unknown"/>
    <s v="No"/>
    <s v="Yes"/>
    <s v="Yes"/>
    <s v="Unknown"/>
    <s v="Fonzie is  beautiful boy who is full of love and energy. He forgets his size sometimes so care should be taken with small children. He is good with other dogs and enjoys a good romp with a sturdy playmate, and tennis balls are a favorite. He loves all toys, but stuffed toys may explode. Fonzie is still learning about what is or is not a toy. He tried to play with a potato last week. Fonzie is crate trained. House training and obedience have been slower, but given the opportunity I think he will get there. He is okay on a leash, but I wouldn't let a young child walk him just yet. He tolerates baths and nail trims, but they do make him nervous. He has gotten more relaxed each time.    Based on Fonzie's reaction to the kittens he has encountered, balls, and my son's remote control car, I definitely think a home free of small prey animals would be best.     Fonzie really just wants a bed to lay on, lots of treats and cuddles."/>
    <m/>
    <m/>
    <m/>
    <s v="https://pet-uploads.adoptapet.com/a/a/e/1183965363.jpg"/>
    <s v="https://pet-uploads.adoptapet.com/a/3/8/1183965372.jpg"/>
    <s v="https://pet-uploads.adoptapet.com/7/1/4/1183965378.jpg"/>
    <s v="https://pet-uploads.adoptapet.com/4/2/7/1256532219.jpg"/>
    <m/>
  </r>
  <r>
    <n v="43635040"/>
    <s v="A0057142369"/>
    <s v="Sebastian"/>
    <s v="available"/>
    <d v="2025-01-21T00:00:00"/>
    <x v="0"/>
    <x v="1"/>
    <x v="3"/>
    <m/>
    <s v="Black - with Brown, Red, Golden, Orange or Chestnut"/>
    <s v="male"/>
    <x v="1"/>
    <s v="Large 61-100 lbs (28-45 kg)"/>
    <m/>
    <s v="No"/>
    <s v="Yes"/>
    <s v="Yes"/>
    <s v="No"/>
    <s v="Unknown"/>
    <s v="No"/>
    <s v="Yes"/>
    <s v="Yes"/>
    <s v="Unknown"/>
    <m/>
    <m/>
    <m/>
    <m/>
    <s v="https://pet-uploads.adoptapet.com/2/8/4/1203248747.jpg"/>
    <s v="https://pet-uploads.adoptapet.com/2/5/4/1203248770.jpg"/>
    <s v="https://pet-uploads.adoptapet.com/9/d/7/1203248789.jpg"/>
    <s v="https://pet-uploads.adoptapet.com/4/5/3/1203248795.jpg"/>
    <m/>
  </r>
  <r>
    <n v="43830374"/>
    <s v="A0057330368"/>
    <s v="Lloyd [Foster Home]"/>
    <s v="available"/>
    <d v="2025-02-13T00:00:00"/>
    <x v="0"/>
    <x v="1"/>
    <x v="4"/>
    <s v="Terrier (Unknown Type, Medium)"/>
    <s v="Gray/Blue/Silver/Salt &amp; Pepper"/>
    <s v="male"/>
    <x v="1"/>
    <s v="Med. 26-60 lbs (12-27 kg)"/>
    <m/>
    <s v="Yes"/>
    <s v="Yes"/>
    <s v="Yes"/>
    <s v="No"/>
    <s v="Unknown"/>
    <s v="No"/>
    <s v="Yes"/>
    <s v="Yes"/>
    <s v="Unknown"/>
    <s v="Meet Lloyd!    Lloyd is an affectionate dog who's ready to settle into his forever home. He‚Äôs house trained and crate trained, and his easygoing nature makes him a total joy to have around. Whether he‚Äôs curled up on the couch or out for a casual afternoon walk, Lloyd is just happy to be with his people.    Lloyd is a quick learner and already getting a grasp of basic commands, and he‚Äôs doing great with his leash training and is working on his off the leash recall. His gentle temperament makes him a good fit for an owner with kids other dogs and even cats.         With his loving personality and eagerness to please, Lloyd is on track to be a turnkey companion, ideal for a first-time dog owner or a family looking for a loving, low-maintenance addition.    If you're looking for a loyal, easygoing buddy who‚Äôs always down to snuggle or stroll, Lloyd‚Äôs your guy."/>
    <m/>
    <m/>
    <m/>
    <s v="https://pet-uploads.adoptapet.com/6/9/f/1208211648.jpg"/>
    <s v="https://pet-uploads.adoptapet.com/a/7/8/1208211657.jpg"/>
    <s v="https://pet-uploads.adoptapet.com/b/2/b/1234763731.jpg"/>
    <s v="https://pet-uploads.adoptapet.com/9/2/c/1234763737.jpg"/>
    <m/>
  </r>
  <r>
    <n v="44324509"/>
    <s v="A0057890580"/>
    <s v="Myrtle"/>
    <s v="available"/>
    <d v="2025-04-14T00:00:00"/>
    <x v="2"/>
    <x v="1"/>
    <x v="5"/>
    <s v="Labrador Retriever"/>
    <s v="Gray/Silver/Salt &amp; Pepper - with White"/>
    <s v="female"/>
    <x v="0"/>
    <s v="Med. 26-60 lbs (12-27 kg)"/>
    <m/>
    <s v="Yes"/>
    <s v="Yes"/>
    <s v="Yes"/>
    <s v="No"/>
    <s v="Unknown"/>
    <s v="No"/>
    <s v="Yes"/>
    <s v="Yes"/>
    <s v="Unknown"/>
    <s v="Meet Myrtle! üêæ‚òÄÔ∏è  Myrtle is a total love bug who‚Äôs ready to steal your heart! She‚Äôs great in her crate and knows how to be calm and comfortable when it‚Äôs downtime.    Friendly with other dogs and loves kids, Myrtle enjoys spending time outside, soaking up the sunshine on walks or just relaxing in the fresh air. She‚Äôs indifferent to cats, so she could likely do well in a home with feline friends.    This sweet girl is ready to find a family all her own‚Äîone where she can share her love, loyalty, and sunny spirit every day. If you‚Äôre looking for a gentle, loving companion who‚Äôll brighten your life, Myrtle is waiting to meet you!"/>
    <m/>
    <m/>
    <m/>
    <s v="https://pet-uploads.adoptapet.com/a/3/d/1220244548.jpg"/>
    <s v="https://pet-uploads.adoptapet.com/9/8/8/1220244557.jpg"/>
    <s v="https://pet-uploads.adoptapet.com/4/5/8/1220244576.jpg"/>
    <m/>
    <m/>
  </r>
  <r>
    <n v="44475813"/>
    <s v="A0057829377"/>
    <s v="Woodstock"/>
    <s v="available"/>
    <d v="2025-05-02T00:00:00"/>
    <x v="0"/>
    <x v="1"/>
    <x v="6"/>
    <s v="American Pit Bull Terrier"/>
    <s v="Gray/Blue/Silver/Salt &amp; Pepper"/>
    <s v="male"/>
    <x v="1"/>
    <s v="Large 61-100 lbs (28-45 kg)"/>
    <m/>
    <s v="Yes"/>
    <s v="Yes"/>
    <s v="Yes"/>
    <s v="No"/>
    <s v="Unknown"/>
    <s v="No"/>
    <s v="Yes"/>
    <s v="Yes"/>
    <s v="Unknown"/>
    <m/>
    <m/>
    <m/>
    <m/>
    <s v="https://pet-uploads.adoptapet.com/f/d/b/1223883636.jpg"/>
    <s v="https://pet-uploads.adoptapet.com/1/3/7/1223883653.jpg"/>
    <s v="https://pet-uploads.adoptapet.com/6/2/f/1223883659.jpg"/>
    <m/>
    <m/>
  </r>
  <r>
    <n v="44476170"/>
    <s v="A0058233547"/>
    <s v="Zane [Foster Home]"/>
    <s v="available"/>
    <d v="2025-05-02T00:00:00"/>
    <x v="0"/>
    <x v="1"/>
    <x v="7"/>
    <s v="Hound (Unknown Type)"/>
    <s v="Brindle - with White"/>
    <s v="male"/>
    <x v="1"/>
    <s v="Med. 26-60 lbs (12-27 kg)"/>
    <m/>
    <s v="Yes"/>
    <s v="Yes"/>
    <s v="Yes"/>
    <s v="No"/>
    <s v="Unknown"/>
    <s v="No"/>
    <s v="Yes"/>
    <s v="Yes"/>
    <s v="Yes"/>
    <s v="Meet Zane! üê∂üí®  Zane is a joyful, high-spirited pup with a zest for life that‚Äôs simply contagious! He‚Äôs the kind of dog who brings a smile to your face with his goofy zoomies, happy tail wags, and playful personality.    This all-around good boy is dog, cat, and kid friendly, making him a great fit for families of all shapes and sizes. Zane shines in playgroups, where he loves romping around with his canine pals and spreading good vibes to everyone around him.    Whether he's racing around the yard or snuggling up after a good play session, Zane is happiest when he's surrounded by love, laughter, and adventure.    If you're looking for a pup who‚Äôs always ready to have fun and share joy, Zane is your guy! üêæüíô"/>
    <m/>
    <m/>
    <m/>
    <s v="https://pet-uploads.adoptapet.com/3/6/f/1223893234.jpg"/>
    <s v="https://pet-uploads.adoptapet.com/7/4/2/1223893243.jpg"/>
    <s v="https://pet-uploads.adoptapet.com/f/5/7/1223893249.jpg"/>
    <s v="https://pet-uploads.adoptapet.com/f/2/6/1223893255.jpg"/>
    <m/>
  </r>
  <r>
    <n v="44523173"/>
    <n v="58353818"/>
    <s v="Gus [Foster Home]"/>
    <s v="available"/>
    <d v="2025-05-08T00:00:00"/>
    <x v="0"/>
    <x v="0"/>
    <x v="0"/>
    <m/>
    <s v="Black &amp; White or Tuxedo"/>
    <s v="male"/>
    <x v="1"/>
    <m/>
    <s v="short"/>
    <s v="Unknown"/>
    <s v="Yes"/>
    <s v="Yes"/>
    <s v="Unknown"/>
    <s v="No"/>
    <s v="No"/>
    <s v="Unknown"/>
    <s v="Unknown"/>
    <s v="Unknown"/>
    <m/>
    <m/>
    <m/>
    <m/>
    <s v="https://pet-uploads.adoptapet.com/0/7/9/1225002239.jpg"/>
    <m/>
    <m/>
    <m/>
    <m/>
  </r>
  <r>
    <n v="44937909"/>
    <s v="A0057718939"/>
    <s v="Goose"/>
    <s v="available"/>
    <d v="2025-06-19T00:00:00"/>
    <x v="0"/>
    <x v="1"/>
    <x v="8"/>
    <m/>
    <s v="Brindle"/>
    <s v="male"/>
    <x v="1"/>
    <s v="Large 61-100 lbs (28-45 kg)"/>
    <m/>
    <s v="Yes"/>
    <s v="Yes"/>
    <s v="Yes"/>
    <s v="No"/>
    <s v="Unknown"/>
    <s v="No"/>
    <s v="Yes"/>
    <s v="Yes"/>
    <s v="Unknown"/>
    <m/>
    <m/>
    <m/>
    <m/>
    <s v="https://pet-uploads.adoptapet.com/7/a/7/1234092789.jpg"/>
    <s v="https://pet-uploads.adoptapet.com/e/6/5/1234092798.jpg"/>
    <s v="https://pet-uploads.adoptapet.com/b/5/4/1234092804.jpg"/>
    <s v="https://pet-uploads.adoptapet.com/5/3/0/1234092810.jpg"/>
    <m/>
  </r>
  <r>
    <n v="44937100"/>
    <s v="A0058345913"/>
    <s v="Grasshopper [Foster Home]"/>
    <s v="available"/>
    <d v="2025-06-19T00:00:00"/>
    <x v="0"/>
    <x v="1"/>
    <x v="1"/>
    <m/>
    <s v="White - with Tan, Yellow or Fawn"/>
    <s v="male"/>
    <x v="1"/>
    <s v="Med. 26-60 lbs (12-27 kg)"/>
    <m/>
    <s v="Yes"/>
    <s v="Yes"/>
    <s v="Yes"/>
    <s v="Yes"/>
    <s v="Unknown"/>
    <s v="No"/>
    <s v="Yes"/>
    <s v="Yes"/>
    <s v="Yes"/>
    <s v="Grasshopper is a sweet, expressive lovebug full of personality and heart. While we don‚Äôt know much about his background, what we do know is that he‚Äôs incredibly loving and eager to bond. He has bursts of playful energy and would do best in a home with another dog buddy to play with.    He‚Äôs crate trained, walks beautifully on a leash (though he might get excited if he spots a squirrel!), and is learning his basic commands. Grasshopper is gentle and patient with kids, and he‚Äôs also cat-friendly. When he‚Äôs feeling expressive he can be vocal, adding to his charm.    This lovable boy is ready for a home where he can continue to blossom and share his affection,and maybe a few zoomies, with a family of his own."/>
    <m/>
    <m/>
    <m/>
    <s v="https://pet-uploads.adoptapet.com/a/7/6/1253057182.jpg"/>
    <s v="https://pet-uploads.adoptapet.com/b/f/0/1253057712.jpg"/>
    <s v="https://pet-uploads.adoptapet.com/5/e/2/1253057718.jpg"/>
    <s v="https://pet-uploads.adoptapet.com/5/8/f/1253057724.jpg"/>
    <m/>
  </r>
  <r>
    <n v="44936854"/>
    <s v="A0058240635"/>
    <s v="Jacob"/>
    <s v="available"/>
    <d v="2025-06-19T00:00:00"/>
    <x v="0"/>
    <x v="1"/>
    <x v="9"/>
    <s v="American Pit Bull Terrier"/>
    <s v="Tan/Yellow/Fawn - with White"/>
    <s v="male"/>
    <x v="1"/>
    <s v="Med. 26-60 lbs (12-27 kg)"/>
    <m/>
    <s v="Yes"/>
    <s v="Yes"/>
    <s v="Yes"/>
    <s v="No"/>
    <s v="Unknown"/>
    <s v="No"/>
    <s v="Yes"/>
    <s v="Yes"/>
    <s v="Unknown"/>
    <s v="Meet Jacob! üêæ‚ö°  Jacob is a high-energy, fun-loving dog who‚Äôs ready to bring excitement and adventure into your life! He thrives in a fast-paced lifestyle and would be happiest with someone who loves to stay busy and keep moving.    Jacob LOVES being the center of attention, especially when there are toys involved. He‚Äôs a fetch fanatic who‚Äôs always ready to chase a ball or tug a rope, and he‚Äôs eager to learn new tricks and be trained.    Whether it‚Äôs splashing in the water, going for long walks, or just hanging out as your loyal pal, Jacob‚Äôs enthusiasm is contagious. If you‚Äôre looking for a lively companion who‚Äôs up for anything, Jacob is your guy!"/>
    <m/>
    <m/>
    <m/>
    <s v="https://pet-uploads.adoptapet.com/b/6/c/1234073964.jpg"/>
    <s v="https://pet-uploads.adoptapet.com/2/d/2/1234073973.jpg"/>
    <s v="https://pet-uploads.adoptapet.com/8/0/7/1234073979.jpg"/>
    <m/>
    <m/>
  </r>
  <r>
    <n v="44940352"/>
    <s v="A0058481134"/>
    <s v="Kira"/>
    <s v="available"/>
    <d v="2025-06-19T00:00:00"/>
    <x v="0"/>
    <x v="1"/>
    <x v="1"/>
    <m/>
    <s v="Gray/Silver/Salt &amp; Pepper - with White"/>
    <s v="female"/>
    <x v="1"/>
    <s v="Med. 26-60 lbs (12-27 kg)"/>
    <m/>
    <s v="Yes"/>
    <s v="Yes"/>
    <s v="Yes"/>
    <s v="No"/>
    <s v="Unknown"/>
    <s v="No"/>
    <s v="Yes"/>
    <s v="Yes"/>
    <s v="Yes"/>
    <s v="Meet Kira! üêæüí¶  Looking for a fun-loving, adventure-ready pup? Kira is your girl!    This sweet and social lady is dog, cat, and kid friendly, and she‚Äôs always ready to dive into the fun‚Äîliterally! Kira loves playing in the mud and water, living her best life getting a little dirty and having a whole lot of fun. Whether she‚Äôs romping in the play yard with her favorite toys, splashing in puddles, or hanging out with her doggy friends, Kira is always up for a good time.    She‚Äôs also just as happy going for a nice walk and soaking in the sights with her favorite people by her side. With her playful spirit and affectionate heart, Kira is the perfect mix of goofy, sweet, and loyal.    If you‚Äôre looking for a companion who knows how to have fun and loves big, Kira‚Äôs ready to be your new best friend! üê∂‚ù§Ô∏è"/>
    <m/>
    <m/>
    <m/>
    <s v="https://pet-uploads.adoptapet.com/6/a/6/1234144341.jpg"/>
    <s v="https://pet-uploads.adoptapet.com/a/9/a/1234144350.jpg"/>
    <s v="https://pet-uploads.adoptapet.com/5/7/3/1234144369.jpg"/>
    <s v="https://pet-uploads.adoptapet.com/1/0/e/1234144386.jpg"/>
    <m/>
  </r>
  <r>
    <n v="44938825"/>
    <s v="A0058276398"/>
    <s v="Koko"/>
    <s v="available"/>
    <d v="2025-06-19T00:00:00"/>
    <x v="0"/>
    <x v="1"/>
    <x v="1"/>
    <m/>
    <s v="Gray/Blue/Silver/Salt &amp; Pepper"/>
    <s v="female"/>
    <x v="1"/>
    <s v="Med. 26-60 lbs (12-27 kg)"/>
    <m/>
    <s v="Yes"/>
    <s v="Yes"/>
    <s v="Yes"/>
    <s v="No"/>
    <s v="Unknown"/>
    <s v="No"/>
    <s v="Yes"/>
    <s v="Yes"/>
    <s v="Unknown"/>
    <m/>
    <m/>
    <m/>
    <m/>
    <s v="https://pet-uploads.adoptapet.com/e/c/8/1234115871.jpg"/>
    <s v="https://pet-uploads.adoptapet.com/c/c/1/1234115903.jpg"/>
    <s v="https://pet-uploads.adoptapet.com/a/5/e/1234115921.jpg"/>
    <s v="https://pet-uploads.adoptapet.com/2/3/c/1234115929.jpg"/>
    <m/>
  </r>
  <r>
    <n v="44938981"/>
    <s v="A0058297139"/>
    <s v="Luke [Foster Home]"/>
    <s v="available"/>
    <d v="2025-06-19T00:00:00"/>
    <x v="0"/>
    <x v="1"/>
    <x v="4"/>
    <s v="Retriever (Unknown Type)"/>
    <s v="Red/Golden/Orange/Chestnut - with White"/>
    <s v="male"/>
    <x v="1"/>
    <s v="Med. 26-60 lbs (12-27 kg)"/>
    <m/>
    <s v="Yes"/>
    <s v="Yes"/>
    <s v="Yes"/>
    <s v="No"/>
    <s v="Unknown"/>
    <s v="No"/>
    <s v="Yes"/>
    <s v="Yes"/>
    <s v="Unknown"/>
    <s v="Meet Luke! üêæüéæ  Luke is a true dog‚Äôs dog‚Äîsocial, playful, and always ready for a good time! He absolutely loves playing with other dogs and shines in group play sessions. If there‚Äôs a game of fetch going on, you can bet Luke is in the middle of it, chasing down the ball with joy and enthusiasm.    This athletic and outgoing pup is also an excellent adventure buddy who would love to explore trails, parks, or just cruise around the neighborhood with his favorite person. He‚Äôs loyal, fun, and always up for the next adventure.    Luke prefers a home without cats, but he makes up for it with his big heart and even bigger personality. If you're looking for an energetic, dog-loving companion to join you on life‚Äôs journeys, Luke is your guy!"/>
    <m/>
    <m/>
    <m/>
    <s v="https://pet-uploads.adoptapet.com/5/9/2/1234117693.jpg"/>
    <s v="https://pet-uploads.adoptapet.com/5/3/8/1234118011.jpg"/>
    <s v="https://pet-uploads.adoptapet.com/e/e/2/1234118172.jpg"/>
    <s v="https://pet-uploads.adoptapet.com/0/2/6/1234118386.jpg"/>
    <m/>
  </r>
  <r>
    <n v="44941336"/>
    <s v="A0058557091"/>
    <s v="Miss White [Foster Home]"/>
    <s v="available"/>
    <d v="2025-06-19T00:00:00"/>
    <x v="0"/>
    <x v="1"/>
    <x v="1"/>
    <s v="Labrador Retriever"/>
    <s v="White - with Tan, Yellow or Fawn"/>
    <s v="female"/>
    <x v="0"/>
    <s v="Med. 26-60 lbs (12-27 kg)"/>
    <m/>
    <s v="Yes"/>
    <s v="Yes"/>
    <s v="Yes"/>
    <s v="No"/>
    <s v="Unknown"/>
    <s v="No"/>
    <s v="Yes"/>
    <s v="Yes"/>
    <s v="Yes"/>
    <s v="Ms White is a very sweet, loving and gentle girl living in an apartment with her foster, another dog and two cats. She loves being with people and will take all the opportunities she can to be as close as possible to her person. If you want a velcro dog that loves you above everything else she‚Äôs the one! She goes to the dog park every day - she is friendly with all dogs and love to play chase! Ms White relaxes quietly  in her crate when her foster is not home. She is fully potty trained and walks well on leash. Her foster brings here everywhere and she always behaves well and relaxed in all situations she has been - on busy streets, stores, around kids. Ms White would make an excellent family dog!Ms White is a very sweet, loving and gentle girl living in an apartment with her foster, another dog and two cats. She loves being with people and will take all the opportunities she can to be as close as possible to her person. If you want a velcro dog that loves you above everything else she‚Äôs the one! She goes to the dog park every day - she is friendly with all dogs and love to play chase! Ms White relaxes quietly  in her crate when her foster is not home. She is fully potty trained and walks well on leash. Her foster brings here everywhere and she always behaves well and relaxed in all situations she has been - on busy streets, stores, around kids. Ms White would make an excellent family dog!"/>
    <m/>
    <m/>
    <m/>
    <s v="https://pet-uploads.adoptapet.com/0/d/7/1234167019.jpg"/>
    <s v="https://pet-uploads.adoptapet.com/e/f/d/1234167037.jpg"/>
    <s v="https://pet-uploads.adoptapet.com/e/f/1/1234167043.jpg"/>
    <m/>
    <m/>
  </r>
  <r>
    <n v="44941030"/>
    <s v="A0058540854"/>
    <s v="Nash"/>
    <s v="available"/>
    <d v="2025-06-19T00:00:00"/>
    <x v="0"/>
    <x v="1"/>
    <x v="10"/>
    <s v="American Pit Bull Terrier"/>
    <s v="Brown/Chocolate"/>
    <s v="male"/>
    <x v="1"/>
    <s v="Med. 26-60 lbs (12-27 kg)"/>
    <m/>
    <s v="Yes"/>
    <s v="Yes"/>
    <s v="Yes"/>
    <s v="No"/>
    <s v="Unknown"/>
    <s v="No"/>
    <s v="Yes"/>
    <s v="Yes"/>
    <s v="Unknown"/>
    <s v="Meet Nash! üêæ  Looking for a loyal, playful, and loving companion? Nash might just be your perfect match!    This sweet boy is full of personality and charm. He loves other dogs and thrives in playgroups, where he gets to run, wrestle, and show off his playful side. Whether he's chasing toys in the play yard or splashing around in a kiddie pool, Nash knows how to have a good time.    Nash is more than just fun‚Äîhe‚Äôs also an incredibly loyal dog who‚Äôs ready to bond deeply with a family of his own. He‚Äôll stick by your side through all of life‚Äôs adventures, offering companionship, joy, and a whole lot of tail wags.    Nash would do best in a home without cats, but with his big heart and happy spirit, he‚Äôs ready to be someone‚Äôs very best friend.    Come meet Nash‚Äîyou‚Äôll fall in love with his playful energy and loyal soul! üíô"/>
    <m/>
    <m/>
    <m/>
    <s v="https://pet-uploads.adoptapet.com/8/5/f/1234161773.jpg"/>
    <s v="https://pet-uploads.adoptapet.com/2/3/f/1234161881.jpg"/>
    <s v="https://pet-uploads.adoptapet.com/0/e/c/1234161971.jpg"/>
    <s v="https://pet-uploads.adoptapet.com/9/f/a/1234162169.jpg"/>
    <m/>
  </r>
  <r>
    <n v="44937940"/>
    <s v="A0058089692"/>
    <s v="Rajah"/>
    <s v="available"/>
    <d v="2025-06-19T00:00:00"/>
    <x v="3"/>
    <x v="1"/>
    <x v="11"/>
    <s v="American Bulldog"/>
    <s v="Black - with White"/>
    <s v="female"/>
    <x v="1"/>
    <s v="Med. 26-60 lbs (12-27 kg)"/>
    <m/>
    <s v="Yes"/>
    <s v="Yes"/>
    <s v="Yes"/>
    <s v="No"/>
    <s v="Unknown"/>
    <s v="No"/>
    <s v="Yes"/>
    <s v="Yes"/>
    <s v="Unknown"/>
    <m/>
    <m/>
    <m/>
    <m/>
    <s v="https://pet-uploads.adoptapet.com/5/7/5/1234093611.jpg"/>
    <s v="https://pet-uploads.adoptapet.com/3/d/1/1234093620.jpg"/>
    <s v="https://pet-uploads.adoptapet.com/5/e/5/1234093626.jpg"/>
    <s v="https://pet-uploads.adoptapet.com/3/3/4/1234093634.jpg"/>
    <m/>
  </r>
  <r>
    <n v="44937630"/>
    <s v="A0053756095"/>
    <s v="Taz [Foster Home]"/>
    <s v="available"/>
    <d v="2025-06-19T00:00:00"/>
    <x v="0"/>
    <x v="1"/>
    <x v="1"/>
    <m/>
    <s v="Brindle"/>
    <s v="male"/>
    <x v="1"/>
    <s v="Med. 26-60 lbs (12-27 kg)"/>
    <m/>
    <s v="Yes"/>
    <s v="Yes"/>
    <s v="Yes"/>
    <s v="No"/>
    <s v="Unknown"/>
    <s v="No"/>
    <s v="Yes"/>
    <s v="Yes"/>
    <s v="Yes"/>
    <s v="Meet Taz! üêæ  This sweet boy is the total package! Taz is a friendly, fun-loving pup who‚Äôs great with dogs, cats, and kids‚Äîmaking him a perfect fit for just about any home.    Taz previously lived in a home, so he already knows the ropes of family life. He walks like a pro on leash, making strolls around the neighborhood a breeze. He‚Äôs also a social butterfly in play groups, getting along wonderfully with other dogs.    One of Taz‚Äôs favorite things? Splashing around in a kiddie pool on a sunny day! Whether he‚Äôs playing, lounging, or just soaking his paws, water time is his happy time.    If you're looking for a well-rounded, playful, and affectionate companion, Taz is your guy. Come meet him‚Äîyou‚Äôre bound to fall in love! üíô"/>
    <m/>
    <m/>
    <m/>
    <s v="https://pet-uploads.adoptapet.com/4/a/4/1234088968.jpg"/>
    <s v="https://pet-uploads.adoptapet.com/9/1/7/1234088977.jpg"/>
    <s v="https://pet-uploads.adoptapet.com/6/3/d/1234088983.jpg"/>
    <s v="https://pet-uploads.adoptapet.com/0/b/f/1234088989.jpg"/>
    <m/>
  </r>
  <r>
    <n v="44937929"/>
    <s v="A0058018080"/>
    <s v="Zorua [Foster Home]"/>
    <s v="available"/>
    <d v="2025-06-19T00:00:00"/>
    <x v="0"/>
    <x v="1"/>
    <x v="6"/>
    <s v="American Pit Bull Terrier"/>
    <s v="Black - with White"/>
    <s v="female"/>
    <x v="1"/>
    <s v="Med. 26-60 lbs (12-27 kg)"/>
    <m/>
    <s v="Yes"/>
    <s v="Yes"/>
    <s v="Yes"/>
    <s v="No"/>
    <s v="Unknown"/>
    <s v="No"/>
    <s v="Yes"/>
    <s v="Yes"/>
    <s v="Unknown"/>
    <m/>
    <m/>
    <m/>
    <m/>
    <s v="https://pet-uploads.adoptapet.com/d/0/5/1234093258.jpg"/>
    <s v="https://pet-uploads.adoptapet.com/f/a/c/1234093267.jpg"/>
    <s v="https://pet-uploads.adoptapet.com/9/3/6/1234093282.jpg"/>
    <s v="https://pet-uploads.adoptapet.com/4/d/1/1234093299.jpg"/>
    <m/>
  </r>
  <r>
    <n v="44997584"/>
    <s v="A0058345452"/>
    <s v="Kat [Foster Home]"/>
    <s v="available"/>
    <d v="2025-06-25T00:00:00"/>
    <x v="0"/>
    <x v="0"/>
    <x v="0"/>
    <m/>
    <s v="Tortoiseshell"/>
    <s v="female"/>
    <x v="2"/>
    <m/>
    <s v="short"/>
    <s v="Unknown"/>
    <s v="Yes"/>
    <s v="Yes"/>
    <s v="Unknown"/>
    <s v="No"/>
    <s v="No"/>
    <s v="Yes"/>
    <s v="Yes"/>
    <s v="Yes"/>
    <m/>
    <m/>
    <m/>
    <m/>
    <s v="https://pet-uploads.adoptapet.com/4/4/f/1235405095.jpg"/>
    <s v="https://pet-uploads.adoptapet.com/a/e/9/1235405104.jpg"/>
    <m/>
    <m/>
    <m/>
  </r>
  <r>
    <n v="44997578"/>
    <s v="A0058345457"/>
    <s v="Kevin [Foster Home]"/>
    <s v="available"/>
    <d v="2025-06-25T00:00:00"/>
    <x v="0"/>
    <x v="0"/>
    <x v="0"/>
    <m/>
    <s v="Black &amp; White or Tuxedo"/>
    <s v="male"/>
    <x v="2"/>
    <m/>
    <s v="short"/>
    <s v="Unknown"/>
    <s v="Yes"/>
    <s v="Yes"/>
    <s v="Unknown"/>
    <s v="No"/>
    <s v="No"/>
    <s v="Yes"/>
    <s v="Yes"/>
    <s v="Yes"/>
    <m/>
    <m/>
    <m/>
    <m/>
    <s v="https://pet-uploads.adoptapet.com/6/7/6/1235404924.jpg"/>
    <s v="https://pet-uploads.adoptapet.com/9/7/b/1235404933.jpg"/>
    <m/>
    <m/>
    <m/>
  </r>
  <r>
    <n v="45190855"/>
    <s v="A0058719090"/>
    <s v="Ava Grace"/>
    <s v="available"/>
    <d v="2025-07-13T00:00:00"/>
    <x v="0"/>
    <x v="1"/>
    <x v="6"/>
    <s v="Cane Corso"/>
    <s v="Brindle - with White"/>
    <s v="female"/>
    <x v="1"/>
    <s v="Large 61-100 lbs (28-45 kg)"/>
    <m/>
    <s v="Yes"/>
    <s v="Yes"/>
    <s v="Yes"/>
    <s v="No"/>
    <s v="Unknown"/>
    <s v="No"/>
    <s v="Yes"/>
    <s v="Yes"/>
    <s v="Unknown"/>
    <m/>
    <m/>
    <m/>
    <m/>
    <s v="https://pet-uploads.adoptapet.com/a/f/5/1239691721.jpg"/>
    <s v="https://pet-uploads.adoptapet.com/b/f/1/1239691730.jpg"/>
    <s v="https://pet-uploads.adoptapet.com/a/9/0/1239691736.jpg"/>
    <s v="https://pet-uploads.adoptapet.com/5/3/a/1239691742.jpg"/>
    <m/>
  </r>
  <r>
    <n v="45190845"/>
    <s v="A0058705427"/>
    <s v="Cole [Foster Home]"/>
    <s v="available"/>
    <d v="2025-07-13T00:00:00"/>
    <x v="0"/>
    <x v="1"/>
    <x v="10"/>
    <s v="Hound (Unknown Type)"/>
    <s v="Black"/>
    <s v="male"/>
    <x v="0"/>
    <s v="Med. 26-60 lbs (12-27 kg)"/>
    <m/>
    <s v="Yes"/>
    <s v="Yes"/>
    <s v="Yes"/>
    <s v="No"/>
    <s v="Unknown"/>
    <s v="No"/>
    <s v="Yes"/>
    <s v="Yes"/>
    <s v="Yes"/>
    <m/>
    <m/>
    <m/>
    <m/>
    <s v="https://pet-uploads.adoptapet.com/0/3/1/1239691476.jpg"/>
    <s v="https://pet-uploads.adoptapet.com/8/f/4/1239691485.jpg"/>
    <s v="https://pet-uploads.adoptapet.com/9/e/a/1239691491.jpg"/>
    <m/>
    <m/>
  </r>
  <r>
    <n v="45190935"/>
    <s v="A0058762939"/>
    <s v="Everlee"/>
    <s v="available"/>
    <d v="2025-07-13T00:00:00"/>
    <x v="4"/>
    <x v="1"/>
    <x v="1"/>
    <m/>
    <s v="Brown/Chocolate - with White"/>
    <s v="female"/>
    <x v="1"/>
    <s v="Med. 26-60 lbs (12-27 kg)"/>
    <m/>
    <s v="Yes"/>
    <s v="No"/>
    <s v="Yes"/>
    <s v="No"/>
    <s v="Unknown"/>
    <s v="No"/>
    <s v="Yes"/>
    <s v="Yes"/>
    <s v="Unknown"/>
    <m/>
    <m/>
    <m/>
    <m/>
    <s v="https://pet-uploads.adoptapet.com/a/1/6/1239693553.jpg"/>
    <s v="https://pet-uploads.adoptapet.com/1/c/5/1239693562.jpg"/>
    <s v="https://pet-uploads.adoptapet.com/3/a/c/1239693568.jpg"/>
    <m/>
    <m/>
  </r>
  <r>
    <n v="45190824"/>
    <s v="A0058688400"/>
    <s v="Julian"/>
    <s v="available"/>
    <d v="2025-07-13T00:00:00"/>
    <x v="0"/>
    <x v="1"/>
    <x v="4"/>
    <s v="Plott Hound"/>
    <s v="Brindle"/>
    <s v="male"/>
    <x v="1"/>
    <s v="Med. 26-60 lbs (12-27 kg)"/>
    <m/>
    <s v="Yes"/>
    <s v="Yes"/>
    <s v="Yes"/>
    <s v="No"/>
    <s v="Unknown"/>
    <s v="No"/>
    <s v="Yes"/>
    <s v="Yes"/>
    <s v="Yes"/>
    <s v="Meet Julian! üåçüêæ  If you're looking for a four-legged best friend to share life‚Äôs adventures, Julian is your guy!    This easygoing, happy pup is dog, cat, and kid friendly, and truly never has a bad day. With his sunny personality and love for people, Julian brings joy wherever he goes. He‚Äôs the kind of dog who just wants to be by your side‚Äîwhether you‚Äôre exploring the great outdoors or relaxing at home.    Julian is super adventurous and would thrive with an active person or family who‚Äôs ready to show him the world. He‚Äôs always up for a hike, a road trip, or just a walk around the neighborhood‚Äîas long as he gets to do it with you.    Friendly, loyal, and full of life, Julian is ready to be your ultimate adventure buddy and forever friend. Come meet him and start your next great journey together! üíô"/>
    <m/>
    <m/>
    <m/>
    <s v="https://pet-uploads.adoptapet.com/b/9/1/1239690916.jpg"/>
    <s v="https://pet-uploads.adoptapet.com/3/8/f/1239690925.jpg"/>
    <s v="https://pet-uploads.adoptapet.com/f/7/3/1239690931.jpg"/>
    <m/>
    <m/>
  </r>
  <r>
    <n v="45190904"/>
    <s v="A0058748347"/>
    <s v="Karma [Foster Home]"/>
    <s v="available"/>
    <d v="2025-07-13T00:00:00"/>
    <x v="0"/>
    <x v="1"/>
    <x v="10"/>
    <s v="Weimaraner"/>
    <s v="Gray/Silver/Salt &amp; Pepper - with White"/>
    <s v="female"/>
    <x v="1"/>
    <s v="Med. 26-60 lbs (12-27 kg)"/>
    <m/>
    <s v="Yes"/>
    <s v="Yes"/>
    <s v="Yes"/>
    <s v="Yes"/>
    <s v="Unknown"/>
    <s v="No"/>
    <s v="Yes"/>
    <s v="Yes"/>
    <s v="Yes"/>
    <s v="Karma is truly everything you could ever want in a dog. She‚Äôs the sweetest, most loving, pure-hearted companion you‚Äôll ever meet. All Karma wants is to cuddle, snuggle, and be close to her people ‚Äî if she has a hand resting on her, she‚Äôs in her happy place.    This gentle girl is wonderfully well-mannered: she‚Äôs dog-friendly, cat-friendly, fully potty-trained, and doesn‚Äôt chew on things she shouldn‚Äôt. Karma has the softest, sweetest demeanor and loves nothing more than being your loyal shadow. Whether you‚Äôre relaxing on the couch, going for a walk, or just hanging out at home, Karma will be right by your side."/>
    <m/>
    <m/>
    <m/>
    <s v="https://pet-uploads.adoptapet.com/b/b/e/1239692765.jpg"/>
    <s v="https://pet-uploads.adoptapet.com/d/d/9/1239692774.jpg"/>
    <s v="https://pet-uploads.adoptapet.com/f/f/b/1239692780.jpg"/>
    <m/>
    <m/>
  </r>
  <r>
    <n v="45190901"/>
    <s v="A0058730783"/>
    <s v="Kim"/>
    <s v="available"/>
    <d v="2025-07-13T00:00:00"/>
    <x v="0"/>
    <x v="1"/>
    <x v="10"/>
    <s v="American Pit Bull Terrier"/>
    <s v="Black"/>
    <s v="female"/>
    <x v="1"/>
    <s v="Med. 26-60 lbs (12-27 kg)"/>
    <m/>
    <s v="Yes"/>
    <s v="Yes"/>
    <s v="Yes"/>
    <s v="No"/>
    <s v="Unknown"/>
    <s v="No"/>
    <s v="Yes"/>
    <s v="Yes"/>
    <s v="Unknown"/>
    <m/>
    <m/>
    <m/>
    <m/>
    <s v="https://pet-uploads.adoptapet.com/0/5/2/1239692686.jpg"/>
    <s v="https://pet-uploads.adoptapet.com/6/9/5/1239692695.jpg"/>
    <s v="https://pet-uploads.adoptapet.com/9/1/1/1239692701.jpg"/>
    <s v="https://pet-uploads.adoptapet.com/9/9/5/1239692707.jpg"/>
    <m/>
  </r>
  <r>
    <n v="45190195"/>
    <s v="A0058282132"/>
    <s v="Radar"/>
    <s v="available"/>
    <d v="2025-07-13T00:00:00"/>
    <x v="0"/>
    <x v="1"/>
    <x v="6"/>
    <s v="Cane Corso"/>
    <s v="Black"/>
    <s v="male"/>
    <x v="1"/>
    <s v="Large 61-100 lbs (28-45 kg)"/>
    <m/>
    <s v="Yes"/>
    <s v="Yes"/>
    <s v="Yes"/>
    <s v="No"/>
    <s v="Unknown"/>
    <s v="No"/>
    <s v="Yes"/>
    <s v="Yes"/>
    <s v="Unknown"/>
    <s v="Meet Radar! üêæ‚òÄÔ∏è  Radar came into the shelter with his brother Mario, but he‚Äôs a pretty independent guy who enjoys the company of others while often keeping to himself. He loves sunbathing, relaxing in the warmth, and quietly playing with his favorite toys.    Radar is looking for a calm, loving home where he can be someone‚Äôs loyal best friend. He would do best in a home without cats, where he can enjoy a peaceful, comfortable life.    If you‚Äôre searching for a gentle, low-key companion who marches to the beat of his own drum, Radar could be the perfect fit for you. üíô"/>
    <m/>
    <m/>
    <m/>
    <s v="https://pet-uploads.adoptapet.com/4/5/8/1239676235.jpg"/>
    <s v="https://pet-uploads.adoptapet.com/1/e/a/1239676244.jpg"/>
    <s v="https://pet-uploads.adoptapet.com/6/6/f/1239676255.jpg"/>
    <m/>
    <m/>
  </r>
  <r>
    <n v="45204856"/>
    <s v="A0058280488"/>
    <s v="Odin [Foster Home]"/>
    <s v="available"/>
    <d v="2025-07-15T00:00:00"/>
    <x v="0"/>
    <x v="1"/>
    <x v="12"/>
    <m/>
    <s v="Black - with Tan, Yellow or Fawn"/>
    <s v="male"/>
    <x v="1"/>
    <s v="Med. 26-60 lbs (12-27 kg)"/>
    <m/>
    <s v="Yes"/>
    <s v="Yes"/>
    <s v="Yes"/>
    <s v="Yes"/>
    <s v="Unknown"/>
    <s v="No"/>
    <s v="Yes"/>
    <s v="Yes"/>
    <s v="Unknown"/>
    <s v="Hi all, meet sweet Odin boy! Odin is a goofy, playful, and affectionate ham, who thrives  around other dogs. He would be the perfect doggy sibling, as Odin‚Äôs favorite activity is  convincing his foster sister that playtime is what life is all about. He loves walks, being  outside, and exploring all the smells, and he is the king of treats‚Äîpig ears are his  favorite, but peanut butter cups hold a close second place. Odin is fully crate and potty  trained, knows how to sit and stay, and is just days away from mastering a few other  commands.  Odin loves everyone he meets and always wants to be part of the fun‚Äîhe brightens  every room with his endearing personality and zest for cuddles, head scratches, and  toys. He would be an adorable and exciting addition to any family, and he‚Äôs ready to  bring his rich love and cuteness to his forever home! Adopt Odin today!"/>
    <m/>
    <m/>
    <m/>
    <s v="https://pet-uploads.adoptapet.com/3/d/d/1240045985.jpg"/>
    <s v="https://pet-uploads.adoptapet.com/1/a/e/1240045994.jpg"/>
    <s v="https://pet-uploads.adoptapet.com/9/b/2/1240046000.jpg"/>
    <s v="https://pet-uploads.adoptapet.com/2/e/d/1240046006.jpg"/>
    <m/>
  </r>
  <r>
    <n v="45310837"/>
    <s v="A0058436912"/>
    <s v="Dexter"/>
    <s v="available"/>
    <d v="2025-07-24T00:00:00"/>
    <x v="0"/>
    <x v="0"/>
    <x v="13"/>
    <m/>
    <s v="Gray, Blue or Silver Tabby"/>
    <s v="male"/>
    <x v="2"/>
    <m/>
    <s v="short"/>
    <s v="Unknown"/>
    <s v="Yes"/>
    <s v="Yes"/>
    <s v="Unknown"/>
    <s v="No"/>
    <s v="No"/>
    <s v="Yes"/>
    <s v="Unknown"/>
    <s v="Yes"/>
    <s v="Shy but curious. Shies away from touch, but not hissy or anything. Probably wouldn't thrive with young kids/a loud house. Loves toys and Churu! Can definitely entertain himself. Does well with other cats, especially Phillip (cage-mate), and is curious and reaching out to play with other cats while they're out. Would do best with a confident feline friend - took Phillip's lead and interacted with us more once he was. Going to be a big cat! Only 5-6 months old and is the size of the average teen/adult cat already."/>
    <m/>
    <m/>
    <m/>
    <s v="https://pet-uploads.adoptapet.com/3/f/9/1242433312.jpg"/>
    <s v="https://pet-uploads.adoptapet.com/d/e/2/1260187838.jpg"/>
    <s v="https://pet-uploads.adoptapet.com/6/4/5/1260187844.jpg"/>
    <m/>
    <m/>
  </r>
  <r>
    <n v="45345832"/>
    <s v="A0058815537"/>
    <s v="Brownie [Foster Home]"/>
    <s v="available"/>
    <d v="2025-07-28T00:00:00"/>
    <x v="0"/>
    <x v="1"/>
    <x v="1"/>
    <s v="Labrador Retriever"/>
    <s v="Brown/Chocolate - with White"/>
    <s v="female"/>
    <x v="0"/>
    <s v="Med. 26-60 lbs (12-27 kg)"/>
    <m/>
    <s v="Yes"/>
    <s v="Yes"/>
    <s v="Yes"/>
    <s v="No"/>
    <s v="Unknown"/>
    <s v="No"/>
    <s v="Yes"/>
    <s v="Yes"/>
    <s v="Unknown"/>
    <s v="This is Brownie.  She's about 5 months old and weighs 29 lbs. She's a curious, playful puppy who likes fetch and running around the yard.  She's great on a leash and loves playing with toys and her foster brother. She's working on potty and crate training and is very treat motivated. Come meet Brownie today!"/>
    <m/>
    <m/>
    <m/>
    <s v="https://pet-uploads.adoptapet.com/f/c/f/1243249368.jpg"/>
    <s v="https://pet-uploads.adoptapet.com/a/4/7/1243249380.jpg"/>
    <s v="https://pet-uploads.adoptapet.com/4/4/d/1246505925.jpg"/>
    <s v="https://pet-uploads.adoptapet.com/1/2/c/1246505931.jpg"/>
    <m/>
  </r>
  <r>
    <n v="45346652"/>
    <s v="A0058436930"/>
    <s v="Phillip"/>
    <s v="available"/>
    <d v="2025-07-28T00:00:00"/>
    <x v="0"/>
    <x v="0"/>
    <x v="0"/>
    <m/>
    <s v="White (Mostly)"/>
    <s v="male"/>
    <x v="2"/>
    <m/>
    <s v="short"/>
    <s v="Unknown"/>
    <s v="Yes"/>
    <s v="Yes"/>
    <s v="Unknown"/>
    <s v="No"/>
    <s v="No"/>
    <s v="Yes"/>
    <s v="Unknown"/>
    <s v="Yes"/>
    <s v="Curious - shy but braver than cage mate Dexter. Shies away from touch at first. Loves toys and Churu! Does well with other cats, especially Dexter (cage-mate), and is curious and reaching out to play with other cats while they're out. Going to be a big cat! Only 5-6 months old and is the size of the average teen/adult cat already. Wonderful thick fur - short haired but fluffy!"/>
    <m/>
    <m/>
    <m/>
    <s v="https://pet-uploads.adoptapet.com/9/f/b/1243269146.jpg"/>
    <s v="https://pet-uploads.adoptapet.com/8/5/b/1243269155.jpg"/>
    <s v="https://pet-uploads.adoptapet.com/c/f/d/1260188045.jpg"/>
    <s v="https://pet-uploads.adoptapet.com/8/b/1/1260188051.jpg"/>
    <m/>
  </r>
  <r>
    <n v="45346221"/>
    <s v="A0058760517"/>
    <s v="Tanya"/>
    <s v="available"/>
    <d v="2025-07-28T00:00:00"/>
    <x v="0"/>
    <x v="1"/>
    <x v="4"/>
    <s v="Labrador Retriever"/>
    <s v="Tan/Yellow/Fawn - with Black"/>
    <s v="female"/>
    <x v="3"/>
    <s v="Med. 26-60 lbs (12-27 kg)"/>
    <m/>
    <s v="Yes"/>
    <s v="Yes"/>
    <s v="Yes"/>
    <s v="No"/>
    <s v="Unknown"/>
    <s v="No"/>
    <s v="Yes"/>
    <s v="Yes"/>
    <s v="Unknown"/>
    <m/>
    <m/>
    <m/>
    <m/>
    <s v="https://pet-uploads.adoptapet.com/6/8/a/1243258499.jpg"/>
    <s v="https://pet-uploads.adoptapet.com/2/0/4/1243258526.jpg"/>
    <s v="https://pet-uploads.adoptapet.com/7/8/4/1243258541.jpg"/>
    <m/>
    <m/>
  </r>
  <r>
    <n v="45376835"/>
    <s v="A0055486470"/>
    <s v="Mafia [Barn Cat]"/>
    <s v="available"/>
    <d v="2025-07-31T00:00:00"/>
    <x v="0"/>
    <x v="0"/>
    <x v="0"/>
    <m/>
    <s v="Gray, Blue or Silver Tabby"/>
    <s v="male"/>
    <x v="1"/>
    <m/>
    <s v="short"/>
    <s v="Unknown"/>
    <s v="Yes"/>
    <s v="Yes"/>
    <s v="Unknown"/>
    <s v="No"/>
    <s v="No"/>
    <s v="Unknown"/>
    <s v="Unknown"/>
    <s v="Yes"/>
    <m/>
    <m/>
    <m/>
    <m/>
    <s v="https://pet-uploads.adoptapet.com/0/2/a/1243925992.jpg"/>
    <m/>
    <m/>
    <m/>
    <m/>
  </r>
  <r>
    <n v="45376820"/>
    <s v="A0058224570"/>
    <s v="Midge [Barn Cat]"/>
    <s v="available"/>
    <d v="2025-07-31T00:00:00"/>
    <x v="0"/>
    <x v="0"/>
    <x v="14"/>
    <m/>
    <s v="All Black"/>
    <s v="male"/>
    <x v="0"/>
    <m/>
    <s v="medium"/>
    <s v="Unknown"/>
    <s v="Yes"/>
    <s v="Yes"/>
    <s v="Unknown"/>
    <s v="No"/>
    <s v="No"/>
    <s v="Unknown"/>
    <s v="Unknown"/>
    <s v="Yes"/>
    <m/>
    <m/>
    <m/>
    <m/>
    <s v="https://pet-uploads.adoptapet.com/d/5/3/1243925156.jpg"/>
    <m/>
    <m/>
    <m/>
    <m/>
  </r>
  <r>
    <n v="45472786"/>
    <s v="A0058873126"/>
    <s v="Gretchen"/>
    <s v="available"/>
    <d v="2025-08-08T00:00:00"/>
    <x v="0"/>
    <x v="1"/>
    <x v="1"/>
    <s v="American Staffordshire Terrier"/>
    <s v="Gray/Blue/Silver/Salt &amp; Pepper"/>
    <s v="female"/>
    <x v="0"/>
    <s v="Med. 26-60 lbs (12-27 kg)"/>
    <m/>
    <s v="Yes"/>
    <s v="Yes"/>
    <s v="Yes"/>
    <s v="No"/>
    <s v="Unknown"/>
    <s v="No"/>
    <s v="Yes"/>
    <s v="Yes"/>
    <s v="Unknown"/>
    <m/>
    <m/>
    <m/>
    <m/>
    <s v="https://pet-uploads.adoptapet.com/6/7/2/1246035495.jpg"/>
    <s v="https://pet-uploads.adoptapet.com/f/0/8/1246035521.jpg"/>
    <s v="https://pet-uploads.adoptapet.com/0/a/4/1246035536.jpg"/>
    <s v="https://pet-uploads.adoptapet.com/8/8/3/1246035551.jpg"/>
    <m/>
  </r>
  <r>
    <n v="45472762"/>
    <s v="A0058881642"/>
    <s v="Journey [Foster Home]"/>
    <s v="available"/>
    <d v="2025-08-08T00:00:00"/>
    <x v="0"/>
    <x v="1"/>
    <x v="15"/>
    <s v="Foxhound"/>
    <s v="Tricolor (Tan/Brown &amp; Black &amp; White)"/>
    <s v="male"/>
    <x v="1"/>
    <s v="Large 61-100 lbs (28-45 kg)"/>
    <m/>
    <s v="Yes"/>
    <s v="Yes"/>
    <s v="Yes"/>
    <s v="No"/>
    <s v="Unknown"/>
    <s v="No"/>
    <s v="Yes"/>
    <s v="Yes"/>
    <s v="Yes"/>
    <m/>
    <m/>
    <m/>
    <m/>
    <s v="https://pet-uploads.adoptapet.com/e/2/c/1246034809.jpg"/>
    <s v="https://pet-uploads.adoptapet.com/0/5/7/1246034818.jpg"/>
    <s v="https://pet-uploads.adoptapet.com/4/3/c/1246034824.jpg"/>
    <m/>
    <m/>
  </r>
  <r>
    <n v="45472546"/>
    <s v="A0058760472"/>
    <s v="Kirby"/>
    <s v="available"/>
    <d v="2025-08-08T00:00:00"/>
    <x v="0"/>
    <x v="1"/>
    <x v="3"/>
    <s v="Cane Corso"/>
    <s v="Gray/Silver/Salt &amp; Pepper - with White"/>
    <s v="male"/>
    <x v="1"/>
    <s v="Large 61-100 lbs (28-45 kg)"/>
    <m/>
    <s v="Yes"/>
    <s v="Yes"/>
    <s v="Yes"/>
    <s v="No"/>
    <s v="Unknown"/>
    <s v="No"/>
    <s v="Yes"/>
    <s v="Yes"/>
    <s v="Unknown"/>
    <m/>
    <m/>
    <m/>
    <m/>
    <s v="https://pet-uploads.adoptapet.com/8/3/2/1246029683.jpg"/>
    <s v="https://pet-uploads.adoptapet.com/6/9/1/1246029701.jpg"/>
    <s v="https://pet-uploads.adoptapet.com/8/f/6/1246029747.jpg"/>
    <m/>
    <m/>
  </r>
  <r>
    <n v="45472971"/>
    <s v="A0058922485"/>
    <s v="Landon"/>
    <s v="available"/>
    <d v="2025-08-08T00:00:00"/>
    <x v="0"/>
    <x v="1"/>
    <x v="16"/>
    <s v="American Pit Bull Terrier"/>
    <s v="Brown/Chocolate - with White"/>
    <s v="male"/>
    <x v="1"/>
    <s v="Med. 26-60 lbs (12-27 kg)"/>
    <m/>
    <s v="Yes"/>
    <s v="Yes"/>
    <s v="Yes"/>
    <s v="No"/>
    <s v="Unknown"/>
    <s v="No"/>
    <s v="Yes"/>
    <s v="Yes"/>
    <s v="Unknown"/>
    <m/>
    <m/>
    <m/>
    <m/>
    <s v="https://pet-uploads.adoptapet.com/4/e/f/1246038538.jpg"/>
    <s v="https://pet-uploads.adoptapet.com/1/8/8/1246038547.jpg"/>
    <s v="https://pet-uploads.adoptapet.com/3/7/8/1246038561.jpg"/>
    <s v="https://pet-uploads.adoptapet.com/6/6/b/1246038583.jpg"/>
    <m/>
  </r>
  <r>
    <n v="45472996"/>
    <s v="A0051746637"/>
    <s v="Ralph"/>
    <s v="available"/>
    <d v="2025-08-08T00:00:00"/>
    <x v="0"/>
    <x v="1"/>
    <x v="17"/>
    <s v="Labrador Retriever"/>
    <s v="White - with Black"/>
    <s v="male"/>
    <x v="1"/>
    <s v="Med. 26-60 lbs (12-27 kg)"/>
    <m/>
    <s v="Yes"/>
    <s v="Yes"/>
    <s v="Yes"/>
    <s v="No"/>
    <s v="Unknown"/>
    <s v="No"/>
    <s v="Yes"/>
    <s v="Yes"/>
    <s v="Unknown"/>
    <m/>
    <m/>
    <m/>
    <m/>
    <s v="https://pet-uploads.adoptapet.com/d/5/b/1246038970.jpg"/>
    <s v="https://pet-uploads.adoptapet.com/c/9/a/1246038979.jpg"/>
    <s v="https://pet-uploads.adoptapet.com/7/0/b/1246038985.jpg"/>
    <s v="https://pet-uploads.adoptapet.com/b/e/8/1246038991.jpg"/>
    <m/>
  </r>
  <r>
    <n v="45472654"/>
    <s v="A0058760527"/>
    <s v="Twister"/>
    <s v="available"/>
    <d v="2025-08-08T00:00:00"/>
    <x v="0"/>
    <x v="1"/>
    <x v="10"/>
    <m/>
    <s v="Black"/>
    <s v="male"/>
    <x v="1"/>
    <s v="Large 61-100 lbs (28-45 kg)"/>
    <m/>
    <s v="Yes"/>
    <s v="Yes"/>
    <s v="Yes"/>
    <s v="No"/>
    <s v="Unknown"/>
    <s v="No"/>
    <s v="Yes"/>
    <s v="Yes"/>
    <s v="Unknown"/>
    <m/>
    <m/>
    <m/>
    <m/>
    <s v="https://pet-uploads.adoptapet.com/1/5/0/1246032751.jpg"/>
    <s v="https://pet-uploads.adoptapet.com/9/c/3/1246032760.jpg"/>
    <s v="https://pet-uploads.adoptapet.com/1/1/f/1246032766.jpg"/>
    <s v="https://pet-uploads.adoptapet.com/5/a/2/1246032772.jpg"/>
    <m/>
  </r>
  <r>
    <n v="45472979"/>
    <s v="A0058904337"/>
    <s v="Yukiko [Foster Home]"/>
    <s v="available"/>
    <d v="2025-08-08T00:00:00"/>
    <x v="0"/>
    <x v="1"/>
    <x v="3"/>
    <s v="Labrador Retriever"/>
    <s v="Black - with Tan, Yellow or Fawn"/>
    <s v="female"/>
    <x v="0"/>
    <s v="Med. 26-60 lbs (12-27 kg)"/>
    <m/>
    <s v="Yes"/>
    <s v="Yes"/>
    <s v="Yes"/>
    <s v="No"/>
    <s v="Unknown"/>
    <s v="No"/>
    <s v="Yes"/>
    <s v="Yes"/>
    <s v="Unknown"/>
    <m/>
    <m/>
    <m/>
    <m/>
    <s v="https://pet-uploads.adoptapet.com/d/3/7/1246038754.jpg"/>
    <s v="https://pet-uploads.adoptapet.com/5/9/3/1246038763.jpg"/>
    <s v="https://pet-uploads.adoptapet.com/2/7/8/1246038769.jpg"/>
    <m/>
    <m/>
  </r>
  <r>
    <n v="45500251"/>
    <s v="A0058801624"/>
    <s v="Peyton [Foster Home]"/>
    <s v="available"/>
    <d v="2025-08-12T00:00:00"/>
    <x v="0"/>
    <x v="1"/>
    <x v="1"/>
    <s v="Corgi"/>
    <s v="White"/>
    <s v="male"/>
    <x v="1"/>
    <s v="Med. 26-60 lbs (12-27 kg)"/>
    <m/>
    <s v="Yes"/>
    <s v="Yes"/>
    <s v="Yes"/>
    <s v="Yes"/>
    <s v="Unknown"/>
    <s v="No"/>
    <s v="Yes"/>
    <s v="Yes"/>
    <s v="Yes"/>
    <s v="Peyton is adorable and playful.  He loves to snuggle and thrives with positive attention.  He is inquisitive and curious. Peyton is great with other dogs and cats.  He would be happy being in a single or multiple pet home. Peyton is crate trained.  He is working on his manners and basic commands.  Peyton walks well on a leash.  On occasion needs a little redirection.     Peyton would be a great addition to a loving home."/>
    <m/>
    <m/>
    <m/>
    <s v="https://pet-uploads.adoptapet.com/9/4/b/1246685578.jpg"/>
    <s v="https://pet-uploads.adoptapet.com/6/1/6/1246685587.jpg"/>
    <s v="https://pet-uploads.adoptapet.com/1/6/a/1246685593.jpg"/>
    <m/>
    <m/>
  </r>
  <r>
    <n v="45606391"/>
    <s v="A0059040305"/>
    <s v="Auggie"/>
    <s v="available"/>
    <d v="2025-08-21T00:00:00"/>
    <x v="0"/>
    <x v="1"/>
    <x v="6"/>
    <s v="Weimaraner"/>
    <s v="Gray/Silver/Salt &amp; Pepper - with White"/>
    <s v="male"/>
    <x v="0"/>
    <s v="Small 25 lbs (11 kg) or less"/>
    <m/>
    <s v="Yes"/>
    <s v="Yes"/>
    <s v="Yes"/>
    <s v="No"/>
    <s v="Unknown"/>
    <s v="No"/>
    <s v="Yes"/>
    <s v="Yes"/>
    <s v="Unknown"/>
    <m/>
    <m/>
    <m/>
    <m/>
    <s v="https://pet-uploads.adoptapet.com/a/c/4/1248908035.jpg"/>
    <s v="https://pet-uploads.adoptapet.com/7/0/0/1248908044.jpg"/>
    <s v="https://pet-uploads.adoptapet.com/7/1/a/1248908065.jpg"/>
    <s v="https://pet-uploads.adoptapet.com/1/5/0/1248908080.jpg"/>
    <m/>
  </r>
  <r>
    <n v="45606729"/>
    <s v="A0059026516"/>
    <s v="Lotus [Foster Home]"/>
    <s v="available"/>
    <d v="2025-08-21T00:00:00"/>
    <x v="0"/>
    <x v="1"/>
    <x v="6"/>
    <m/>
    <s v="Brown/Chocolate"/>
    <s v="male"/>
    <x v="0"/>
    <s v="Med. 26-60 lbs (12-27 kg)"/>
    <m/>
    <s v="Yes"/>
    <s v="Yes"/>
    <s v="Yes"/>
    <s v="No"/>
    <s v="Unknown"/>
    <s v="No"/>
    <s v="Yes"/>
    <s v="Yes"/>
    <s v="Unknown"/>
    <m/>
    <m/>
    <m/>
    <m/>
    <s v="https://pet-uploads.adoptapet.com/3/e/d/1248917122.jpg"/>
    <s v="https://pet-uploads.adoptapet.com/9/b/6/1248917135.jpg"/>
    <s v="https://pet-uploads.adoptapet.com/c/0/4/1248917146.jpg"/>
    <s v="https://pet-uploads.adoptapet.com/4/6/b/1248917152.jpg"/>
    <m/>
  </r>
  <r>
    <n v="45619106"/>
    <s v="A0058640772"/>
    <s v="Sushi"/>
    <s v="available"/>
    <d v="2025-08-22T00:00:00"/>
    <x v="0"/>
    <x v="0"/>
    <x v="13"/>
    <m/>
    <s v="Brown Tabby"/>
    <s v="female"/>
    <x v="2"/>
    <m/>
    <s v="short"/>
    <s v="Unknown"/>
    <s v="Yes"/>
    <s v="Yes"/>
    <s v="Unknown"/>
    <s v="No"/>
    <s v="No"/>
    <s v="Yes"/>
    <s v="Yes"/>
    <s v="Yes"/>
    <s v="Hi, my name is Sushi! I love to be loved. My human foster brother was 6 and carried me around like a baby. If you want a kitten who purrs like an engine, I‚Äôm your girl. If I‚Äôm not busy making biscuits on my bed, I‚Äôm sleeping on it. I‚Äôm a low-key kitten who is happiest curled up on my cat tower or next to you. I love my brother Trout, but it‚Äôs not required that I go home with him!"/>
    <m/>
    <m/>
    <m/>
    <s v="https://pet-uploads.adoptapet.com/5/b/9/1249180711.jpg"/>
    <s v="https://pet-uploads.adoptapet.com/e/2/4/1260195465.jpg"/>
    <m/>
    <m/>
    <m/>
  </r>
  <r>
    <n v="45619099"/>
    <s v="A0058640805"/>
    <s v="Trout"/>
    <s v="available"/>
    <d v="2025-08-22T00:00:00"/>
    <x v="0"/>
    <x v="0"/>
    <x v="0"/>
    <m/>
    <s v="Orange or Red"/>
    <s v="male"/>
    <x v="2"/>
    <m/>
    <s v="short"/>
    <s v="Unknown"/>
    <s v="Yes"/>
    <s v="Yes"/>
    <s v="Unknown"/>
    <s v="No"/>
    <s v="No"/>
    <s v="Yes"/>
    <s v="Yes"/>
    <s v="Yes"/>
    <s v="Hi, my name is Trout! If you‚Äôre looking for an entertaining kitten to keep you smiling all day with my antics, I‚Äôm your guy. I‚Äôm curious, I love to explore, and I love rolling around at your feet to get your attention. I‚Äôll tolerate being held, but I‚Äôll lie next to you and on your lap for as long as you allow it, purring away. In typical orange cat fashion, I will keep you entertained and laughing! I love my sister Sushi, but it‚Äôs not required that I go home with her!"/>
    <m/>
    <m/>
    <m/>
    <s v="https://pet-uploads.adoptapet.com/8/e/9/1249180370.jpg"/>
    <s v="https://pet-uploads.adoptapet.com/4/3/b/1260195789.jpg"/>
    <m/>
    <m/>
    <m/>
  </r>
  <r>
    <n v="45763878"/>
    <s v="A0054707397"/>
    <s v="Artemis"/>
    <s v="available"/>
    <d v="2025-09-05T00:00:00"/>
    <x v="0"/>
    <x v="1"/>
    <x v="6"/>
    <s v="American Bulldog"/>
    <s v="White - with Gray or Silver"/>
    <s v="female"/>
    <x v="1"/>
    <s v="Large 61-100 lbs (28-45 kg)"/>
    <m/>
    <s v="Yes"/>
    <s v="Yes"/>
    <s v="Yes"/>
    <s v="Yes"/>
    <s v="Unknown"/>
    <s v="No"/>
    <s v="Yes"/>
    <s v="Yes"/>
    <s v="Yes"/>
    <s v="Meet Artemis ‚Äì A Loyal Heart Looking for Home Again üêæ  Artemis is the kind of dog that leaves paw prints on your heart. This dog, kid, and cat friendly sweetheart once knew the comfort of a loving home‚Äîbut through no fault of her own, she‚Äôs back at the shelter, and she‚Äôs having a tough time understanding why.    Artemis is gentle, loyal, and deeply loving. She bonds closely with her people and other dogs, and truly misses being part of a family. She's confused and a little heartbroken in the shelter environment, but her sweet spirit still shines through.    She loves canine companions and would thrive in a home with other dogs. While she‚Äôs great with most animals, she prefers a home without livestock.    If you‚Äôre looking for a loyal companion who‚Äôs ready to give her whole heart, Artemis is ready to come home‚Äîand stay home‚Äîfor good this time"/>
    <m/>
    <m/>
    <m/>
    <s v="https://pet-uploads.adoptapet.com/0/e/1/1252382431.jpg"/>
    <s v="https://pet-uploads.adoptapet.com/c/d/3/1252382440.jpg"/>
    <s v="https://pet-uploads.adoptapet.com/5/5/6/1252382446.jpg"/>
    <m/>
    <m/>
  </r>
  <r>
    <n v="45763896"/>
    <s v="A0059021778"/>
    <s v="Craig"/>
    <s v="available"/>
    <d v="2025-09-05T00:00:00"/>
    <x v="0"/>
    <x v="1"/>
    <x v="16"/>
    <s v="American Bulldog"/>
    <s v="Black"/>
    <s v="male"/>
    <x v="1"/>
    <s v="Med. 26-60 lbs (12-27 kg)"/>
    <m/>
    <s v="Yes"/>
    <s v="Yes"/>
    <s v="Yes"/>
    <s v="No"/>
    <s v="Unknown"/>
    <s v="No"/>
    <s v="Yes"/>
    <s v="Yes"/>
    <s v="Unknown"/>
    <m/>
    <m/>
    <m/>
    <m/>
    <s v="https://pet-uploads.adoptapet.com/d/0/d/1252382980.jpg"/>
    <s v="https://pet-uploads.adoptapet.com/c/4/2/1252383006.jpg"/>
    <s v="https://pet-uploads.adoptapet.com/9/a/e/1252383012.jpg"/>
    <m/>
    <m/>
  </r>
  <r>
    <n v="45763997"/>
    <s v="A0059031537"/>
    <s v="Dingo [Foster Home]"/>
    <s v="available"/>
    <d v="2025-09-05T00:00:00"/>
    <x v="0"/>
    <x v="1"/>
    <x v="12"/>
    <s v="American Eskimo Dog"/>
    <s v="Tan/Yellow/Fawn - with White"/>
    <s v="male"/>
    <x v="0"/>
    <s v="Med. 26-60 lbs (12-27 kg)"/>
    <m/>
    <s v="Yes"/>
    <s v="Yes"/>
    <s v="Yes"/>
    <s v="No"/>
    <s v="Unknown"/>
    <s v="No"/>
    <s v="Yes"/>
    <s v="Yes"/>
    <s v="Unknown"/>
    <m/>
    <m/>
    <m/>
    <m/>
    <s v="https://pet-uploads.adoptapet.com/d/f/9/1252385716.jpg"/>
    <s v="https://pet-uploads.adoptapet.com/2/b/6/1252385725.jpg"/>
    <s v="https://pet-uploads.adoptapet.com/1/6/a/1252385731.jpg"/>
    <m/>
    <m/>
  </r>
  <r>
    <n v="45764004"/>
    <s v="A0059058634"/>
    <s v="Elliott"/>
    <s v="available"/>
    <d v="2025-09-05T00:00:00"/>
    <x v="0"/>
    <x v="1"/>
    <x v="6"/>
    <s v="American Pit Bull Terrier"/>
    <s v="Brown/Chocolate - with White"/>
    <s v="male"/>
    <x v="1"/>
    <s v="Med. 26-60 lbs (12-27 kg)"/>
    <m/>
    <s v="Yes"/>
    <s v="Yes"/>
    <s v="Yes"/>
    <s v="No"/>
    <s v="Unknown"/>
    <s v="No"/>
    <s v="Yes"/>
    <s v="Yes"/>
    <s v="Yes"/>
    <m/>
    <m/>
    <m/>
    <m/>
    <s v="https://pet-uploads.adoptapet.com/5/9/3/1252385988.jpg"/>
    <s v="https://pet-uploads.adoptapet.com/f/5/5/1252386011.jpg"/>
    <s v="https://pet-uploads.adoptapet.com/8/8/c/1252386031.jpg"/>
    <s v="https://pet-uploads.adoptapet.com/2/3/7/1252386037.jpg"/>
    <m/>
  </r>
  <r>
    <n v="45764020"/>
    <s v="A0059197919"/>
    <s v="Emmett"/>
    <s v="available"/>
    <d v="2025-09-05T00:00:00"/>
    <x v="0"/>
    <x v="1"/>
    <x v="18"/>
    <s v="Treeing Walker Coonhound"/>
    <s v="Tricolor (Tan/Brown &amp; Black &amp; White)"/>
    <s v="male"/>
    <x v="1"/>
    <s v="Med. 26-60 lbs (12-27 kg)"/>
    <m/>
    <s v="Yes"/>
    <s v="Yes"/>
    <s v="Yes"/>
    <s v="No"/>
    <s v="Unknown"/>
    <s v="No"/>
    <s v="Yes"/>
    <s v="Yes"/>
    <s v="Unknown"/>
    <m/>
    <m/>
    <m/>
    <m/>
    <s v="https://pet-uploads.adoptapet.com/7/6/1/1252386822.jpg"/>
    <s v="https://pet-uploads.adoptapet.com/4/7/a/1252386852.jpg"/>
    <s v="https://pet-uploads.adoptapet.com/6/f/0/1252386858.jpg"/>
    <s v="https://pet-uploads.adoptapet.com/9/b/7/1252386864.jpg"/>
    <m/>
  </r>
  <r>
    <n v="45764028"/>
    <s v="A0059218846"/>
    <s v="Feta"/>
    <s v="available"/>
    <d v="2025-09-05T00:00:00"/>
    <x v="0"/>
    <x v="1"/>
    <x v="19"/>
    <s v="Carolina Dog"/>
    <s v="White - with Tan, Yellow or Fawn"/>
    <s v="male"/>
    <x v="1"/>
    <s v="Med. 26-60 lbs (12-27 kg)"/>
    <m/>
    <s v="Yes"/>
    <s v="Yes"/>
    <s v="Yes"/>
    <s v="No"/>
    <s v="Unknown"/>
    <s v="No"/>
    <s v="Yes"/>
    <s v="Yes"/>
    <s v="Unknown"/>
    <m/>
    <m/>
    <m/>
    <m/>
    <s v="https://pet-uploads.adoptapet.com/2/e/4/1252387056.jpg"/>
    <s v="https://pet-uploads.adoptapet.com/8/a/9/1252387065.jpg"/>
    <s v="https://pet-uploads.adoptapet.com/1/d/2/1252387071.jpg"/>
    <s v="https://pet-uploads.adoptapet.com/f/3/a/1252387077.jpg"/>
    <m/>
  </r>
  <r>
    <n v="45767897"/>
    <s v="A0058620547"/>
    <s v="Judd [Foster Home]"/>
    <s v="available"/>
    <d v="2025-09-06T00:00:00"/>
    <x v="0"/>
    <x v="0"/>
    <x v="0"/>
    <m/>
    <s v="All Black"/>
    <s v="male"/>
    <x v="0"/>
    <m/>
    <s v="short"/>
    <s v="Unknown"/>
    <s v="Yes"/>
    <s v="Yes"/>
    <s v="Unknown"/>
    <s v="No"/>
    <s v="No"/>
    <s v="Yes"/>
    <s v="Yes"/>
    <s v="Yes"/>
    <s v="Judd lives in a foster home with [3] dogs and [1] cat and loves his fur siblings. He especially has became good friends with his cat foster sibling. Judd enjoys laying around and being apart of your day, as well as enjoying sunbathing on the screened in porch."/>
    <m/>
    <m/>
    <m/>
    <s v="https://pet-uploads.adoptapet.com/a/4/b/1252472959.jpg"/>
    <s v="https://pet-uploads.adoptapet.com/a/c/a/1252472968.jpg"/>
    <s v="https://pet-uploads.adoptapet.com/1/f/f/1252472974.jpg"/>
    <s v="https://pet-uploads.adoptapet.com/f/c/0/1252472993.jpg"/>
    <m/>
  </r>
  <r>
    <n v="45764063"/>
    <s v="A0059211510"/>
    <s v="Pocahontas [Foster To Adopt]"/>
    <s v="available"/>
    <d v="2025-09-06T00:00:00"/>
    <x v="0"/>
    <x v="1"/>
    <x v="10"/>
    <s v="Hound (Unknown Type)"/>
    <s v="Tan/Yellow/Fawn - with White"/>
    <s v="female"/>
    <x v="1"/>
    <s v="Large 61-100 lbs (28-45 kg)"/>
    <m/>
    <s v="Yes"/>
    <s v="Yes"/>
    <s v="Yes"/>
    <s v="No"/>
    <s v="Unknown"/>
    <s v="No"/>
    <s v="Yes"/>
    <s v="Yes"/>
    <s v="Unknown"/>
    <m/>
    <m/>
    <m/>
    <m/>
    <s v="https://pet-uploads.adoptapet.com/5/4/e/1252389049.jpg"/>
    <s v="https://pet-uploads.adoptapet.com/3/d/d/1252389058.jpg"/>
    <s v="https://pet-uploads.adoptapet.com/6/5/a/1252389064.jpg"/>
    <s v="https://pet-uploads.adoptapet.com/c/a/d/1252389070.jpg"/>
    <m/>
  </r>
  <r>
    <n v="45764075"/>
    <s v="A0059197970"/>
    <s v="Roux"/>
    <s v="available"/>
    <d v="2025-09-06T00:00:00"/>
    <x v="0"/>
    <x v="1"/>
    <x v="6"/>
    <s v="American Pit Bull Terrier"/>
    <s v="White - with Gray or Silver"/>
    <s v="female"/>
    <x v="1"/>
    <s v="Med. 26-60 lbs (12-27 kg)"/>
    <m/>
    <s v="Yes"/>
    <s v="No"/>
    <s v="Yes"/>
    <s v="No"/>
    <s v="Unknown"/>
    <s v="No"/>
    <s v="Yes"/>
    <s v="Yes"/>
    <s v="Unknown"/>
    <m/>
    <m/>
    <m/>
    <m/>
    <s v="https://pet-uploads.adoptapet.com/b/a/7/1252389214.jpg"/>
    <s v="https://pet-uploads.adoptapet.com/3/5/8/1252389223.jpg"/>
    <s v="https://pet-uploads.adoptapet.com/6/9/8/1252389229.jpg"/>
    <m/>
    <m/>
  </r>
  <r>
    <n v="45764080"/>
    <s v="A0059072755"/>
    <s v="Royal"/>
    <s v="available"/>
    <d v="2025-09-06T00:00:00"/>
    <x v="0"/>
    <x v="1"/>
    <x v="1"/>
    <s v="American Staffordshire Terrier"/>
    <s v="Red/Golden/Orange/Chestnut - with White"/>
    <s v="female"/>
    <x v="1"/>
    <s v="Med. 26-60 lbs (12-27 kg)"/>
    <m/>
    <s v="Yes"/>
    <s v="Yes"/>
    <s v="Yes"/>
    <s v="No"/>
    <s v="Unknown"/>
    <s v="No"/>
    <s v="Yes"/>
    <s v="Yes"/>
    <s v="Unknown"/>
    <m/>
    <m/>
    <m/>
    <m/>
    <s v="https://pet-uploads.adoptapet.com/0/e/b/1252389499.jpg"/>
    <s v="https://pet-uploads.adoptapet.com/b/6/8/1252389521.jpg"/>
    <s v="https://pet-uploads.adoptapet.com/1/6/d/1252389551.jpg"/>
    <s v="https://pet-uploads.adoptapet.com/d/a/f/1252389558.jpg"/>
    <m/>
  </r>
  <r>
    <n v="45793976"/>
    <s v="A0059040345"/>
    <s v="Deebo"/>
    <s v="available"/>
    <d v="2025-09-09T00:00:00"/>
    <x v="0"/>
    <x v="1"/>
    <x v="1"/>
    <s v="Plott Hound"/>
    <s v="Brindle"/>
    <s v="male"/>
    <x v="0"/>
    <s v="Med. 26-60 lbs (12-27 kg)"/>
    <m/>
    <s v="Yes"/>
    <s v="Yes"/>
    <s v="Yes"/>
    <s v="No"/>
    <s v="Unknown"/>
    <s v="No"/>
    <s v="Yes"/>
    <s v="Yes"/>
    <s v="Unknown"/>
    <m/>
    <m/>
    <m/>
    <m/>
    <s v="https://pet-uploads.adoptapet.com/e/0/d/1253088521.jpg"/>
    <s v="https://pet-uploads.adoptapet.com/5/4/c/1253088530.jpg"/>
    <s v="https://pet-uploads.adoptapet.com/7/5/7/1253088536.jpg"/>
    <s v="https://pet-uploads.adoptapet.com/2/a/9/1253088542.jpg"/>
    <m/>
  </r>
  <r>
    <n v="45968241"/>
    <s v="A0059233187"/>
    <s v="Captain Crunch [Foster Home]"/>
    <s v="available"/>
    <d v="2025-09-27T00:00:00"/>
    <x v="0"/>
    <x v="1"/>
    <x v="20"/>
    <s v="Golden Retriever"/>
    <s v="Tan/Yellow/Fawn"/>
    <s v="male"/>
    <x v="0"/>
    <s v="Med. 26-60 lbs (12-27 kg)"/>
    <m/>
    <s v="Yes"/>
    <s v="Yes"/>
    <s v="Yes"/>
    <s v="No"/>
    <s v="Unknown"/>
    <s v="No"/>
    <s v="Yes"/>
    <s v="Yes"/>
    <s v="Unknown"/>
    <m/>
    <m/>
    <m/>
    <m/>
    <s v="https://pet-uploads.adoptapet.com/8/a/8/1257075901.jpg"/>
    <s v="https://pet-uploads.adoptapet.com/0/1/c/1257075910.jpg"/>
    <s v="https://pet-uploads.adoptapet.com/8/7/1/1257075926.jpg"/>
    <m/>
    <m/>
  </r>
  <r>
    <n v="45970439"/>
    <s v="A0059240393"/>
    <s v="Cheech"/>
    <s v="available"/>
    <d v="2025-09-27T00:00:00"/>
    <x v="0"/>
    <x v="1"/>
    <x v="21"/>
    <s v="American Staffordshire Terrier"/>
    <s v="Tan/Yellow/Fawn - with Black"/>
    <s v="male"/>
    <x v="0"/>
    <s v="Med. 26-60 lbs (12-27 kg)"/>
    <m/>
    <s v="Yes"/>
    <s v="Yes"/>
    <s v="Yes"/>
    <s v="No"/>
    <s v="Unknown"/>
    <s v="No"/>
    <s v="Yes"/>
    <s v="Yes"/>
    <s v="Unknown"/>
    <m/>
    <m/>
    <m/>
    <m/>
    <s v="https://pet-uploads.adoptapet.com/0/0/d/1257120938.jpg"/>
    <s v="https://pet-uploads.adoptapet.com/2/9/8/1257120947.jpg"/>
    <s v="https://pet-uploads.adoptapet.com/c/0/7/1257120953.jpg"/>
    <s v="https://pet-uploads.adoptapet.com/6/6/4/1257120959.jpg"/>
    <m/>
  </r>
  <r>
    <n v="45968065"/>
    <s v="A0059193976"/>
    <s v="Claudia"/>
    <s v="available"/>
    <d v="2025-09-27T00:00:00"/>
    <x v="0"/>
    <x v="1"/>
    <x v="1"/>
    <s v="Labrador Retriever"/>
    <s v="White - with Tan, Yellow or Fawn"/>
    <s v="female"/>
    <x v="0"/>
    <s v="Med. 26-60 lbs (12-27 kg)"/>
    <m/>
    <s v="Yes"/>
    <s v="Yes"/>
    <s v="Yes"/>
    <s v="No"/>
    <s v="Unknown"/>
    <s v="No"/>
    <s v="Yes"/>
    <s v="Yes"/>
    <s v="Unknown"/>
    <m/>
    <m/>
    <m/>
    <m/>
    <s v="https://pet-uploads.adoptapet.com/d/b/4/1257072866.jpg"/>
    <s v="https://pet-uploads.adoptapet.com/e/e/9/1257072875.jpg"/>
    <s v="https://pet-uploads.adoptapet.com/6/2/e/1257072887.jpg"/>
    <s v="https://pet-uploads.adoptapet.com/1/0/9/1257072901.jpg"/>
    <m/>
  </r>
  <r>
    <n v="45970275"/>
    <s v="A0059350629"/>
    <s v="Homer"/>
    <s v="available"/>
    <d v="2025-09-27T00:00:00"/>
    <x v="0"/>
    <x v="1"/>
    <x v="21"/>
    <s v="Rhodesian Ridgeback"/>
    <s v="Tan/Yellow/Fawn - with Black"/>
    <s v="male"/>
    <x v="4"/>
    <s v="Med. 26-60 lbs (12-27 kg)"/>
    <m/>
    <s v="Yes"/>
    <s v="Yes"/>
    <s v="Yes"/>
    <s v="No"/>
    <s v="Unknown"/>
    <s v="No"/>
    <s v="Yes"/>
    <s v="Yes"/>
    <s v="Yes"/>
    <m/>
    <m/>
    <m/>
    <m/>
    <s v="https://pet-uploads.adoptapet.com/6/4/c/1257116664.jpg"/>
    <s v="https://pet-uploads.adoptapet.com/3/d/4/1257116732.jpg"/>
    <s v="https://pet-uploads.adoptapet.com/c/8/6/1257116770.jpg"/>
    <s v="https://pet-uploads.adoptapet.com/0/0/c/1257116839.jpg"/>
    <m/>
  </r>
  <r>
    <n v="45968028"/>
    <s v="A0058928950"/>
    <s v="Jovi"/>
    <s v="available"/>
    <d v="2025-09-27T00:00:00"/>
    <x v="0"/>
    <x v="1"/>
    <x v="4"/>
    <m/>
    <s v="Black - with Tan, Yellow or Fawn"/>
    <s v="female"/>
    <x v="1"/>
    <s v="Med. 26-60 lbs (12-27 kg)"/>
    <m/>
    <s v="Yes"/>
    <s v="No"/>
    <s v="Yes"/>
    <s v="No"/>
    <s v="Unknown"/>
    <s v="No"/>
    <s v="Yes"/>
    <s v="Yes"/>
    <s v="Unknown"/>
    <m/>
    <m/>
    <m/>
    <m/>
    <s v="https://pet-uploads.adoptapet.com/1/d/2/1257072204.jpg"/>
    <s v="https://pet-uploads.adoptapet.com/f/e/9/1257072213.jpg"/>
    <s v="https://pet-uploads.adoptapet.com/d/2/8/1257072219.jpg"/>
    <s v="https://pet-uploads.adoptapet.com/5/2/f/1257072225.jpg"/>
    <m/>
  </r>
  <r>
    <n v="45969286"/>
    <s v="A0058872904"/>
    <s v="Luca [Foster Home]"/>
    <s v="available"/>
    <d v="2025-09-27T00:00:00"/>
    <x v="0"/>
    <x v="1"/>
    <x v="22"/>
    <s v="Blue Heeler"/>
    <s v="Red/Golden/Orange/Chestnut - with White"/>
    <s v="male"/>
    <x v="1"/>
    <s v="Med. 26-60 lbs (12-27 kg)"/>
    <m/>
    <s v="Yes"/>
    <s v="Yes"/>
    <s v="Yes"/>
    <s v="No"/>
    <s v="Unknown"/>
    <s v="No"/>
    <s v="Yes"/>
    <s v="Yes"/>
    <s v="Unknown"/>
    <m/>
    <m/>
    <m/>
    <m/>
    <s v="https://pet-uploads.adoptapet.com/8/6/c/1257099046.jpg"/>
    <s v="https://pet-uploads.adoptapet.com/7/1/b/1257099055.jpg"/>
    <s v="https://pet-uploads.adoptapet.com/6/9/c/1257099061.jpg"/>
    <m/>
    <m/>
  </r>
  <r>
    <n v="45969536"/>
    <s v="A0059262241"/>
    <s v="Madre [Foster Home]"/>
    <s v="available"/>
    <d v="2025-09-27T00:00:00"/>
    <x v="0"/>
    <x v="1"/>
    <x v="2"/>
    <s v="American Staffordshire Terrier"/>
    <s v="Black - with White"/>
    <s v="female"/>
    <x v="1"/>
    <s v="Med. 26-60 lbs (12-27 kg)"/>
    <m/>
    <s v="Yes"/>
    <s v="No"/>
    <s v="Yes"/>
    <s v="No"/>
    <s v="Unknown"/>
    <s v="No"/>
    <s v="Yes"/>
    <s v="Yes"/>
    <s v="Unknown"/>
    <m/>
    <m/>
    <m/>
    <m/>
    <s v="https://pet-uploads.adoptapet.com/5/8/3/1257104606.jpg"/>
    <s v="https://pet-uploads.adoptapet.com/b/9/6/1257104615.jpg"/>
    <s v="https://pet-uploads.adoptapet.com/6/6/d/1257104621.jpg"/>
    <s v="https://pet-uploads.adoptapet.com/f/a/c/1257104627.jpg"/>
    <m/>
  </r>
  <r>
    <n v="45970242"/>
    <s v="A0059350618"/>
    <s v="Marge"/>
    <s v="available"/>
    <d v="2025-09-27T00:00:00"/>
    <x v="0"/>
    <x v="1"/>
    <x v="21"/>
    <s v="Rhodesian Ridgeback"/>
    <s v="Tan/Yellow/Fawn - with Black"/>
    <s v="male"/>
    <x v="4"/>
    <s v="Med. 26-60 lbs (12-27 kg)"/>
    <m/>
    <s v="Yes"/>
    <s v="Yes"/>
    <s v="Yes"/>
    <s v="No"/>
    <s v="Unknown"/>
    <s v="No"/>
    <s v="Yes"/>
    <s v="Yes"/>
    <s v="Yes"/>
    <m/>
    <m/>
    <m/>
    <m/>
    <s v="https://pet-uploads.adoptapet.com/a/d/d/1257115781.jpg"/>
    <s v="https://pet-uploads.adoptapet.com/1/7/2/1257115800.jpg"/>
    <s v="https://pet-uploads.adoptapet.com/c/4/3/1257115806.jpg"/>
    <s v="https://pet-uploads.adoptapet.com/8/7/3/1257115812.jpg"/>
    <m/>
  </r>
  <r>
    <n v="45969485"/>
    <s v="A0059250430"/>
    <s v="Mary [Foster Home]"/>
    <s v="available"/>
    <d v="2025-09-27T00:00:00"/>
    <x v="0"/>
    <x v="1"/>
    <x v="1"/>
    <s v="American Staffordshire Terrier"/>
    <s v="White"/>
    <s v="female"/>
    <x v="0"/>
    <s v="Med. 26-60 lbs (12-27 kg)"/>
    <m/>
    <s v="Yes"/>
    <s v="No"/>
    <s v="Yes"/>
    <s v="No"/>
    <s v="Unknown"/>
    <s v="No"/>
    <s v="Yes"/>
    <s v="Yes"/>
    <s v="Yes"/>
    <m/>
    <m/>
    <m/>
    <m/>
    <s v="https://pet-uploads.adoptapet.com/7/e/f/1257103481.jpg"/>
    <s v="https://pet-uploads.adoptapet.com/3/3/f/1257103493.jpg"/>
    <s v="https://pet-uploads.adoptapet.com/a/c/c/1257103503.jpg"/>
    <s v="https://pet-uploads.adoptapet.com/e/b/8/1257103514.jpg"/>
    <m/>
  </r>
  <r>
    <n v="45968036"/>
    <s v="A0058929883"/>
    <s v="Max"/>
    <s v="available"/>
    <d v="2025-09-27T00:00:00"/>
    <x v="0"/>
    <x v="1"/>
    <x v="4"/>
    <s v="Rottweiler"/>
    <s v="Black - with Tan, Yellow or Fawn"/>
    <s v="male"/>
    <x v="1"/>
    <s v="Large 61-100 lbs (28-45 kg)"/>
    <m/>
    <s v="Yes"/>
    <s v="Yes"/>
    <s v="Yes"/>
    <s v="No"/>
    <s v="Unknown"/>
    <s v="No"/>
    <s v="Yes"/>
    <s v="Yes"/>
    <s v="Unknown"/>
    <m/>
    <m/>
    <m/>
    <m/>
    <s v="https://pet-uploads.adoptapet.com/8/7/7/1257072384.jpg"/>
    <s v="https://pet-uploads.adoptapet.com/d/7/6/1257072393.jpg"/>
    <s v="https://pet-uploads.adoptapet.com/5/5/7/1257072423.jpg"/>
    <s v="https://pet-uploads.adoptapet.com/3/1/0/1257072440.jpg"/>
    <m/>
  </r>
  <r>
    <n v="45969340"/>
    <s v="A0059250424"/>
    <s v="Maya [Foster To Adopt]"/>
    <s v="available"/>
    <d v="2025-09-27T00:00:00"/>
    <x v="0"/>
    <x v="1"/>
    <x v="1"/>
    <s v="American Staffordshire Terrier"/>
    <s v="Brindle - with White"/>
    <s v="female"/>
    <x v="0"/>
    <s v="Med. 26-60 lbs (12-27 kg)"/>
    <m/>
    <s v="Yes"/>
    <s v="No"/>
    <s v="Yes"/>
    <s v="No"/>
    <s v="Unknown"/>
    <s v="No"/>
    <s v="Yes"/>
    <s v="Yes"/>
    <s v="Yes"/>
    <m/>
    <m/>
    <m/>
    <m/>
    <s v="https://pet-uploads.adoptapet.com/7/f/7/1257100323.jpg"/>
    <s v="https://pet-uploads.adoptapet.com/5/2/6/1257100332.jpg"/>
    <s v="https://pet-uploads.adoptapet.com/6/a/4/1257100338.jpg"/>
    <s v="https://pet-uploads.adoptapet.com/e/7/8/1257100351.jpg"/>
    <m/>
  </r>
  <r>
    <n v="45970198"/>
    <s v="A0059318148"/>
    <s v="Rooster"/>
    <s v="available"/>
    <d v="2025-09-27T00:00:00"/>
    <x v="0"/>
    <x v="1"/>
    <x v="15"/>
    <s v="Black and Tan Coonhound"/>
    <s v="Black - with Tan, Yellow or Fawn"/>
    <s v="male"/>
    <x v="1"/>
    <s v="Med. 26-60 lbs (12-27 kg)"/>
    <m/>
    <s v="Yes"/>
    <s v="Yes"/>
    <s v="Yes"/>
    <s v="No"/>
    <s v="Unknown"/>
    <s v="No"/>
    <s v="Yes"/>
    <s v="Yes"/>
    <s v="Unknown"/>
    <m/>
    <m/>
    <m/>
    <m/>
    <s v="https://pet-uploads.adoptapet.com/2/e/f/1257114724.jpg"/>
    <s v="https://pet-uploads.adoptapet.com/0/0/6/1257114733.jpg"/>
    <s v="https://pet-uploads.adoptapet.com/3/9/5/1257114739.jpg"/>
    <s v="https://pet-uploads.adoptapet.com/8/5/8/1257114745.jpg"/>
    <m/>
  </r>
  <r>
    <n v="45969530"/>
    <s v="A0059258024"/>
    <s v="Shells [Foster Home]"/>
    <s v="available"/>
    <d v="2025-09-27T00:00:00"/>
    <x v="0"/>
    <x v="1"/>
    <x v="6"/>
    <m/>
    <s v="Tan/Yellow/Fawn"/>
    <s v="female"/>
    <x v="1"/>
    <s v="Med. 26-60 lbs (12-27 kg)"/>
    <m/>
    <s v="Yes"/>
    <s v="No"/>
    <s v="Yes"/>
    <s v="No"/>
    <s v="Unknown"/>
    <s v="No"/>
    <s v="Yes"/>
    <s v="Yes"/>
    <s v="Unknown"/>
    <m/>
    <m/>
    <m/>
    <m/>
    <s v="https://pet-uploads.adoptapet.com/5/3/6/1257104418.jpg"/>
    <s v="https://pet-uploads.adoptapet.com/4/f/f/1257104427.jpg"/>
    <s v="https://pet-uploads.adoptapet.com/0/5/6/1257104433.jpg"/>
    <s v="https://pet-uploads.adoptapet.com/7/1/5/1257104439.jpg"/>
    <m/>
  </r>
  <r>
    <n v="45968103"/>
    <s v="A0059200388"/>
    <s v="Tramp"/>
    <s v="available"/>
    <d v="2025-09-27T00:00:00"/>
    <x v="0"/>
    <x v="1"/>
    <x v="1"/>
    <m/>
    <s v="Black"/>
    <s v="male"/>
    <x v="1"/>
    <s v="Med. 26-60 lbs (12-27 kg)"/>
    <m/>
    <s v="Yes"/>
    <s v="Yes"/>
    <s v="Yes"/>
    <s v="No"/>
    <s v="Unknown"/>
    <s v="No"/>
    <s v="Yes"/>
    <s v="Yes"/>
    <s v="Unknown"/>
    <m/>
    <m/>
    <m/>
    <m/>
    <s v="https://pet-uploads.adoptapet.com/b/0/a/1257074160.jpg"/>
    <s v="https://pet-uploads.adoptapet.com/0/f/3/1257074188.jpg"/>
    <s v="https://pet-uploads.adoptapet.com/2/b/1/1257074194.jpg"/>
    <m/>
    <m/>
  </r>
  <r>
    <n v="45968075"/>
    <s v="A0059055232"/>
    <s v="Vanna"/>
    <s v="available"/>
    <d v="2025-09-27T00:00:00"/>
    <x v="0"/>
    <x v="1"/>
    <x v="23"/>
    <s v="Jack Russell Terrier"/>
    <s v="White"/>
    <s v="female"/>
    <x v="0"/>
    <s v="Med. 26-60 lbs (12-27 kg)"/>
    <m/>
    <s v="Yes"/>
    <s v="No"/>
    <s v="Yes"/>
    <s v="No"/>
    <s v="Unknown"/>
    <s v="No"/>
    <s v="Yes"/>
    <s v="Yes"/>
    <s v="Unknown"/>
    <m/>
    <m/>
    <m/>
    <m/>
    <s v="https://pet-uploads.adoptapet.com/3/3/1/1257073113.jpg"/>
    <s v="https://pet-uploads.adoptapet.com/8/e/6/1257073122.jpg"/>
    <s v="https://pet-uploads.adoptapet.com/9/3/1/1257073142.jpg"/>
    <s v="https://pet-uploads.adoptapet.com/3/0/e/1257073149.jpg"/>
    <m/>
  </r>
  <r>
    <n v="46105050"/>
    <s v="A0058422062"/>
    <s v="Bee [Barn Cat]"/>
    <s v="available"/>
    <d v="2025-10-11T00:00:00"/>
    <x v="0"/>
    <x v="0"/>
    <x v="24"/>
    <m/>
    <s v="All Black"/>
    <s v="female"/>
    <x v="1"/>
    <m/>
    <s v="long"/>
    <s v="Unknown"/>
    <s v="Yes"/>
    <s v="Yes"/>
    <s v="Unknown"/>
    <s v="No"/>
    <s v="No"/>
    <s v="Unknown"/>
    <s v="Unknown"/>
    <s v="Yes"/>
    <m/>
    <m/>
    <m/>
    <m/>
    <s v="https://pet-uploads.adoptapet.com/e/a/c/1260188652.jpg"/>
    <m/>
    <m/>
    <m/>
    <m/>
  </r>
  <r>
    <n v="46106152"/>
    <s v="A0058657655"/>
    <s v="Bessie"/>
    <s v="available"/>
    <d v="2025-10-11T00:00:00"/>
    <x v="0"/>
    <x v="0"/>
    <x v="0"/>
    <m/>
    <s v="White (Mostly)"/>
    <s v="female"/>
    <x v="1"/>
    <m/>
    <s v="short"/>
    <s v="Unknown"/>
    <s v="Yes"/>
    <s v="Yes"/>
    <s v="Unknown"/>
    <s v="No"/>
    <s v="No"/>
    <s v="Yes"/>
    <s v="Unknown"/>
    <s v="Yes"/>
    <m/>
    <m/>
    <m/>
    <m/>
    <s v="https://pet-uploads.adoptapet.com/6/0/a/1260211327.jpg"/>
    <m/>
    <m/>
    <m/>
    <m/>
  </r>
  <r>
    <n v="46105251"/>
    <s v="A0058532682"/>
    <s v="Bowie"/>
    <s v="available"/>
    <d v="2025-10-11T00:00:00"/>
    <x v="0"/>
    <x v="0"/>
    <x v="13"/>
    <m/>
    <s v="Spotted Tabby/Leopard Spotted"/>
    <s v="male"/>
    <x v="0"/>
    <m/>
    <s v="short"/>
    <s v="Unknown"/>
    <s v="Yes"/>
    <s v="Yes"/>
    <s v="Unknown"/>
    <s v="No"/>
    <s v="No"/>
    <s v="Yes"/>
    <s v="Unknown"/>
    <s v="Yes"/>
    <m/>
    <m/>
    <m/>
    <m/>
    <s v="https://pet-uploads.adoptapet.com/3/4/c/1260193343.jpg"/>
    <s v="https://pet-uploads.adoptapet.com/2/e/6/1260193373.jpg"/>
    <s v="https://pet-uploads.adoptapet.com/b/a/7/1260193385.jpg"/>
    <s v="https://pet-uploads.adoptapet.com/4/b/6/1260193391.jpg"/>
    <m/>
  </r>
  <r>
    <n v="46105343"/>
    <s v="A0058368673"/>
    <s v="Edith [Barn Cat]"/>
    <s v="available"/>
    <d v="2025-10-11T00:00:00"/>
    <x v="0"/>
    <x v="0"/>
    <x v="14"/>
    <m/>
    <s v="All Black"/>
    <s v="female"/>
    <x v="1"/>
    <m/>
    <s v="medium"/>
    <s v="Unknown"/>
    <s v="Yes"/>
    <s v="Yes"/>
    <s v="Unknown"/>
    <s v="No"/>
    <s v="No"/>
    <s v="Unknown"/>
    <s v="Unknown"/>
    <s v="Yes"/>
    <m/>
    <m/>
    <m/>
    <m/>
    <s v="https://pet-uploads.adoptapet.com/5/5/c/1260195914.jpg"/>
    <m/>
    <m/>
    <m/>
    <m/>
  </r>
  <r>
    <n v="46105322"/>
    <s v="A0055525300"/>
    <s v="Gabber [Barn Cat]"/>
    <s v="available"/>
    <d v="2025-10-11T00:00:00"/>
    <x v="0"/>
    <x v="0"/>
    <x v="0"/>
    <m/>
    <s v="Gray or Blue (Mostly)"/>
    <s v="female"/>
    <x v="1"/>
    <m/>
    <s v="short"/>
    <s v="Unknown"/>
    <s v="Yes"/>
    <s v="Yes"/>
    <s v="Unknown"/>
    <s v="No"/>
    <s v="No"/>
    <s v="Unknown"/>
    <s v="Unknown"/>
    <s v="Yes"/>
    <m/>
    <m/>
    <m/>
    <m/>
    <s v="https://pet-uploads.adoptapet.com/c/d/b/1260195309.jpg"/>
    <m/>
    <m/>
    <m/>
    <m/>
  </r>
  <r>
    <n v="46105354"/>
    <s v="A0058345817"/>
    <s v="Leah [Barn Cat]"/>
    <s v="available"/>
    <d v="2025-10-11T00:00:00"/>
    <x v="0"/>
    <x v="0"/>
    <x v="24"/>
    <m/>
    <s v="All Black"/>
    <s v="female"/>
    <x v="1"/>
    <m/>
    <s v="long"/>
    <s v="Unknown"/>
    <s v="Yes"/>
    <s v="Yes"/>
    <s v="Unknown"/>
    <s v="No"/>
    <s v="No"/>
    <s v="Unknown"/>
    <s v="Unknown"/>
    <s v="Yes"/>
    <m/>
    <m/>
    <m/>
    <m/>
    <s v="https://pet-uploads.adoptapet.com/b/8/5/1260196088.jpg"/>
    <m/>
    <m/>
    <m/>
    <m/>
  </r>
  <r>
    <n v="46105301"/>
    <s v="A0059085846"/>
    <s v="Leo"/>
    <s v="available"/>
    <d v="2025-10-11T00:00:00"/>
    <x v="0"/>
    <x v="0"/>
    <x v="13"/>
    <m/>
    <s v="Brown Tabby"/>
    <s v="male"/>
    <x v="1"/>
    <m/>
    <s v="short"/>
    <s v="Unknown"/>
    <s v="Yes"/>
    <s v="Yes"/>
    <s v="Unknown"/>
    <s v="No"/>
    <s v="No"/>
    <s v="Yes"/>
    <s v="Unknown"/>
    <s v="Yes"/>
    <s v="What an interesting little owl. Such huge eyes! He's a very distinguished gentleman and is less amused by silly tricks than the kittens are. I definitely need to spend more time with him! Came from a home with many animals, and doesn't seem annoyed by the other cats. He's curious about his surroundings and isn't shut down, but also wasn't overly eager to interact beyond sniffing me."/>
    <m/>
    <m/>
    <m/>
    <s v="https://pet-uploads.adoptapet.com/2/1/e/1260194810.jpg"/>
    <s v="https://pet-uploads.adoptapet.com/f/e/e/1260194819.jpg"/>
    <s v="https://pet-uploads.adoptapet.com/2/f/4/1260194835.jpg"/>
    <s v="https://pet-uploads.adoptapet.com/1/9/6/1260194841.jpg"/>
    <m/>
  </r>
  <r>
    <n v="46106073"/>
    <s v="A0059066282"/>
    <s v="Mary Jane [Barn Cat]"/>
    <s v="available"/>
    <d v="2025-10-11T00:00:00"/>
    <x v="0"/>
    <x v="0"/>
    <x v="14"/>
    <m/>
    <s v="White (Mostly)"/>
    <s v="female"/>
    <x v="0"/>
    <m/>
    <s v="medium"/>
    <s v="Unknown"/>
    <s v="Yes"/>
    <s v="Yes"/>
    <s v="Unknown"/>
    <s v="No"/>
    <s v="No"/>
    <s v="Unknown"/>
    <s v="Unknown"/>
    <s v="Yes"/>
    <m/>
    <m/>
    <m/>
    <m/>
    <s v="https://pet-uploads.adoptapet.com/e/d/8/1260209478.jpg"/>
    <m/>
    <m/>
    <m/>
    <m/>
  </r>
  <r>
    <n v="46105255"/>
    <s v="A0058532837"/>
    <s v="Rain"/>
    <s v="available"/>
    <d v="2025-10-11T00:00:00"/>
    <x v="0"/>
    <x v="0"/>
    <x v="13"/>
    <m/>
    <s v="Tan or Fawn (Mostly)"/>
    <s v="female"/>
    <x v="2"/>
    <m/>
    <s v="short"/>
    <s v="Unknown"/>
    <s v="Yes"/>
    <s v="Yes"/>
    <s v="Unknown"/>
    <s v="No"/>
    <s v="No"/>
    <s v="Yes"/>
    <s v="Unknown"/>
    <s v="Yes"/>
    <m/>
    <m/>
    <m/>
    <m/>
    <s v="https://pet-uploads.adoptapet.com/f/b/6/1260193498.jpg"/>
    <s v="https://pet-uploads.adoptapet.com/d/1/7/1260193507.jpg"/>
    <s v="https://pet-uploads.adoptapet.com/e/5/a/1260193513.jpg"/>
    <m/>
    <m/>
  </r>
  <r>
    <n v="46105288"/>
    <s v="A0058679788"/>
    <s v="Trinity"/>
    <s v="available"/>
    <d v="2025-10-11T00:00:00"/>
    <x v="0"/>
    <x v="0"/>
    <x v="0"/>
    <m/>
    <s v="White (Mostly)"/>
    <s v="female"/>
    <x v="0"/>
    <m/>
    <s v="short"/>
    <s v="Unknown"/>
    <s v="Yes"/>
    <s v="Yes"/>
    <s v="Unknown"/>
    <s v="No"/>
    <s v="No"/>
    <s v="Yes"/>
    <s v="Unknown"/>
    <s v="Yes"/>
    <m/>
    <m/>
    <m/>
    <m/>
    <s v="https://pet-uploads.adoptapet.com/8/d/4/1260194394.jpg"/>
    <s v="https://pet-uploads.adoptapet.com/c/6/8/1260194403.jpg"/>
    <s v="https://pet-uploads.adoptapet.com/d/a/8/1260194409.jpg"/>
    <m/>
    <m/>
  </r>
  <r>
    <n v="46106131"/>
    <s v="A0058640822"/>
    <s v="Zuko [Barn Cat]"/>
    <s v="available"/>
    <d v="2025-10-11T00:00:00"/>
    <x v="0"/>
    <x v="0"/>
    <x v="14"/>
    <m/>
    <s v="Tan or Fawn"/>
    <s v="male"/>
    <x v="1"/>
    <m/>
    <s v="medium"/>
    <s v="Unknown"/>
    <s v="Yes"/>
    <s v="Yes"/>
    <s v="Unknown"/>
    <s v="No"/>
    <s v="No"/>
    <s v="Unknown"/>
    <s v="Unknown"/>
    <s v="Yes"/>
    <m/>
    <m/>
    <m/>
    <m/>
    <s v="https://pet-uploads.adoptapet.com/4/c/c/1260210703.jpg"/>
    <m/>
    <m/>
    <m/>
    <m/>
  </r>
  <r>
    <n v="46184776"/>
    <s v="A0059407357"/>
    <s v="Bruno"/>
    <s v="available"/>
    <d v="2025-10-19T00:00:00"/>
    <x v="0"/>
    <x v="1"/>
    <x v="16"/>
    <s v="American Bulldog"/>
    <s v="Red/Golden/Orange/Chestnut - with White"/>
    <s v="male"/>
    <x v="1"/>
    <s v="Med. 26-60 lbs (12-27 kg)"/>
    <m/>
    <s v="Yes"/>
    <s v="No"/>
    <s v="Yes"/>
    <s v="No"/>
    <s v="Unknown"/>
    <s v="No"/>
    <s v="Yes"/>
    <s v="Yes"/>
    <s v="Unknown"/>
    <m/>
    <m/>
    <m/>
    <m/>
    <s v="https://pet-uploads.adoptapet.com/f/c/1/1262037686.jpg"/>
    <s v="https://pet-uploads.adoptapet.com/c/2/b/1262037718.jpg"/>
    <s v="https://pet-uploads.adoptapet.com/a/4/9/1262037734.jpg"/>
    <m/>
    <m/>
  </r>
  <r>
    <n v="46184787"/>
    <s v="A0059445995"/>
    <s v="Deeno"/>
    <s v="available"/>
    <d v="2025-10-19T00:00:00"/>
    <x v="0"/>
    <x v="1"/>
    <x v="5"/>
    <s v="Labrador Retriever"/>
    <s v="Tan/Yellow/Fawn"/>
    <s v="male"/>
    <x v="1"/>
    <s v="Large 61-100 lbs (28-45 kg)"/>
    <m/>
    <s v="Yes"/>
    <s v="No"/>
    <s v="Yes"/>
    <s v="No"/>
    <s v="Unknown"/>
    <s v="No"/>
    <s v="Yes"/>
    <s v="Yes"/>
    <s v="Unknown"/>
    <m/>
    <m/>
    <m/>
    <m/>
    <s v="https://pet-uploads.adoptapet.com/2/8/e/1262038000.jpg"/>
    <s v="https://pet-uploads.adoptapet.com/a/1/2/1262038009.jpg"/>
    <s v="https://pet-uploads.adoptapet.com/9/8/0/1262038015.jpg"/>
    <s v="https://pet-uploads.adoptapet.com/c/b/9/1262038021.jpg"/>
    <m/>
  </r>
  <r>
    <n v="46184800"/>
    <s v="A0059531269"/>
    <s v="Earl"/>
    <s v="available"/>
    <d v="2025-10-19T00:00:00"/>
    <x v="0"/>
    <x v="1"/>
    <x v="25"/>
    <s v="Bluetick Coonhound"/>
    <s v="Black - with White"/>
    <s v="male"/>
    <x v="1"/>
    <s v="Large 61-100 lbs (28-45 kg)"/>
    <m/>
    <s v="Yes"/>
    <s v="Yes"/>
    <s v="Yes"/>
    <s v="No"/>
    <s v="Unknown"/>
    <s v="No"/>
    <s v="Yes"/>
    <s v="Yes"/>
    <s v="Unknown"/>
    <m/>
    <m/>
    <m/>
    <m/>
    <s v="https://pet-uploads.adoptapet.com/5/3/d/1262038321.jpg"/>
    <s v="https://pet-uploads.adoptapet.com/1/1/4/1262038330.jpg"/>
    <s v="https://pet-uploads.adoptapet.com/b/d/6/1262038336.jpg"/>
    <s v="https://pet-uploads.adoptapet.com/b/4/a/1262038342.jpg"/>
    <m/>
  </r>
  <r>
    <n v="46184805"/>
    <s v="A0059565213"/>
    <s v="Fufu"/>
    <s v="available"/>
    <d v="2025-10-19T00:00:00"/>
    <x v="0"/>
    <x v="1"/>
    <x v="15"/>
    <s v="Foxhound"/>
    <s v="Tricolor (Tan/Brown &amp; Black &amp; White)"/>
    <s v="female"/>
    <x v="1"/>
    <s v="Med. 26-60 lbs (12-27 kg)"/>
    <m/>
    <s v="Yes"/>
    <s v="No"/>
    <s v="Yes"/>
    <s v="No"/>
    <s v="Unknown"/>
    <s v="No"/>
    <s v="Yes"/>
    <s v="Yes"/>
    <s v="Unknown"/>
    <m/>
    <m/>
    <m/>
    <m/>
    <s v="https://pet-uploads.adoptapet.com/3/8/c/1262038528.jpg"/>
    <s v="https://pet-uploads.adoptapet.com/5/5/e/1262038537.jpg"/>
    <s v="https://pet-uploads.adoptapet.com/d/f/3/1262038543.jpg"/>
    <s v="https://pet-uploads.adoptapet.com/1/c/9/1262038549.jpg"/>
    <m/>
  </r>
  <r>
    <n v="46184679"/>
    <s v="A0059431975"/>
    <s v="Gomez"/>
    <s v="available"/>
    <d v="2025-10-19T00:00:00"/>
    <x v="0"/>
    <x v="1"/>
    <x v="10"/>
    <s v="Beagle"/>
    <s v="Black - with White"/>
    <s v="male"/>
    <x v="0"/>
    <s v="Med. 26-60 lbs (12-27 kg)"/>
    <m/>
    <s v="Yes"/>
    <s v="No"/>
    <s v="Yes"/>
    <s v="No"/>
    <s v="Unknown"/>
    <s v="No"/>
    <s v="Yes"/>
    <s v="Yes"/>
    <s v="Unknown"/>
    <m/>
    <m/>
    <m/>
    <m/>
    <s v="https://pet-uploads.adoptapet.com/6/9/7/1262035068.jpg"/>
    <s v="https://pet-uploads.adoptapet.com/9/4/4/1262035129.jpg"/>
    <s v="https://pet-uploads.adoptapet.com/8/b/8/1262035185.jpg"/>
    <s v="https://pet-uploads.adoptapet.com/f/c/d/1262035230.jpg"/>
    <m/>
  </r>
  <r>
    <n v="46184656"/>
    <s v="A0059304713"/>
    <s v="Gunner"/>
    <s v="available"/>
    <d v="2025-10-19T00:00:00"/>
    <x v="0"/>
    <x v="1"/>
    <x v="10"/>
    <m/>
    <s v="Black"/>
    <s v="male"/>
    <x v="1"/>
    <s v="Med. 26-60 lbs (12-27 kg)"/>
    <m/>
    <s v="Yes"/>
    <s v="Yes"/>
    <s v="Yes"/>
    <s v="No"/>
    <s v="Unknown"/>
    <s v="No"/>
    <s v="Yes"/>
    <s v="Yes"/>
    <s v="Unknown"/>
    <m/>
    <m/>
    <m/>
    <m/>
    <s v="https://pet-uploads.adoptapet.com/1/c/5/1262034717.jpg"/>
    <s v="https://pet-uploads.adoptapet.com/4/6/2/1262034726.jpg"/>
    <s v="https://pet-uploads.adoptapet.com/d/b/c/1262034732.jpg"/>
    <m/>
    <m/>
  </r>
  <r>
    <n v="46184864"/>
    <s v="A0059395399"/>
    <s v="Harry"/>
    <s v="available"/>
    <d v="2025-10-19T00:00:00"/>
    <x v="0"/>
    <x v="1"/>
    <x v="1"/>
    <s v="Labrador Retriever"/>
    <s v="Black - with White"/>
    <s v="male"/>
    <x v="0"/>
    <s v="Med. 26-60 lbs (12-27 kg)"/>
    <m/>
    <s v="Yes"/>
    <s v="No"/>
    <s v="Yes"/>
    <s v="No"/>
    <s v="Unknown"/>
    <s v="No"/>
    <s v="Yes"/>
    <s v="Yes"/>
    <s v="Unknown"/>
    <m/>
    <m/>
    <m/>
    <m/>
    <s v="https://pet-uploads.adoptapet.com/b/3/f/1262041327.jpg"/>
    <s v="https://pet-uploads.adoptapet.com/7/b/a/1262041377.jpg"/>
    <s v="https://pet-uploads.adoptapet.com/b/c/4/1262041396.jpg"/>
    <s v="https://pet-uploads.adoptapet.com/4/f/d/1262041402.jpg"/>
    <m/>
  </r>
  <r>
    <n v="46184910"/>
    <s v="A0059362072"/>
    <s v="Hershey"/>
    <s v="available"/>
    <d v="2025-10-19T00:00:00"/>
    <x v="0"/>
    <x v="1"/>
    <x v="25"/>
    <s v="Labrador Retriever"/>
    <s v="Brown/Chocolate"/>
    <s v="male"/>
    <x v="0"/>
    <s v="Med. 26-60 lbs (12-27 kg)"/>
    <m/>
    <s v="Yes"/>
    <s v="Yes"/>
    <s v="Yes"/>
    <s v="No"/>
    <s v="Unknown"/>
    <s v="No"/>
    <s v="Yes"/>
    <s v="Yes"/>
    <s v="Unknown"/>
    <m/>
    <m/>
    <m/>
    <m/>
    <s v="https://pet-uploads.adoptapet.com/b/f/2/1262042787.jpg"/>
    <s v="https://pet-uploads.adoptapet.com/a/9/c/1262042812.jpg"/>
    <s v="https://pet-uploads.adoptapet.com/7/c/6/1262042818.jpg"/>
    <s v="https://pet-uploads.adoptapet.com/6/b/d/1262042824.jpg"/>
    <m/>
  </r>
  <r>
    <n v="46184923"/>
    <s v="A0059354378"/>
    <s v="Java"/>
    <s v="available"/>
    <d v="2025-10-19T00:00:00"/>
    <x v="0"/>
    <x v="1"/>
    <x v="10"/>
    <s v="Hound (Unknown Type)"/>
    <s v="Brown/Chocolate - with Black"/>
    <s v="male"/>
    <x v="0"/>
    <s v="Med. 26-60 lbs (12-27 kg)"/>
    <m/>
    <s v="Yes"/>
    <s v="Yes"/>
    <s v="Yes"/>
    <s v="No"/>
    <s v="Unknown"/>
    <s v="No"/>
    <s v="Yes"/>
    <s v="Yes"/>
    <s v="Unknown"/>
    <m/>
    <m/>
    <m/>
    <m/>
    <s v="https://pet-uploads.adoptapet.com/d/d/8/1262043132.jpg"/>
    <s v="https://pet-uploads.adoptapet.com/a/7/e/1262043141.jpg"/>
    <s v="https://pet-uploads.adoptapet.com/4/0/6/1262043147.jpg"/>
    <s v="https://pet-uploads.adoptapet.com/a/e/3/1262043153.jpg"/>
    <m/>
  </r>
  <r>
    <n v="46184930"/>
    <s v="A0059288140"/>
    <s v="Lainey"/>
    <s v="available"/>
    <d v="2025-10-19T00:00:00"/>
    <x v="0"/>
    <x v="1"/>
    <x v="1"/>
    <s v="American Bulldog"/>
    <s v="Tan/Yellow/Fawn - with White"/>
    <s v="female"/>
    <x v="0"/>
    <s v="Med. 26-60 lbs (12-27 kg)"/>
    <m/>
    <s v="Yes"/>
    <s v="Yes"/>
    <s v="Yes"/>
    <s v="No"/>
    <s v="Unknown"/>
    <s v="No"/>
    <s v="Yes"/>
    <s v="Yes"/>
    <s v="Unknown"/>
    <m/>
    <m/>
    <m/>
    <m/>
    <s v="https://pet-uploads.adoptapet.com/c/0/3/1262043715.jpg"/>
    <s v="https://pet-uploads.adoptapet.com/a/9/9/1262043724.jpg"/>
    <s v="https://pet-uploads.adoptapet.com/c/a/6/1262043730.jpg"/>
    <s v="https://pet-uploads.adoptapet.com/9/3/e/1262043736.jpg"/>
    <m/>
  </r>
  <r>
    <n v="46184949"/>
    <s v="A0059340484"/>
    <s v="Moana"/>
    <s v="available"/>
    <d v="2025-10-19T00:00:00"/>
    <x v="0"/>
    <x v="1"/>
    <x v="4"/>
    <s v="Chow Chow"/>
    <s v="Red/Golden/Orange/Chestnut"/>
    <s v="female"/>
    <x v="0"/>
    <s v="Med. 26-60 lbs (12-27 kg)"/>
    <m/>
    <s v="Yes"/>
    <s v="Yes"/>
    <s v="Yes"/>
    <s v="No"/>
    <s v="Unknown"/>
    <s v="No"/>
    <s v="Yes"/>
    <s v="Yes"/>
    <s v="Unknown"/>
    <m/>
    <m/>
    <m/>
    <m/>
    <s v="https://pet-uploads.adoptapet.com/c/5/c/1262044120.jpg"/>
    <s v="https://pet-uploads.adoptapet.com/c/8/e/1262044129.jpg"/>
    <s v="https://pet-uploads.adoptapet.com/a/2/0/1262044135.jpg"/>
    <s v="https://pet-uploads.adoptapet.com/4/8/0/1262044141.jpg"/>
    <m/>
  </r>
  <r>
    <n v="46184619"/>
    <s v="A0059055106"/>
    <s v="Reno"/>
    <s v="available"/>
    <d v="2025-10-19T00:00:00"/>
    <x v="0"/>
    <x v="1"/>
    <x v="1"/>
    <s v="American Staffordshire Terrier"/>
    <s v="White - with Red, Golden, Orange or Chestnut"/>
    <s v="male"/>
    <x v="1"/>
    <s v="Med. 26-60 lbs (12-27 kg)"/>
    <m/>
    <s v="Yes"/>
    <s v="Yes"/>
    <s v="Yes"/>
    <s v="No"/>
    <s v="Unknown"/>
    <s v="No"/>
    <s v="Yes"/>
    <s v="Yes"/>
    <s v="Unknown"/>
    <m/>
    <m/>
    <m/>
    <m/>
    <s v="https://pet-uploads.adoptapet.com/3/e/f/1262033887.jpg"/>
    <s v="https://pet-uploads.adoptapet.com/7/1/e/1262033896.jpg"/>
    <s v="https://pet-uploads.adoptapet.com/b/3/5/1262033902.jpg"/>
    <m/>
    <m/>
  </r>
  <r>
    <n v="46185064"/>
    <s v="A0059406803"/>
    <s v="Rocky"/>
    <s v="available"/>
    <d v="2025-10-19T00:00:00"/>
    <x v="0"/>
    <x v="1"/>
    <x v="1"/>
    <s v="Bulldog"/>
    <s v="Brindle - with White"/>
    <s v="male"/>
    <x v="1"/>
    <s v="Med. 26-60 lbs (12-27 kg)"/>
    <m/>
    <s v="Yes"/>
    <s v="No"/>
    <s v="Yes"/>
    <s v="No"/>
    <s v="Unknown"/>
    <s v="No"/>
    <s v="Yes"/>
    <s v="Yes"/>
    <s v="Unknown"/>
    <m/>
    <m/>
    <m/>
    <m/>
    <s v="https://pet-uploads.adoptapet.com/0/4/a/1262046644.jpg"/>
    <s v="https://pet-uploads.adoptapet.com/8/2/5/1262046653.jpg"/>
    <s v="https://pet-uploads.adoptapet.com/f/e/f/1262046659.jpg"/>
    <s v="https://pet-uploads.adoptapet.com/b/c/e/1262046665.jpg"/>
    <m/>
  </r>
  <r>
    <n v="46185077"/>
    <s v="A0059531197"/>
    <s v="Rufus"/>
    <s v="available"/>
    <d v="2025-10-19T00:00:00"/>
    <x v="0"/>
    <x v="1"/>
    <x v="25"/>
    <s v="Bluetick Coonhound"/>
    <s v="Black - with White"/>
    <s v="male"/>
    <x v="1"/>
    <s v="Med. 26-60 lbs (12-27 kg)"/>
    <m/>
    <s v="Yes"/>
    <s v="Yes"/>
    <s v="Yes"/>
    <s v="No"/>
    <s v="Unknown"/>
    <s v="No"/>
    <s v="Yes"/>
    <s v="Yes"/>
    <s v="Unknown"/>
    <m/>
    <m/>
    <m/>
    <m/>
    <s v="https://pet-uploads.adoptapet.com/d/3/8/1262047028.jpg"/>
    <s v="https://pet-uploads.adoptapet.com/3/3/1/1262047037.jpg"/>
    <s v="https://pet-uploads.adoptapet.com/9/8/e/1262047043.jpg"/>
    <s v="https://pet-uploads.adoptapet.com/b/8/6/1262047049.jpg"/>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x v="0"/>
    <n v="1"/>
    <m/>
    <s v="Chucky is proof that good things come to those who wait! After spending 11 long months at the shelter, this handsome brown-and-white Pittie/Bulldog mix is finally thriving in his Charleston foster home. Sweet, smart, and loyal, Chucky takes a little time to warm up—but once he does, he’s all heart. Playful and affectionate, he loves being part of a family and soaks up every bit of love and attention he can get. His gentle nature and goofy charm make him impossible not to adore. If you’re looking for a loyal companion who’s been waiting patiently for his happily-ever-after, Chucky is ready to give you all the love he’s been saving."/>
    <m/>
    <n v="414"/>
    <m/>
    <x v="0"/>
    <s v="Record Match"/>
    <n v="42938868"/>
    <s v="A0056684348"/>
    <s v="Chucky [Foster Home]"/>
    <s v="Chucky (J. Maher)"/>
    <s v="Chucky (J. Maher)"/>
    <s v="American Pit Bull Terrier"/>
    <s v="American Bulldog"/>
    <s v="Brown/Chocolate - with White"/>
    <s v="male"/>
    <s v="adult"/>
    <s v="Med. 26-60 lbs (12-27 kg)"/>
    <s v="Yes"/>
    <s v="Yes"/>
    <s v="Yes"/>
    <s v="No"/>
    <s v="No"/>
    <s v="Yes"/>
    <s v="Yes"/>
    <s v="Unknown"/>
    <s v="No"/>
    <s v="Available"/>
    <s v="Brown"/>
    <s v="Foster home"/>
    <s v="Stray/ACO Pickup / Drop Off"/>
    <d v="2024-09-04T10:03:00"/>
    <d v="2024-08-30T10:03:00"/>
    <n v="416"/>
    <n v="0"/>
    <s v="52.00 pound"/>
    <n v="3"/>
    <s v="231"/>
    <s v="571"/>
    <s v="3,697"/>
    <s v="1"/>
    <s v="23"/>
    <s v="433"/>
    <s v="0.4%"/>
  </r>
  <r>
    <x v="1"/>
    <n v="0"/>
    <m/>
    <m/>
    <m/>
    <n v="359.7"/>
    <m/>
    <x v="0"/>
    <s v="Record Match"/>
    <n v="43635040"/>
    <s v="A0057142369"/>
    <s v="Sebastian"/>
    <s v="Sebastian"/>
    <s v="Sebastian"/>
    <s v="Rottweiler"/>
    <n v="0"/>
    <s v="Black - with Brown, Red, Golden, Orange or Chestnut"/>
    <s v="male"/>
    <s v="adult"/>
    <s v="Large 61-100 lbs (28-45 kg)"/>
    <s v="No"/>
    <s v="Yes"/>
    <s v="Yes"/>
    <s v="No"/>
    <s v="No"/>
    <s v="Yes"/>
    <s v="Yes"/>
    <s v="Unknown"/>
    <s v="No"/>
    <s v="Available"/>
    <s v="Black"/>
    <s v="Holding Kennel"/>
    <s v="Stray/ACO Pickup / Drop Off"/>
    <d v="2024-10-28T18:55:00"/>
    <d v="2024-10-23T18:55:00"/>
    <n v="361.7"/>
    <n v="0"/>
    <s v="88.00 pound"/>
    <n v="3"/>
    <s v="1,455"/>
    <s v="3,794"/>
    <s v="6,492"/>
    <s v="12"/>
    <s v="76"/>
    <s v="1,182"/>
    <s v="0.8%"/>
  </r>
  <r>
    <x v="1"/>
    <n v="0"/>
    <m/>
    <m/>
    <m/>
    <n v="249.1"/>
    <m/>
    <x v="0"/>
    <s v="Record Match"/>
    <n v="44475813"/>
    <s v="A0057829377"/>
    <s v="Woodstock"/>
    <s v="Woodstock"/>
    <s v="Woodstock"/>
    <s v="American Staffordshire Terrier"/>
    <s v="American Pit Bull Terrier"/>
    <s v="Gray/Blue/Silver/Salt &amp; Pepper"/>
    <s v="male"/>
    <s v="adult"/>
    <s v="Large 61-100 lbs (28-45 kg)"/>
    <s v="Yes"/>
    <s v="Yes"/>
    <s v="Yes"/>
    <s v="No"/>
    <s v="No"/>
    <s v="Yes"/>
    <s v="Yes"/>
    <s v="Unknown"/>
    <s v="No"/>
    <s v="Available"/>
    <s v="Grey"/>
    <s v="Holding Kennel"/>
    <s v="Stray/ACO Pickup / Drop Off"/>
    <d v="2025-02-16T09:02:00"/>
    <d v="2025-02-11T09:02:00"/>
    <n v="251.1"/>
    <n v="0"/>
    <s v="62.00 pound"/>
    <n v="3"/>
    <s v="384"/>
    <s v="852"/>
    <s v="2,319"/>
    <s v="3"/>
    <s v="27"/>
    <s v="399"/>
    <s v="0.8%"/>
  </r>
  <r>
    <x v="0"/>
    <n v="1"/>
    <m/>
    <s v="Goose is a gentle giant with a heart as big as his paws. This handsome brindle Bullmastiff has a calm, mellow spirit and an independent streak that makes him easy to have around. He may be shy at first, but once he trusts you, Goose shows his soft, loyal side—a quiet companion who’s happiest just being near his people. He’s past the puppy chaos and prefers peaceful walks, cozy naps, and a calm home where he can feel safe and loved. If you’re looking for a loyal friend who asks for little but gives a lot in return, Goose is ready to waddle his way into your heart."/>
    <m/>
    <n v="239.9"/>
    <m/>
    <x v="0"/>
    <s v="Record Match"/>
    <n v="44937909"/>
    <s v="A0057718939"/>
    <s v="Goose"/>
    <s v="Goose"/>
    <s v="Goose"/>
    <s v="Bullmastiff"/>
    <n v="0"/>
    <s v="Brindle"/>
    <s v="male"/>
    <s v="adult"/>
    <s v="Large 61-100 lbs (28-45 kg)"/>
    <s v="Yes"/>
    <s v="Yes"/>
    <s v="Yes"/>
    <s v="No"/>
    <s v="No"/>
    <s v="Yes"/>
    <s v="Yes"/>
    <s v="Unknown"/>
    <s v="No"/>
    <s v="Available"/>
    <s v="Brindle"/>
    <s v="Holding Kennel"/>
    <s v="Return/Returned Adoption"/>
    <d v="1899-12-30T00:00:00"/>
    <d v="2025-02-20T13:00:00"/>
    <n v="241.9"/>
    <n v="0"/>
    <s v="69.00 pound"/>
    <n v="3"/>
    <s v="277"/>
    <s v="748"/>
    <s v="1,688"/>
    <s v="10"/>
    <s v="60"/>
    <s v="274"/>
    <s v="3.6%"/>
  </r>
  <r>
    <x v="0"/>
    <n v="1"/>
    <m/>
    <s v="Koko is a bundle of joy with a heart full of play! This beautiful blue Pit Bull mix is smart, sweet, and endlessly entertaining. She adores her toys—especially her beloved binky—and could play fetch for hours with a grin on her face. Koko’s goofy hops and frog-like pounces will have you laughing in no time, and her friendly personality makes her a hit with everyone she meets. Beneath her playful energy is a loyal, loving girl who’s happiest when she’s with her people (and her toys!). If you’re looking for a fun, affectionate companion who brings sunshine and smiles wherever she goes, Koko is your girl."/>
    <m/>
    <n v="191.9"/>
    <m/>
    <x v="0"/>
    <s v="Record Match"/>
    <n v="44938825"/>
    <s v="A0058276398"/>
    <s v="Koko"/>
    <s v="Koko"/>
    <s v="Koko"/>
    <s v="American Pit Bull Terrier"/>
    <n v="0"/>
    <s v="Gray/Blue/Silver/Salt &amp; Pepper"/>
    <s v="female"/>
    <s v="adult"/>
    <s v="Med. 26-60 lbs (12-27 kg)"/>
    <s v="Yes"/>
    <s v="Yes"/>
    <s v="Yes"/>
    <s v="No"/>
    <s v="No"/>
    <s v="Yes"/>
    <s v="Yes"/>
    <s v="Unknown"/>
    <s v="No"/>
    <s v="Available"/>
    <s v="Blue"/>
    <s v="Holding Kennel"/>
    <s v="Stray/ACO Pickup / Drop Off"/>
    <d v="2025-04-14T14:33:00"/>
    <d v="2025-04-09T14:33:00"/>
    <n v="193.9"/>
    <n v="0"/>
    <s v="40.00 pound"/>
    <n v="3"/>
    <s v="401"/>
    <s v="946"/>
    <s v="2,092"/>
    <s v="14"/>
    <s v="48"/>
    <s v="260"/>
    <s v="3.5%"/>
  </r>
  <r>
    <x v="0"/>
    <n v="1"/>
    <m/>
    <s v="Zorua is the definition of a gentle soul. This lovely black-and-white Pittie mix is as sweet and loyal as they come, with a heart that melts the moment you meet her. She’s laid-back and affectionate, happiest when she’s soaking up belly rubs or snuggling by your side for hours. Zorua is wonderful on the leash and loves a nice, calm evening walk followed by quiet time with her people. She’s the perfect mix of cuddly and composed—easy to love and even easier to live with. If you’re looking for a loving companion who will fill your days with warmth and your nights with cozy cuddles, Zorua is your girl."/>
    <m/>
    <n v="217.8"/>
    <m/>
    <x v="0"/>
    <s v="Record Match"/>
    <n v="44937929"/>
    <s v="A0058018080"/>
    <s v="Zorua [Foster Home]"/>
    <s v="Zorua (C. Lester)"/>
    <s v="Zorua (C. Lester)"/>
    <s v="American Staffordshire Terrier"/>
    <s v="American Pit Bull Terrier"/>
    <s v="Black - with White"/>
    <s v="female"/>
    <s v="adult"/>
    <s v="Med. 26-60 lbs (12-27 kg)"/>
    <s v="Yes"/>
    <s v="Yes"/>
    <s v="Yes"/>
    <s v="No"/>
    <s v="No"/>
    <s v="Yes"/>
    <s v="Yes"/>
    <s v="Unknown"/>
    <s v="No"/>
    <s v="Available"/>
    <s v="Black"/>
    <s v="Foster home"/>
    <s v="Stray/Public Drop Off"/>
    <d v="2025-03-19T15:07:00"/>
    <d v="2025-03-14T15:07:00"/>
    <n v="219.8"/>
    <n v="0"/>
    <s v="52.00 pound"/>
    <n v="3"/>
    <s v="400"/>
    <s v="912"/>
    <s v="1,947"/>
    <s v="5"/>
    <s v="25"/>
    <s v="191"/>
    <s v="1.2%"/>
  </r>
  <r>
    <x v="1"/>
    <n v="0"/>
    <m/>
    <m/>
    <m/>
    <n v="123.9"/>
    <m/>
    <x v="0"/>
    <s v="Record Match"/>
    <n v="45190855"/>
    <s v="A0058719090"/>
    <s v="Ava Grace"/>
    <s v="Ava Grace"/>
    <s v="Ava Grace"/>
    <s v="American Staffordshire Terrier"/>
    <s v="Cane Corso"/>
    <s v="Brindle - with White"/>
    <s v="female"/>
    <s v="adult"/>
    <s v="Large 61-100 lbs (28-45 kg)"/>
    <s v="Yes"/>
    <s v="Yes"/>
    <s v="Yes"/>
    <s v="No"/>
    <s v="No"/>
    <s v="Yes"/>
    <s v="Yes"/>
    <s v="Unknown"/>
    <s v="No"/>
    <s v="Available"/>
    <s v="Brown"/>
    <s v="Holding Kennel"/>
    <s v="Stray/Police Pickup / Drop Off"/>
    <d v="2025-06-21T13:18:00"/>
    <d v="2025-06-16T13:18:00"/>
    <n v="125.9"/>
    <n v="0"/>
    <s v="81.00 pound"/>
    <n v="3"/>
    <s v="409"/>
    <s v="911"/>
    <s v="1,599"/>
    <s v="25"/>
    <s v="36"/>
    <s v="191"/>
    <s v="6.1%"/>
  </r>
  <r>
    <x v="0"/>
    <n v="1"/>
    <m/>
    <s v="Cole is the total package—sweet, social, and full of life! This handsome black Lab/Hound mix is a gentle playmate who gets along wonderfully with other dogs, cats, and even kids. He loves to run, chase, and explore outside, but he’s just as happy curling up for cuddles afterward. Cole has an easygoing, playful energy and a soft heart that makes him a joy to be around. He rides great in the car, walks nicely on a leash, and always brings a little sunshine wherever he goes. If you’re looking for a fun, affectionate companion who’s ready to join you on every adventure (and every couch snuggle), Cole is your guy."/>
    <m/>
    <n v="126.9"/>
    <m/>
    <x v="1"/>
    <s v="Record Match"/>
    <n v="45190845"/>
    <s v="A0058705427"/>
    <s v="Cole [Foster Home]"/>
    <s v="Cole (K. Vogel)"/>
    <s v="Cole (K. Vogel)"/>
    <s v="Labrador Retriever"/>
    <s v="Hound (Unknown Type)"/>
    <s v="Black"/>
    <s v="male"/>
    <s v="young"/>
    <s v="Med. 26-60 lbs (12-27 kg)"/>
    <s v="Yes"/>
    <s v="Yes"/>
    <s v="Yes"/>
    <s v="No"/>
    <s v="No"/>
    <s v="Yes"/>
    <s v="Yes"/>
    <s v="Yes"/>
    <s v="No"/>
    <s v="Available"/>
    <s v="Black"/>
    <s v="Foster home"/>
    <s v="Stray/Public Drop Off"/>
    <d v="2025-06-18T14:07:00"/>
    <d v="2025-06-13T14:07:00"/>
    <n v="128.9"/>
    <n v="0"/>
    <s v="39.10 pound"/>
    <n v="3"/>
    <s v="336"/>
    <s v="905"/>
    <s v="2,002"/>
    <s v="35"/>
    <s v="248"/>
    <s v="627"/>
    <s v="10.4%"/>
  </r>
  <r>
    <x v="0"/>
    <n v="1"/>
    <m/>
    <s v="Kim is a playful sweetheart with a zest for life! This gorgeous black Lab/Pit mix loves to run, romp, and play—especially with her best friend, Taz. She’s friendly with everyone she meets and brings joy and laughter wherever she goes. Kim’s energetic spirit makes her the perfect companion for outdoor adventures, but she’s also happy to wind down with some cuddles once the fun is done. She has a big heart, a bright smile, and a tail that never stops wagging. If you’re looking for a loyal, loving dog who’s always up for playtime and companionship, Kim is ready to be your new best friend."/>
    <m/>
    <n v="122.8"/>
    <m/>
    <x v="1"/>
    <s v="Record Match"/>
    <n v="45190901"/>
    <s v="A0058730783"/>
    <s v="Kim"/>
    <s v="Kim"/>
    <s v="Kim"/>
    <s v="Labrador Retriever"/>
    <s v="American Pit Bull Terrier"/>
    <s v="Black"/>
    <s v="female"/>
    <s v="adult"/>
    <s v="Med. 26-60 lbs (12-27 kg)"/>
    <s v="Yes"/>
    <s v="Yes"/>
    <s v="Yes"/>
    <s v="No"/>
    <s v="No"/>
    <s v="Yes"/>
    <s v="Yes"/>
    <s v="Unknown"/>
    <s v="No"/>
    <s v="Available"/>
    <s v="Black"/>
    <s v="Medical Kennel"/>
    <s v="Stray/Abandoned"/>
    <d v="2025-06-22T16:53:00"/>
    <d v="2025-06-17T16:53:00"/>
    <n v="124.8"/>
    <n v="0"/>
    <s v="48.00 pound"/>
    <n v="3"/>
    <s v="413"/>
    <s v="956"/>
    <s v="1,749"/>
    <s v="4"/>
    <s v="23"/>
    <s v="118"/>
    <s v="1.0%"/>
  </r>
  <r>
    <x v="1"/>
    <n v="0"/>
    <m/>
    <m/>
    <m/>
    <n v="117.9"/>
    <m/>
    <x v="1"/>
    <s v="Record Match"/>
    <n v="45346221"/>
    <s v="A0058760517"/>
    <s v="Tanya"/>
    <s v="Tanya"/>
    <s v="Tanya"/>
    <s v="Shepherd (Unknown Type)"/>
    <s v="Labrador Retriever"/>
    <s v="Tan/Yellow/Fawn - with Black"/>
    <s v="female"/>
    <s v="senior"/>
    <s v="Med. 26-60 lbs (12-27 kg)"/>
    <s v="Yes"/>
    <s v="Yes"/>
    <s v="Yes"/>
    <s v="No"/>
    <s v="No"/>
    <s v="Yes"/>
    <s v="Yes"/>
    <s v="Unknown"/>
    <s v="No"/>
    <s v="Available"/>
    <s v="Tan"/>
    <s v="Adoption Kennels"/>
    <s v="Seized/Cruelty"/>
    <d v="1899-12-30T00:00:00"/>
    <d v="2025-06-22T13:16:00"/>
    <n v="119.9"/>
    <n v="0"/>
    <s v="66.00 pound"/>
    <n v="3"/>
    <s v="305"/>
    <s v="708"/>
    <s v="1,142"/>
    <s v="9"/>
    <s v="33"/>
    <s v="121"/>
    <s v="3.0%"/>
  </r>
  <r>
    <x v="1"/>
    <n v="0"/>
    <m/>
    <s v="Kim is a playful sweetheart with a zest for life! This gorgeous black Lab/Pit mix loves to run, romp, and play—especially with her best friend, Taz. She’s friendly with everyone she meets and brings joy and laughter wherever she goes. Kim’s energetic spirit makes her the perfect companion for outdoor adventures, but she’s also happy to wind down with some cuddles once the fun is done. She has a big heart, a bright smile, and a tail that never stops wagging. If you’re looking for a loyal, loving dog who’s always up for playtime and companionship, Kim is ready to be your new best friend."/>
    <m/>
    <n v="101"/>
    <m/>
    <x v="0"/>
    <s v="Record Match"/>
    <n v="45472786"/>
    <s v="A0058873126"/>
    <s v="Gretchen"/>
    <s v="Gretchen"/>
    <s v="Gretchen"/>
    <s v="American Pit Bull Terrier"/>
    <s v="American Staffordshire Terrier"/>
    <s v="Gray/Blue/Silver/Salt &amp; Pepper"/>
    <s v="female"/>
    <s v="young"/>
    <s v="Med. 26-60 lbs (12-27 kg)"/>
    <s v="Yes"/>
    <s v="Yes"/>
    <s v="Yes"/>
    <s v="No"/>
    <s v="No"/>
    <s v="Yes"/>
    <s v="Yes"/>
    <s v="Unknown"/>
    <s v="No"/>
    <s v="Available"/>
    <s v="Grey"/>
    <s v="Holding Kennel"/>
    <s v="Stray/Public Drop Off"/>
    <d v="2025-07-14T12:18:00"/>
    <d v="2025-07-09T12:18:00"/>
    <n v="103"/>
    <s v="Returned foster"/>
    <s v="43.00 pound"/>
    <n v="1"/>
    <s v="274"/>
    <s v="715"/>
    <s v="1,217"/>
    <s v="3"/>
    <s v="27"/>
    <s v="134"/>
    <s v="1.1%"/>
  </r>
  <r>
    <x v="1"/>
    <n v="0"/>
    <m/>
    <m/>
    <m/>
    <n v="99.9"/>
    <m/>
    <x v="1"/>
    <s v="Record Match"/>
    <n v="45472762"/>
    <s v="A0058881642"/>
    <s v="Journey [Foster Home]"/>
    <s v="Journey (S. Nutter)"/>
    <s v="Journey (S. Nutter)"/>
    <s v="Treeing Walker Coonhound"/>
    <s v="Foxhound"/>
    <s v="Tricolor (Tan/Brown &amp; Black &amp; White)"/>
    <s v="male"/>
    <s v="adult"/>
    <s v="Large 61-100 lbs (28-45 kg)"/>
    <s v="Yes"/>
    <s v="Yes"/>
    <s v="Yes"/>
    <s v="No"/>
    <s v="No"/>
    <s v="Yes"/>
    <s v="Yes"/>
    <s v="Yes"/>
    <s v="No"/>
    <s v="Available"/>
    <s v="Black"/>
    <s v="Foster home"/>
    <s v="Stray/Public Drop Off"/>
    <d v="2025-07-15T13:13:00"/>
    <d v="2025-07-10T13:13:00"/>
    <n v="101.9"/>
    <n v="0"/>
    <s v="75.60 pound"/>
    <n v="1"/>
    <s v="394"/>
    <s v="844"/>
    <s v="1,228"/>
    <s v="15"/>
    <s v="44"/>
    <s v="127"/>
    <s v="3.8%"/>
  </r>
  <r>
    <x v="0"/>
    <n v="1"/>
    <m/>
    <s v="Kirby is a gentle giant with a heart as big as his paws. This stunning gray-and-white Rottweiler/Cane Corso mix turns heads wherever he goes, but it’s his sweet, calm nature that truly stands out. Kirby is affectionate, well-mannered, and loves nothing more than being close to his people. Despite his impressive size, he’s gentle and kind—a big softie who just wants love and a comfy spot to rest. Whether he’s lounging at your feet or leaning in for pets, Kirby’s quiet presence brings warmth and peace to any home. If you’re looking for a loyal, loving companion with a heart of gold, Kirby is your guy."/>
    <m/>
    <n v="117.9"/>
    <m/>
    <x v="0"/>
    <s v="Record Match"/>
    <n v="45472546"/>
    <s v="A0058760472"/>
    <s v="Kirby"/>
    <s v="Kirby"/>
    <s v="Kirby"/>
    <s v="Rottweiler"/>
    <s v="Cane Corso"/>
    <s v="Gray/Silver/Salt &amp; Pepper - with White"/>
    <s v="male"/>
    <s v="adult"/>
    <s v="Large 61-100 lbs (28-45 kg)"/>
    <s v="Yes"/>
    <s v="Yes"/>
    <s v="Yes"/>
    <s v="No"/>
    <s v="No"/>
    <s v="Yes"/>
    <s v="Yes"/>
    <s v="Unknown"/>
    <s v="No"/>
    <s v="Available"/>
    <s v="Grey"/>
    <s v="Adoption Kennels"/>
    <s v="Seized/Cruelty"/>
    <d v="1899-12-30T00:00:00"/>
    <d v="2025-06-22T13:07:00"/>
    <n v="119.9"/>
    <n v="0"/>
    <s v="84.00 pound"/>
    <n v="3"/>
    <s v="455"/>
    <s v="1,123"/>
    <s v="1,625"/>
    <s v="23"/>
    <s v="63"/>
    <s v="166"/>
    <s v="5.1%"/>
  </r>
  <r>
    <x v="1"/>
    <n v="0"/>
    <m/>
    <m/>
    <m/>
    <n v="93.8"/>
    <m/>
    <x v="1"/>
    <s v="Record Match"/>
    <n v="45472971"/>
    <s v="A0058922485"/>
    <s v="Landon"/>
    <s v="Landon"/>
    <s v="Landon"/>
    <s v="Boxer"/>
    <s v="American Pit Bull Terrier"/>
    <s v="Brown/Chocolate - with White"/>
    <s v="male"/>
    <s v="adult"/>
    <s v="Med. 26-60 lbs (12-27 kg)"/>
    <s v="Yes"/>
    <s v="Yes"/>
    <s v="Yes"/>
    <s v="No"/>
    <s v="No"/>
    <s v="Yes"/>
    <s v="Yes"/>
    <s v="Unknown"/>
    <s v="No"/>
    <s v="Available"/>
    <s v="Bronze"/>
    <s v="Holding Kennel"/>
    <s v="Stray/ACO Pickup / Drop Off"/>
    <d v="2025-07-21T15:39:00"/>
    <d v="2025-07-16T15:39:00"/>
    <n v="95.8"/>
    <n v="0"/>
    <s v="52.00 pound"/>
    <n v="3"/>
    <s v="270"/>
    <s v="667"/>
    <s v="1,085"/>
    <s v="9"/>
    <s v="51"/>
    <s v="151"/>
    <s v="3.3%"/>
  </r>
  <r>
    <x v="0"/>
    <n v="1"/>
    <m/>
    <s v="Ralph is a lovable goofball with the biggest wiggle butt you’ll ever meet! This sweet Pointer/Lab mix is gentle, friendly, and oh-so-cuddly once he gets to know you. He can be a little shy with new people at first, but he warms up quickly—and when he does, you’ll have a loyal friend for life. Ralph gets along great with other dogs and loves to play, but he’s just as happy relaxing by your side. Smart, funny, and full of heart, he’s the perfect blend of mellow and playful. If you’re looking for a gentle companion who’ll make you smile every single day, Ralph is ready to wag his way home."/>
    <m/>
    <n v="92.9"/>
    <m/>
    <x v="1"/>
    <s v="Record Match"/>
    <n v="45472996"/>
    <s v="A0051746637"/>
    <s v="Ralph"/>
    <s v="Ralph"/>
    <s v="Ralph"/>
    <s v="Pointer"/>
    <s v="Labrador Retriever"/>
    <s v="White - with Black"/>
    <s v="male"/>
    <s v="adult"/>
    <s v="Med. 26-60 lbs (12-27 kg)"/>
    <s v="Yes"/>
    <s v="Yes"/>
    <s v="Yes"/>
    <s v="No"/>
    <s v="No"/>
    <s v="Yes"/>
    <s v="Yes"/>
    <s v="Unknown"/>
    <s v="No"/>
    <s v="Available"/>
    <s v="White"/>
    <s v="Adoption Kennels"/>
    <s v="Stray/ACO Pickup / Drop Off"/>
    <d v="2025-07-22T14:05:00"/>
    <d v="2025-07-17T14:05:00"/>
    <n v="94.9"/>
    <n v="0"/>
    <s v="58.00 pound"/>
    <n v="3"/>
    <s v="1,391"/>
    <s v="3,553"/>
    <s v="3,996"/>
    <s v="30"/>
    <s v="83"/>
    <s v="198"/>
    <s v="2.2%"/>
  </r>
  <r>
    <x v="0"/>
    <n v="1"/>
    <m/>
    <s v="Twister is a fun-loving Lab with a heart as big as his splash! This handsome black boy is sweet, friendly, and always up for a good time—especially if it involves water. Whether he’s splashing in a pool, playing fetch, or soaking up scratches, Twister’s joy is contagious. He’s great with other dogs and gentle with little kids, making him the perfect family companion. His playful energy is balanced by his loving, easygoing nature—he just wants to be part of the fun and by your side. If you’re looking for a loyal, happy pup who can turn any day into an adventure, Twister is ready to dive right in."/>
    <m/>
    <n v="117.9"/>
    <m/>
    <x v="1"/>
    <s v="Record Match"/>
    <n v="45472654"/>
    <s v="A0058760527"/>
    <s v="Twister"/>
    <s v="Twister"/>
    <s v="Twister"/>
    <s v="Labrador Retriever"/>
    <n v="0"/>
    <s v="Black"/>
    <s v="male"/>
    <s v="adult"/>
    <s v="Large 61-100 lbs (28-45 kg)"/>
    <s v="Yes"/>
    <s v="Yes"/>
    <s v="Yes"/>
    <s v="No"/>
    <s v="No"/>
    <s v="Yes"/>
    <s v="Yes"/>
    <s v="Unknown"/>
    <s v="No"/>
    <s v="Available"/>
    <s v="Black"/>
    <s v="Adoption Kennels"/>
    <s v="Seized/Cruelty"/>
    <d v="1899-12-30T00:00:00"/>
    <d v="2025-06-22T13:19:00"/>
    <n v="119.9"/>
    <n v="0"/>
    <s v="71.00 pound"/>
    <n v="1"/>
    <s v="241"/>
    <s v="572"/>
    <s v="943"/>
    <s v="14"/>
    <s v="77"/>
    <s v="193"/>
    <s v="5.8%"/>
  </r>
  <r>
    <x v="1"/>
    <n v="0"/>
    <m/>
    <m/>
    <m/>
    <n v="95.9"/>
    <m/>
    <x v="0"/>
    <s v="Record Match"/>
    <n v="45472979"/>
    <s v="A0058904337"/>
    <s v="Yukiko [Foster Home]"/>
    <s v="Yukiko (L. Clark)"/>
    <s v="Yukiko (L. Clark)"/>
    <s v="Rottweiler"/>
    <s v="Labrador Retriever"/>
    <s v="Black - with Tan, Yellow or Fawn"/>
    <s v="female"/>
    <s v="young"/>
    <s v="Med. 26-60 lbs (12-27 kg)"/>
    <s v="Yes"/>
    <s v="Yes"/>
    <s v="Yes"/>
    <s v="No"/>
    <s v="No"/>
    <s v="Yes"/>
    <s v="Yes"/>
    <s v="Unknown"/>
    <s v="No"/>
    <s v="Available"/>
    <s v="Black"/>
    <s v="Foster home"/>
    <s v="Stray/ACO Pickup / Drop Off"/>
    <d v="2025-07-19T13:03:00"/>
    <d v="2025-07-14T13:03:00"/>
    <n v="97.9"/>
    <n v="0"/>
    <s v="60.00 pound"/>
    <n v="1"/>
    <s v="1,517"/>
    <s v="3,938"/>
    <s v="4,587"/>
    <s v="10"/>
    <s v="54"/>
    <s v="180"/>
    <s v="0.7%"/>
  </r>
  <r>
    <x v="1"/>
    <n v="0"/>
    <m/>
    <m/>
    <m/>
    <n v="75"/>
    <m/>
    <x v="0"/>
    <s v="Record Match"/>
    <n v="45606391"/>
    <s v="A0059040305"/>
    <s v="Auggie"/>
    <s v="Auggie"/>
    <s v="Auggie"/>
    <s v="American Staffordshire Terrier"/>
    <s v="Weimaraner"/>
    <s v="Gray/Silver/Salt &amp; Pepper - with White"/>
    <s v="male"/>
    <s v="young"/>
    <s v="Small 25 lbs (11 kg) or less"/>
    <s v="Yes"/>
    <s v="Yes"/>
    <s v="Yes"/>
    <s v="No"/>
    <s v="No"/>
    <s v="Yes"/>
    <s v="Yes"/>
    <s v="Unknown"/>
    <s v="No"/>
    <s v="Available"/>
    <s v="Grey"/>
    <s v="Adoption Kennels"/>
    <s v="Stray/ACO Pickup / Drop Off"/>
    <d v="2025-08-09T12:21:00"/>
    <d v="2025-08-04T12:21:00"/>
    <n v="77"/>
    <n v="0"/>
    <s v="25.00 pound"/>
    <n v="3"/>
    <s v="316"/>
    <s v="940"/>
    <s v="1,502"/>
    <s v="22"/>
    <s v="51"/>
    <s v="124"/>
    <s v="7.0%"/>
  </r>
  <r>
    <x v="0"/>
    <n v="1"/>
    <m/>
    <s v="Lotus is a burst of joy and energy wrapped in a shiny brown coat! This young Staffordshire Terrier is playful, smart, and full of personality. He loves to run, explore, and show off his goofy side, turning every outing into an adventure. Beneath his energetic spirit is a sweet, loving pup who adores being around people and learning new things. Lotus is eager to please and would thrive with someone who’s ready to keep up with his fun, active lifestyle. Whether it’s a game of fetch, a walk in the sunshine, or some well-earned cuddle time, Lotus is always all in. If you’re looking for a loyal best friend who’ll brighten every day, Lotus is your guy."/>
    <m/>
    <n v="75"/>
    <m/>
    <x v="0"/>
    <s v="Record Match"/>
    <n v="45606729"/>
    <s v="A0059026516"/>
    <s v="Lotus [Foster Home]"/>
    <s v="Lotus ( E Campbell)"/>
    <s v="Lotus ( E Campbell)"/>
    <s v="American Staffordshire Terrier"/>
    <n v="0"/>
    <s v="Brown/Chocolate"/>
    <s v="male"/>
    <s v="young"/>
    <s v="Med. 26-60 lbs (12-27 kg)"/>
    <s v="Yes"/>
    <s v="Yes"/>
    <s v="Yes"/>
    <s v="No"/>
    <s v="No"/>
    <s v="Yes"/>
    <s v="Yes"/>
    <s v="Unknown"/>
    <s v="No"/>
    <s v="Available"/>
    <s v="Brown"/>
    <s v="Foster home"/>
    <s v="Stray/Public Drop Off"/>
    <d v="2025-08-06T12:46:00"/>
    <d v="2025-08-01T12:46:00"/>
    <n v="80"/>
    <n v="0"/>
    <s v="46.40 pound"/>
    <n v="3"/>
    <s v="433"/>
    <s v="992"/>
    <s v="1,355"/>
    <s v="9"/>
    <s v="43"/>
    <s v="92"/>
    <s v="2.1%"/>
  </r>
  <r>
    <x v="0"/>
    <n v="1"/>
    <m/>
    <m/>
    <m/>
    <n v="78"/>
    <m/>
    <x v="1"/>
    <s v="Record Match"/>
    <n v="45763896"/>
    <s v="A0059021778"/>
    <s v="Craig"/>
    <s v="Craig"/>
    <s v="Craig"/>
    <s v="Boxer"/>
    <s v="American Bulldog"/>
    <s v="Black"/>
    <s v="male"/>
    <s v="adult"/>
    <s v="Med. 26-60 lbs (12-27 kg)"/>
    <s v="Yes"/>
    <s v="Yes"/>
    <s v="Yes"/>
    <s v="No"/>
    <s v="No"/>
    <s v="Yes"/>
    <s v="Yes"/>
    <s v="Unknown"/>
    <s v="No"/>
    <s v="Available"/>
    <s v="Black"/>
    <s v="Holding Kennel"/>
    <s v="Stray/ACO Pickup / Drop Off"/>
    <d v="2025-08-05T16:29:00"/>
    <d v="2025-07-31T16:29:00"/>
    <n v="80.8"/>
    <n v="0"/>
    <s v="48.20 pound"/>
    <n v="3"/>
    <s v="1,414"/>
    <s v="3,037"/>
    <s v="3,152"/>
    <s v="7"/>
    <s v="27"/>
    <s v="64"/>
    <s v="0.5%"/>
  </r>
  <r>
    <x v="0"/>
    <n v="1"/>
    <m/>
    <m/>
    <m/>
    <n v="78.8"/>
    <m/>
    <x v="1"/>
    <s v="Record Match"/>
    <n v="45763997"/>
    <s v="A0059031537"/>
    <s v="Dingo [Foster Home]"/>
    <s v="Dingo (A. Cox)"/>
    <s v="Dingo (A. Cox)"/>
    <s v="Hound (Unknown Type)"/>
    <s v="American Eskimo Dog"/>
    <s v="Tan/Yellow/Fawn - with White"/>
    <s v="male"/>
    <s v="young"/>
    <s v="Med. 26-60 lbs (12-27 kg)"/>
    <s v="Yes"/>
    <s v="Yes"/>
    <s v="Yes"/>
    <s v="No"/>
    <s v="No"/>
    <s v="Yes"/>
    <s v="Yes"/>
    <s v="Unknown"/>
    <s v="No"/>
    <s v="Available"/>
    <s v="Brown"/>
    <s v="Foster home"/>
    <s v="Stray/ACO Pickup / Drop Off"/>
    <d v="2025-08-07T09:57:00"/>
    <d v="2025-08-02T09:57:00"/>
    <n v="79.099999999999994"/>
    <n v="0"/>
    <s v="37.00 pound"/>
    <n v="3"/>
    <s v="432"/>
    <s v="970"/>
    <s v="1,109"/>
    <s v="7"/>
    <s v="38"/>
    <s v="73"/>
    <s v="1.6%"/>
  </r>
  <r>
    <x v="1"/>
    <n v="0"/>
    <m/>
    <m/>
    <m/>
    <n v="77.099999999999994"/>
    <m/>
    <x v="0"/>
    <s v="Record Match"/>
    <n v="45764004"/>
    <s v="A0059058634"/>
    <s v="Elliott"/>
    <s v="Elliott"/>
    <s v="Elliott"/>
    <s v="American Staffordshire Terrier"/>
    <s v="American Pit Bull Terrier"/>
    <s v="Brown/Chocolate - with White"/>
    <s v="male"/>
    <s v="adult"/>
    <s v="Med. 26-60 lbs (12-27 kg)"/>
    <s v="Yes"/>
    <s v="Yes"/>
    <s v="Yes"/>
    <s v="No"/>
    <s v="No"/>
    <s v="Yes"/>
    <s v="Yes"/>
    <s v="Yes"/>
    <s v="No"/>
    <s v="Available"/>
    <s v="Brown"/>
    <s v="Holding Kennel"/>
    <s v="Stray/ACO Pickup / Drop Off"/>
    <d v="2025-08-11T15:18:00"/>
    <d v="2025-08-06T15:18:00"/>
    <n v="74.8"/>
    <n v="0"/>
    <s v="56.00 pound"/>
    <n v="3"/>
    <s v="233"/>
    <s v="584"/>
    <s v="714"/>
    <s v="7"/>
    <s v="37"/>
    <s v="55"/>
    <s v="3.0%"/>
  </r>
  <r>
    <x v="1"/>
    <n v="0"/>
    <m/>
    <m/>
    <m/>
    <n v="72.8"/>
    <m/>
    <x v="1"/>
    <s v="Record Match"/>
    <n v="45764020"/>
    <s v="A0059197919"/>
    <s v="Emmett"/>
    <s v="Emmett"/>
    <s v="Emmett"/>
    <s v="Foxhound"/>
    <s v="Treeing Walker Coonhound"/>
    <s v="Tricolor (Tan/Brown &amp; Black &amp; White)"/>
    <s v="male"/>
    <s v="adult"/>
    <s v="Med. 26-60 lbs (12-27 kg)"/>
    <s v="Yes"/>
    <s v="Yes"/>
    <s v="Yes"/>
    <s v="No"/>
    <s v="No"/>
    <s v="Yes"/>
    <s v="Yes"/>
    <s v="Unknown"/>
    <s v="No"/>
    <s v="Available"/>
    <s v="Black"/>
    <s v="Holding Kennel"/>
    <s v="Stray/ACO Pickup / Drop Off"/>
    <d v="2025-08-24T14:09:00"/>
    <d v="2025-08-19T14:09:00"/>
    <n v="61.9"/>
    <n v="0"/>
    <s v="44.80 pound"/>
    <n v="3"/>
    <s v="226"/>
    <s v="531"/>
    <s v="600"/>
    <s v="21"/>
    <s v="73"/>
    <s v="118"/>
    <s v="9.3%"/>
  </r>
  <r>
    <x v="1"/>
    <n v="0"/>
    <m/>
    <m/>
    <m/>
    <n v="59.9"/>
    <m/>
    <x v="1"/>
    <s v="Record Match"/>
    <n v="45764028"/>
    <s v="A0059218846"/>
    <s v="Feta"/>
    <s v="Feta"/>
    <s v="Feta"/>
    <s v="Bull Terrier"/>
    <s v="Carolina Dog"/>
    <s v="White - with Tan, Yellow or Fawn"/>
    <s v="male"/>
    <s v="adult"/>
    <s v="Med. 26-60 lbs (12-27 kg)"/>
    <s v="Yes"/>
    <s v="Yes"/>
    <s v="Yes"/>
    <s v="No"/>
    <s v="No"/>
    <s v="Yes"/>
    <s v="Yes"/>
    <s v="Unknown"/>
    <s v="No"/>
    <s v="Available"/>
    <s v="Yellow"/>
    <s v="Holding Kennel"/>
    <s v="Stray/Public Drop Off"/>
    <d v="2025-08-27T11:14:00"/>
    <d v="2025-08-22T11:14:00"/>
    <n v="59"/>
    <n v="0"/>
    <s v="44.00 pound"/>
    <n v="3"/>
    <s v="409"/>
    <s v="942"/>
    <s v="1,061"/>
    <s v="10"/>
    <s v="52"/>
    <s v="110"/>
    <s v="2.4%"/>
  </r>
  <r>
    <x v="1"/>
    <n v="0"/>
    <m/>
    <m/>
    <m/>
    <n v="57"/>
    <m/>
    <x v="1"/>
    <s v="Record Match"/>
    <n v="45764063"/>
    <s v="A0059211510"/>
    <s v="Pocahontas [Foster To Adopt]"/>
    <s v="Pocahontas (M. Kniffen)"/>
    <s v="Pocahontas (M. Kniffen)"/>
    <s v="Labrador Retriever"/>
    <s v="Hound (Unknown Type)"/>
    <s v="Tan/Yellow/Fawn - with White"/>
    <s v="female"/>
    <s v="adult"/>
    <s v="Large 61-100 lbs (28-45 kg)"/>
    <s v="Yes"/>
    <s v="Yes"/>
    <s v="Yes"/>
    <s v="No"/>
    <s v="No"/>
    <s v="Yes"/>
    <s v="Yes"/>
    <s v="Unknown"/>
    <s v="No"/>
    <s v="Available"/>
    <s v="Brown"/>
    <s v="Foster home"/>
    <s v="Stray/Public Drop Off"/>
    <d v="2025-08-26T11:34:00"/>
    <d v="2025-08-21T11:34:00"/>
    <n v="60"/>
    <n v="0"/>
    <s v="78.00 pound"/>
    <n v="2"/>
    <s v="257"/>
    <s v="620"/>
    <s v="700"/>
    <s v="19"/>
    <s v="94"/>
    <s v="133"/>
    <s v="7.4%"/>
  </r>
  <r>
    <x v="0"/>
    <n v="1"/>
    <m/>
    <s v="Roux is pure joy wrapped in fur! This beautiful white-and-gray Pittie mix greets every day—and every person—with enthusiasm, spinning in happy circles when it’s time to play. She’s the perfect mix of playful and cuddly, always ready for a game of fetch or a snuggle on the couch. Roux’s curious nature makes her eager to explore, and her gentle personality wins over everyone she meets. She’s friendly with people, sweet to the core, and just wants to be part of the fun (and the love). If you’re looking for a loyal companion who can make your heart—and your tail—wag a little faster, Roux is your girl."/>
    <m/>
    <n v="58"/>
    <m/>
    <x v="0"/>
    <s v="Record Match"/>
    <n v="45764075"/>
    <s v="A0059197970"/>
    <s v="Roux"/>
    <s v="Roux"/>
    <s v="Roux"/>
    <s v="American Staffordshire Terrier"/>
    <s v="American Pit Bull Terrier"/>
    <s v="White - with Gray or Silver"/>
    <s v="female"/>
    <s v="adult"/>
    <s v="Med. 26-60 lbs (12-27 kg)"/>
    <s v="Yes"/>
    <s v="No"/>
    <s v="Yes"/>
    <s v="No"/>
    <s v="No"/>
    <s v="Yes"/>
    <s v="Yes"/>
    <s v="Unknown"/>
    <s v="No"/>
    <s v="Available"/>
    <s v="White"/>
    <s v="Adoption Kennels"/>
    <s v="Stray/ACO Pickup / Drop Off"/>
    <d v="2025-08-24T14:14:00"/>
    <d v="2025-08-19T14:14:00"/>
    <n v="61.9"/>
    <n v="0"/>
    <s v="52.20 pound"/>
    <n v="2"/>
    <s v="390"/>
    <s v="888"/>
    <s v="983"/>
    <s v="3"/>
    <s v="36"/>
    <s v="81"/>
    <s v="0.8%"/>
  </r>
  <r>
    <x v="1"/>
    <n v="0"/>
    <m/>
    <m/>
    <m/>
    <n v="59.9"/>
    <m/>
    <x v="0"/>
    <s v="Record Match"/>
    <n v="45764080"/>
    <s v="A0059072755"/>
    <s v="Royal"/>
    <s v="Royal"/>
    <s v="Royal"/>
    <s v="American Pit Bull Terrier"/>
    <s v="American Staffordshire Terrier"/>
    <s v="Red/Golden/Orange/Chestnut - with White"/>
    <s v="female"/>
    <s v="adult"/>
    <s v="Med. 26-60 lbs (12-27 kg)"/>
    <s v="Yes"/>
    <s v="Yes"/>
    <s v="Yes"/>
    <s v="No"/>
    <s v="No"/>
    <s v="Yes"/>
    <s v="Yes"/>
    <s v="Unknown"/>
    <s v="No"/>
    <s v="Available"/>
    <s v="Tan"/>
    <s v="Adoption Kennels"/>
    <s v="Stray/Public Drop Off"/>
    <d v="2025-08-13T13:35:00"/>
    <d v="2025-08-08T13:35:00"/>
    <n v="72.900000000000006"/>
    <n v="0"/>
    <s v="51.00 pound"/>
    <n v="3"/>
    <s v="233"/>
    <s v="589"/>
    <s v="684"/>
    <s v="3"/>
    <s v="18"/>
    <s v="44"/>
    <s v="1.3%"/>
  </r>
  <r>
    <x v="0"/>
    <n v="1"/>
    <m/>
    <s v="Deebo is a fun, friendly pup who lives for playtime and good company! This young brindle Pittie/Plott Hound mix loves running around with his best pals, Mimir and Koko, and is always up for a game or an adventure. His joyful energy and outgoing personality make him the life of the party, and his big heart shines through in every wag and smile. Deebo’s playful nature is balanced by his sweet, loving side—he’s as happy cuddling up after a long day as he is chasing his friends in the yard. If you’re looking for a loyal, energetic buddy who brings endless fun (and a few laughs) to every day, Deebo is your guy!"/>
    <m/>
    <n v="70.900000000000006"/>
    <m/>
    <x v="0"/>
    <s v="Record Match"/>
    <n v="45793976"/>
    <s v="A0059040345"/>
    <s v="Deebo"/>
    <s v="Deebo"/>
    <s v="Deebo"/>
    <s v="American Pit Bull Terrier"/>
    <s v="Plott Hound"/>
    <s v="Brindle"/>
    <s v="male"/>
    <s v="young"/>
    <s v="Med. 26-60 lbs (12-27 kg)"/>
    <s v="Yes"/>
    <s v="Yes"/>
    <s v="Yes"/>
    <s v="No"/>
    <s v="No"/>
    <s v="Yes"/>
    <s v="Yes"/>
    <s v="Unknown"/>
    <s v="No"/>
    <s v="Available"/>
    <s v="Brindle"/>
    <s v="Holding Kennel"/>
    <s v="Stray/ACO Pickup / Drop Off"/>
    <d v="2025-08-09T12:27:00"/>
    <d v="2025-08-04T12:27:00"/>
    <n v="77"/>
    <n v="0"/>
    <s v="44.20 pound"/>
    <n v="3"/>
    <s v="261"/>
    <s v="659"/>
    <s v="738"/>
    <s v="16"/>
    <s v="72"/>
    <s v="141"/>
    <s v="6.1%"/>
  </r>
  <r>
    <x v="0"/>
    <n v="1"/>
    <m/>
    <s v="Captain Crunch is as sweet and goofy as his name suggests! This young Aussie/Golden mix has a heart of gold and energy to match. He could spend hours outside chasing toys or basking in the sunshine—give him a ball, and he’s in heaven. Playful yet independent, Captain Crunch loves exploring his surroundings but always comes back for affection and a smile that could melt the Grinch’s heart. He’s curious about the world, gentle with people, and happiest when he’s part of the fun. If you’re looking for a friendly, easygoing companion who’s ready for life’s adventures (and a good game of fetch), Captain Crunch is your guy!"/>
    <m/>
    <n v="75"/>
    <m/>
    <x v="1"/>
    <s v="Record Match"/>
    <n v="45968241"/>
    <s v="A0059233187"/>
    <s v="Captain Crunch [Foster Home]"/>
    <s v="Captain Crunch (M. Fichera)"/>
    <s v="Captain Crunch (M. Fichera)"/>
    <s v="Australian Shepherd"/>
    <s v="Golden Retriever"/>
    <s v="Tan/Yellow/Fawn"/>
    <s v="male"/>
    <s v="young"/>
    <s v="Med. 26-60 lbs (12-27 kg)"/>
    <s v="Yes"/>
    <s v="Yes"/>
    <s v="Yes"/>
    <s v="No"/>
    <s v="No"/>
    <s v="Yes"/>
    <s v="Yes"/>
    <s v="Unknown"/>
    <s v="No"/>
    <s v="Available"/>
    <s v="Golden"/>
    <s v="Foster home"/>
    <s v="Stray/Public Drop Off"/>
    <d v="2025-08-30T11:46:00"/>
    <d v="2025-08-25T11:46:00"/>
    <n v="56"/>
    <n v="0"/>
    <s v="45.00 pound"/>
    <n v="3"/>
    <s v="458"/>
    <s v="1,109"/>
    <s v="1,109"/>
    <s v="72"/>
    <s v="341"/>
    <s v="341"/>
    <s v="15.7%"/>
  </r>
  <r>
    <x v="0"/>
    <e v="#N/A"/>
    <m/>
    <s v="Cheech is a happy, playful pup who’s always ready for adventure! This tan-and-black Black Mouth Cur/Staffy mix is bursting with energy and joy. He loves walks, playtime, and exploring the world around him—his tail never stops wagging when he’s out and about. Cheech’s friendly, social nature makes him a hit with everyone he meets, and his sweet personality shines through in everything he does. He’s the perfect mix of fun and affection, always ready for a game or a good cuddle after a busy day. If you’re looking for a loyal, energetic companion who’ll keep you smiling and moving, Cheech is your guy!"/>
    <m/>
    <n v="54"/>
    <m/>
    <x v="1"/>
    <s v="Record Match"/>
    <n v="45970439"/>
    <s v="A0059240393"/>
    <s v="Cheech"/>
    <s v="Cheech"/>
    <s v="Cheech"/>
    <s v="Black Mouth Cur"/>
    <s v="American Staffordshire Terrier"/>
    <s v="Tan/Yellow/Fawn - with Black"/>
    <s v="male"/>
    <s v="young"/>
    <s v="Med. 26-60 lbs (12-27 kg)"/>
    <s v="Yes"/>
    <s v="Yes"/>
    <s v="Yes"/>
    <s v="No"/>
    <s v="No"/>
    <s v="Yes"/>
    <s v="Yes"/>
    <s v="Unknown"/>
    <s v="No"/>
    <s v="Available"/>
    <s v="Tan"/>
    <s v="Medical Lobby Cages"/>
    <s v="Stray/ACO Pickup / Drop Off"/>
    <d v="2025-08-31T11:25:00"/>
    <d v="2025-08-26T11:25:00"/>
    <n v="55"/>
    <n v="0"/>
    <s v="44.00 pound"/>
    <n v="3"/>
    <s v="284"/>
    <s v="630"/>
    <s v="630"/>
    <s v="15"/>
    <s v="60"/>
    <s v="60"/>
    <s v="5.3%"/>
  </r>
  <r>
    <x v="0"/>
    <n v="1"/>
    <m/>
    <s v="Claudia is as beautiful as she is sweet—a playful, puppy-hearted girl who’s full of love! This white-and-tan Pittie/Lab mix is gentle, cuddly, and always ready to brighten your day. She adores playtime, whether it’s romping around the yard or chasing her favorite toy, but she’s just as happy curling up close for snuggles. Claudia has that irresistible mix of youthful energy and soft affection that makes her the perfect companion for both fun adventures and cozy nights in. If you’re looking for a loving, playful pup who brings joy wherever she goes, Claudia is ready to steal your heart."/>
    <m/>
    <n v="53"/>
    <m/>
    <x v="0"/>
    <s v="Record Match"/>
    <n v="45968065"/>
    <s v="A0059193976"/>
    <s v="Claudia"/>
    <s v="Claudia"/>
    <s v="Claudia"/>
    <s v="American Pit Bull Terrier"/>
    <s v="Labrador Retriever"/>
    <s v="White - with Tan, Yellow or Fawn"/>
    <s v="female"/>
    <s v="young"/>
    <s v="Med. 26-60 lbs (12-27 kg)"/>
    <s v="Yes"/>
    <s v="Yes"/>
    <s v="Yes"/>
    <s v="No"/>
    <s v="No"/>
    <s v="Yes"/>
    <s v="Yes"/>
    <s v="Unknown"/>
    <s v="No"/>
    <s v="Available"/>
    <s v="Brown"/>
    <s v="Medical Kennel"/>
    <s v="Stray/ACO Pickup / Drop Off"/>
    <d v="2025-08-24T08:58:00"/>
    <d v="2025-08-19T08:58:00"/>
    <n v="62.1"/>
    <n v="0"/>
    <s v="45.00 pound"/>
    <n v="3"/>
    <s v="432"/>
    <s v="972"/>
    <s v="972"/>
    <s v="6"/>
    <s v="64"/>
    <s v="64"/>
    <s v="1.4%"/>
  </r>
  <r>
    <x v="1"/>
    <n v="0"/>
    <m/>
    <m/>
    <m/>
    <n v="60.1"/>
    <m/>
    <x v="1"/>
    <s v="Record Match"/>
    <n v="45970275"/>
    <s v="A0059350629"/>
    <s v="Homer"/>
    <s v="Homer"/>
    <s v="Homer"/>
    <s v="Black Mouth Cur"/>
    <s v="Rhodesian Ridgeback"/>
    <s v="Tan/Yellow/Fawn - with Black"/>
    <s v="male"/>
    <s v="puppy"/>
    <s v="Med. 26-60 lbs (12-27 kg)"/>
    <s v="Yes"/>
    <s v="Yes"/>
    <s v="Yes"/>
    <s v="No"/>
    <s v="No"/>
    <s v="Yes"/>
    <s v="Yes"/>
    <s v="Yes"/>
    <s v="No"/>
    <s v="Available"/>
    <s v="Brown"/>
    <s v="Medical Kennel"/>
    <s v="Stray/ACO Pickup / Drop Off"/>
    <d v="2025-09-17T14:39:00"/>
    <d v="2025-09-12T14:39:00"/>
    <n v="37.9"/>
    <n v="0"/>
    <s v="49.00 pound"/>
    <n v="3"/>
    <s v="500"/>
    <s v="1,100"/>
    <s v="1,100"/>
    <s v="25"/>
    <s v="154"/>
    <s v="154"/>
    <s v="5.0%"/>
  </r>
  <r>
    <x v="1"/>
    <n v="0"/>
    <m/>
    <m/>
    <m/>
    <n v="35.9"/>
    <m/>
    <x v="1"/>
    <s v="Record Match"/>
    <n v="45968028"/>
    <s v="A0058928950"/>
    <s v="Jovi"/>
    <s v="Jovi"/>
    <s v="Jovi"/>
    <s v="Shepherd (Unknown Type)"/>
    <n v="0"/>
    <s v="Black - with Tan, Yellow or Fawn"/>
    <s v="female"/>
    <s v="adult"/>
    <s v="Med. 26-60 lbs (12-27 kg)"/>
    <s v="Yes"/>
    <s v="No"/>
    <s v="Yes"/>
    <s v="No"/>
    <s v="No"/>
    <s v="Yes"/>
    <s v="Yes"/>
    <s v="Unknown"/>
    <s v="No"/>
    <s v="Pending Surgery"/>
    <s v="Black"/>
    <s v="Pit Pens"/>
    <s v="Stray/ACO Pickup / Drop Off"/>
    <d v="2025-07-22T14:05:00"/>
    <d v="2025-07-17T14:05:00"/>
    <n v="94.9"/>
    <n v="0"/>
    <s v="60.00 pound"/>
    <n v="1"/>
    <s v="230"/>
    <s v="478"/>
    <s v="478"/>
    <s v="2"/>
    <s v="24"/>
    <s v="24"/>
    <s v="0.9%"/>
  </r>
  <r>
    <x v="1"/>
    <n v="0"/>
    <m/>
    <m/>
    <m/>
    <n v="92.9"/>
    <m/>
    <x v="1"/>
    <s v="Record Match"/>
    <n v="45969286"/>
    <s v="A0058872904"/>
    <s v="Luca [Foster Home]"/>
    <s v="Luca (J. Bowers)"/>
    <s v="Luca (J. Bowers)"/>
    <s v="Australian Cattle Dog"/>
    <s v="Blue Heeler"/>
    <s v="Red/Golden/Orange/Chestnut - with White"/>
    <s v="male"/>
    <s v="adult"/>
    <s v="Med. 26-60 lbs (12-27 kg)"/>
    <s v="Yes"/>
    <s v="Yes"/>
    <s v="Yes"/>
    <s v="No"/>
    <s v="No"/>
    <s v="Yes"/>
    <s v="Yes"/>
    <s v="Unknown"/>
    <s v="No"/>
    <s v="Available"/>
    <s v="Red"/>
    <s v="Foster home"/>
    <s v="Transfer In/Coalition Partner"/>
    <d v="1899-12-30T00:00:00"/>
    <d v="2025-09-23T10:36:00"/>
    <n v="27"/>
    <n v="0"/>
    <s v="46.00 pound"/>
    <n v="2"/>
    <s v="247"/>
    <s v="521"/>
    <s v="521"/>
    <s v="12"/>
    <s v="101"/>
    <s v="101"/>
    <s v="4.9%"/>
  </r>
  <r>
    <x v="0"/>
    <n v="1"/>
    <m/>
    <s v="Madre is the definition of calm and caring. This beautiful black-and-white American Bulldog/Staffy mix has a gentle, maternal nature that shines through in everything she does. She’s patient and nurturing with smaller dogs and puppies, often taking them under her paw. Though mellow and easygoing, Madre still enjoys her playful moments—especially when she knows she’s made her people smile. She’s sweet, loyal, and full of quiet affection, making her the perfect companion for anyone looking for a loving, steady presence in their home. If you’re searching for a gentle soul who brings peace (and a few happy tail wags) wherever she goes, Madre is the one for you."/>
    <m/>
    <n v="25"/>
    <m/>
    <x v="1"/>
    <s v="Record Match"/>
    <n v="45969536"/>
    <s v="A0059262241"/>
    <s v="Madre [Foster Home]"/>
    <s v="Madre (K. Czupek)"/>
    <s v="Madre (K. Czupek)"/>
    <s v="American Bulldog"/>
    <s v="American Staffordshire Terrier"/>
    <s v="Black - with White"/>
    <s v="female"/>
    <s v="adult"/>
    <s v="Med. 26-60 lbs (12-27 kg)"/>
    <s v="Yes"/>
    <s v="No"/>
    <s v="Yes"/>
    <s v="No"/>
    <s v="No"/>
    <s v="Yes"/>
    <s v="Yes"/>
    <s v="Unknown"/>
    <s v="No"/>
    <s v="Pending Surgery"/>
    <s v="Black"/>
    <s v="Foster home"/>
    <s v="Stray/ACO Pickup / Drop Off"/>
    <d v="2025-09-03T08:28:00"/>
    <d v="2025-08-29T08:28:00"/>
    <n v="52.1"/>
    <n v="0"/>
    <s v="58.00 pound"/>
    <n v="1"/>
    <s v="240"/>
    <s v="533"/>
    <s v="533"/>
    <s v="5"/>
    <s v="55"/>
    <s v="55"/>
    <s v="2.1%"/>
  </r>
  <r>
    <x v="0"/>
    <n v="1"/>
    <m/>
    <m/>
    <m/>
    <n v="50.1"/>
    <m/>
    <x v="1"/>
    <s v="Record Match"/>
    <n v="45970242"/>
    <s v="A0059350618"/>
    <s v="Marge"/>
    <s v="Marge"/>
    <s v="Marge"/>
    <s v="Black Mouth Cur"/>
    <s v="Rhodesian Ridgeback"/>
    <s v="Tan/Yellow/Fawn - with Black"/>
    <s v="male"/>
    <s v="puppy"/>
    <s v="Med. 26-60 lbs (12-27 kg)"/>
    <s v="Yes"/>
    <s v="Yes"/>
    <s v="Yes"/>
    <s v="No"/>
    <s v="No"/>
    <s v="Yes"/>
    <s v="Yes"/>
    <s v="Yes"/>
    <s v="No"/>
    <s v="Available"/>
    <s v="Brown"/>
    <s v="Medical Kennel"/>
    <s v="Stray/ACO Pickup / Drop Off"/>
    <d v="2025-09-17T14:39:00"/>
    <d v="2025-09-12T14:39:00"/>
    <n v="37.9"/>
    <n v="0"/>
    <s v="33.00 pound"/>
    <n v="3"/>
    <s v="500"/>
    <s v="1,094"/>
    <s v="1,094"/>
    <s v="13"/>
    <s v="101"/>
    <s v="101"/>
    <s v="2.6%"/>
  </r>
  <r>
    <x v="0"/>
    <n v="1"/>
    <m/>
    <m/>
    <m/>
    <n v="35.9"/>
    <m/>
    <x v="0"/>
    <s v="Record Match"/>
    <n v="45969485"/>
    <s v="A0059250430"/>
    <s v="Mary [Foster Home]"/>
    <s v="Mary (V. Rosenberger)"/>
    <s v="Mary (V. Rosenberger)"/>
    <s v="American Pit Bull Terrier"/>
    <s v="American Staffordshire Terrier"/>
    <s v="White"/>
    <s v="female"/>
    <s v="young"/>
    <s v="Med. 26-60 lbs (12-27 kg)"/>
    <s v="Yes"/>
    <s v="No"/>
    <s v="Yes"/>
    <s v="No"/>
    <s v="No"/>
    <s v="Yes"/>
    <s v="Yes"/>
    <s v="Yes"/>
    <s v="No"/>
    <s v="Pending Surgery"/>
    <s v="White"/>
    <s v="Foster home"/>
    <s v="Stray/ACO Pickup / Drop Off"/>
    <d v="2025-09-01T14:22:00"/>
    <d v="2025-08-27T14:22:00"/>
    <n v="53.9"/>
    <n v="0"/>
    <s v="30.00 pound"/>
    <n v="1"/>
    <s v="448"/>
    <s v="1,075"/>
    <s v="1,075"/>
    <s v="18"/>
    <s v="69"/>
    <s v="69"/>
    <s v="4.0%"/>
  </r>
  <r>
    <x v="1"/>
    <n v="0"/>
    <m/>
    <m/>
    <m/>
    <n v="51.9"/>
    <m/>
    <x v="1"/>
    <s v="Record Match"/>
    <n v="45968036"/>
    <s v="A0058929883"/>
    <s v="Max"/>
    <s v="Max"/>
    <s v="Max"/>
    <s v="Shepherd (Unknown Type)"/>
    <s v="Rottweiler"/>
    <s v="Black - with Tan, Yellow or Fawn"/>
    <s v="male"/>
    <s v="adult"/>
    <s v="Large 61-100 lbs (28-45 kg)"/>
    <s v="Yes"/>
    <s v="Yes"/>
    <s v="Yes"/>
    <s v="No"/>
    <s v="No"/>
    <s v="Yes"/>
    <s v="Yes"/>
    <s v="Unknown"/>
    <s v="No"/>
    <s v="Available"/>
    <s v="Black"/>
    <s v="Pit Pens"/>
    <s v="Stray/ACO Pickup / Drop Off"/>
    <d v="2025-07-22T15:11:00"/>
    <d v="2025-07-17T15:11:00"/>
    <n v="94.8"/>
    <n v="0"/>
    <s v="75.80 pound"/>
    <n v="1"/>
    <s v="197"/>
    <s v="409"/>
    <s v="409"/>
    <s v="11"/>
    <s v="47"/>
    <s v="47"/>
    <s v="5.6%"/>
  </r>
  <r>
    <x v="1"/>
    <n v="0"/>
    <m/>
    <m/>
    <m/>
    <n v="92.8"/>
    <m/>
    <x v="0"/>
    <s v="Record Match"/>
    <n v="45969340"/>
    <s v="A0059250424"/>
    <s v="Maya [Foster To Adopt]"/>
    <s v="Maya (S. Rafferty)"/>
    <s v="Maya (S. Rafferty)"/>
    <s v="American Pit Bull Terrier"/>
    <s v="American Staffordshire Terrier"/>
    <s v="Brindle - with White"/>
    <s v="female"/>
    <s v="young"/>
    <s v="Med. 26-60 lbs (12-27 kg)"/>
    <s v="Yes"/>
    <s v="No"/>
    <s v="Yes"/>
    <s v="No"/>
    <s v="No"/>
    <s v="Yes"/>
    <s v="Yes"/>
    <s v="Yes"/>
    <s v="No"/>
    <s v="Pending Surgery Foster to Adopt"/>
    <s v="Brindle"/>
    <s v="Foster home"/>
    <s v="Stray/ACO Pickup / Drop Off"/>
    <d v="2025-09-01T14:22:00"/>
    <d v="2025-08-27T14:22:00"/>
    <n v="53.9"/>
    <n v="0"/>
    <s v="30.00 pound"/>
    <n v="2"/>
    <s v="294"/>
    <s v="831"/>
    <s v="831"/>
    <s v="12"/>
    <s v="77"/>
    <s v="77"/>
    <s v="4.1%"/>
  </r>
  <r>
    <x v="1"/>
    <n v="0"/>
    <m/>
    <m/>
    <m/>
    <n v="51.9"/>
    <m/>
    <x v="1"/>
    <s v="Record Match"/>
    <n v="45970198"/>
    <s v="A0059318148"/>
    <s v="Rooster"/>
    <s v="Rooster"/>
    <s v="Rooster"/>
    <s v="Treeing Walker Coonhound"/>
    <s v="Black and Tan Coonhound"/>
    <s v="Black - with Tan, Yellow or Fawn"/>
    <s v="male"/>
    <s v="adult"/>
    <s v="Med. 26-60 lbs (12-27 kg)"/>
    <s v="Yes"/>
    <s v="Yes"/>
    <s v="Yes"/>
    <s v="No"/>
    <s v="No"/>
    <s v="Yes"/>
    <s v="Yes"/>
    <s v="Unknown"/>
    <s v="No"/>
    <s v="Available"/>
    <s v="Black"/>
    <s v="Adoption Kennels"/>
    <s v="Stray/Public Drop Off"/>
    <d v="2025-09-13T12:56:00"/>
    <d v="2025-09-08T12:56:00"/>
    <n v="42"/>
    <n v="0"/>
    <s v="44.00 pound"/>
    <n v="2"/>
    <s v="397"/>
    <s v="810"/>
    <s v="810"/>
    <s v="33"/>
    <s v="99"/>
    <s v="99"/>
    <s v="8.3%"/>
  </r>
  <r>
    <x v="0"/>
    <n v="1"/>
    <m/>
    <s v="Shells is the sweetest girl and an absolute gem! This tan Staffordshire mix is thriving in her Charleston foster home, soaking up all the love and comfort she deserves. Gentle, mellow, and endlessly cuddly, Shells is the kind of dog who makes every day feel a little softer. She loves quiet moments, cozy naps, and being close to her people—she’s all about simple joys and warm hearts. Her foster family can’t stop raving about how easy and loving she is. If you’re looking for a gentle companion who’ll fit right into your home and your heart, Shells is ready to bring her calm, sweet spirit to you."/>
    <m/>
    <n v="40"/>
    <m/>
    <x v="0"/>
    <s v="Record Match"/>
    <n v="45969530"/>
    <s v="A0059258024"/>
    <s v="Shells [Foster Home]"/>
    <s v="Shells (P Frank)"/>
    <s v="Shells (P Frank)"/>
    <s v="American Staffordshire Terrier"/>
    <n v="0"/>
    <s v="Tan/Yellow/Fawn"/>
    <s v="female"/>
    <s v="adult"/>
    <s v="Med. 26-60 lbs (12-27 kg)"/>
    <s v="Yes"/>
    <s v="No"/>
    <s v="Yes"/>
    <s v="No"/>
    <s v="No"/>
    <s v="Yes"/>
    <s v="Yes"/>
    <s v="Unknown"/>
    <s v="No"/>
    <s v="Pending Surgery"/>
    <s v="Brown"/>
    <s v="Foster home"/>
    <s v="Stray/Public Drop Off"/>
    <d v="2025-09-02T13:57:00"/>
    <d v="2025-08-28T13:57:00"/>
    <n v="52.9"/>
    <n v="0"/>
    <s v="53.30 pound"/>
    <n v="3"/>
    <s v="393"/>
    <s v="792"/>
    <s v="792"/>
    <s v="4"/>
    <s v="45"/>
    <s v="45"/>
    <s v="1.0%"/>
  </r>
  <r>
    <x v="1"/>
    <n v="0"/>
    <m/>
    <m/>
    <m/>
    <n v="50.9"/>
    <m/>
    <x v="0"/>
    <s v="Record Match"/>
    <n v="45968103"/>
    <s v="A0059200388"/>
    <s v="Tramp"/>
    <s v="Tramp"/>
    <s v="Tramp"/>
    <s v="American Pit Bull Terrier"/>
    <n v="0"/>
    <s v="Black"/>
    <s v="male"/>
    <s v="adult"/>
    <s v="Med. 26-60 lbs (12-27 kg)"/>
    <s v="Yes"/>
    <s v="Yes"/>
    <s v="Yes"/>
    <s v="No"/>
    <s v="No"/>
    <s v="Yes"/>
    <s v="Yes"/>
    <s v="Unknown"/>
    <s v="No"/>
    <s v="Available"/>
    <s v="Black"/>
    <s v="Medical Kennel"/>
    <s v="Stray/ACO Pickup / Drop Off"/>
    <d v="2025-08-24T16:53:00"/>
    <d v="2025-08-19T16:53:00"/>
    <n v="61.8"/>
    <n v="0"/>
    <s v="55.00 pound"/>
    <n v="3"/>
    <s v="211"/>
    <s v="454"/>
    <s v="454"/>
    <s v="11"/>
    <s v="39"/>
    <s v="39"/>
    <s v="5.2%"/>
  </r>
  <r>
    <x v="1"/>
    <n v="0"/>
    <m/>
    <m/>
    <m/>
    <n v="59.8"/>
    <m/>
    <x v="1"/>
    <s v="Record Match"/>
    <n v="45968075"/>
    <s v="A0059055232"/>
    <s v="Vanna"/>
    <s v="Vanna"/>
    <s v="Vanna"/>
    <s v="Whippet"/>
    <s v="Jack Russell Terrier"/>
    <s v="White"/>
    <s v="female"/>
    <s v="young"/>
    <s v="Med. 26-60 lbs (12-27 kg)"/>
    <s v="Yes"/>
    <s v="No"/>
    <s v="Yes"/>
    <s v="No"/>
    <s v="No"/>
    <s v="Yes"/>
    <s v="Yes"/>
    <s v="Unknown"/>
    <s v="No"/>
    <s v="Pending Surgery"/>
    <s v="White"/>
    <s v="Equipment Storage Area"/>
    <s v="Seized/Court Order"/>
    <d v="1899-12-30T00:00:00"/>
    <d v="2025-08-06T10:56:00"/>
    <n v="75"/>
    <n v="0"/>
    <s v="37.00 pound"/>
    <n v="2"/>
    <s v="468"/>
    <s v="1,059"/>
    <s v="1,059"/>
    <s v="15"/>
    <s v="79"/>
    <s v="79"/>
    <s v="3.2%"/>
  </r>
  <r>
    <x v="0"/>
    <e v="#N/A"/>
    <m/>
    <m/>
    <m/>
    <n v="73"/>
    <m/>
    <x v="1"/>
    <s v="Record Match"/>
    <n v="46184776"/>
    <s v="A0059407357"/>
    <s v="Bruno"/>
    <s v="Bruno"/>
    <s v="Bruno"/>
    <s v="Boxer"/>
    <s v="American Bulldog"/>
    <s v="Red/Golden/Orange/Chestnut - with White"/>
    <s v="male"/>
    <s v="adult"/>
    <s v="Med. 26-60 lbs (12-27 kg)"/>
    <s v="Yes"/>
    <s v="No"/>
    <s v="Yes"/>
    <s v="No"/>
    <s v="No"/>
    <s v="Yes"/>
    <s v="Yes"/>
    <s v="Unknown"/>
    <s v="No"/>
    <s v="Pending Surgery"/>
    <s v="Tan"/>
    <s v="Equipment Storage Area"/>
    <s v="Stray/ACO Pickup / Drop Off"/>
    <d v="2025-09-27T13:26:00"/>
    <d v="2025-09-22T13:26:00"/>
    <n v="27.9"/>
    <n v="0"/>
    <s v="44.00 pound"/>
    <n v="2"/>
    <s v="0"/>
    <s v="0"/>
    <s v="0"/>
    <s v="0"/>
    <s v="0"/>
    <s v="0"/>
    <s v="0%"/>
  </r>
  <r>
    <x v="0"/>
    <e v="#N/A"/>
    <m/>
    <m/>
    <m/>
    <m/>
    <m/>
    <x v="1"/>
    <s v="Record Match"/>
    <n v="46184787"/>
    <s v="A0059445995"/>
    <s v="Deeno"/>
    <s v="Deeno"/>
    <s v="Deeno"/>
    <s v="Weimaraner"/>
    <s v="Labrador Retriever"/>
    <s v="Tan/Yellow/Fawn"/>
    <s v="male"/>
    <s v="adult"/>
    <s v="Large 61-100 lbs (28-45 kg)"/>
    <s v="Yes"/>
    <s v="No"/>
    <s v="Yes"/>
    <s v="No"/>
    <s v="No"/>
    <s v="Yes"/>
    <s v="Yes"/>
    <s v="Unknown"/>
    <s v="No"/>
    <s v="Pending Surgery"/>
    <s v="Grey"/>
    <s v="Teen Pens"/>
    <s v="Stray/ACO Pickup / Drop Off"/>
    <d v="2025-10-02T18:18:00"/>
    <d v="2025-09-27T18:18:00"/>
    <n v="22.7"/>
    <n v="0"/>
    <s v="64.00 pound"/>
    <n v="1"/>
    <s v="0"/>
    <s v="0"/>
    <s v="0"/>
    <s v="0"/>
    <s v="0"/>
    <s v="0"/>
    <s v="0%"/>
  </r>
  <r>
    <x v="1"/>
    <e v="#N/A"/>
    <m/>
    <m/>
    <m/>
    <m/>
    <m/>
    <x v="1"/>
    <s v="Record Match"/>
    <n v="46184800"/>
    <s v="A0059531269"/>
    <s v="Earl"/>
    <s v="Earl"/>
    <s v="Earl"/>
    <s v="German Shorthaired Pointer"/>
    <s v="Bluetick Coonhound"/>
    <s v="Black - with White"/>
    <s v="male"/>
    <s v="adult"/>
    <s v="Large 61-100 lbs (28-45 kg)"/>
    <s v="Yes"/>
    <s v="Yes"/>
    <s v="Yes"/>
    <s v="No"/>
    <s v="No"/>
    <s v="Yes"/>
    <s v="Yes"/>
    <s v="Unknown"/>
    <s v="No"/>
    <s v="Available"/>
    <s v="Black"/>
    <s v="Teen Pens"/>
    <s v="Transfer In/Coalition Partner"/>
    <d v="1899-12-30T00:00:00"/>
    <d v="2025-10-02T15:53:00"/>
    <n v="17.8"/>
    <n v="0"/>
    <s v="84.40 pound"/>
    <n v="2"/>
    <s v="0"/>
    <s v="0"/>
    <s v="0"/>
    <s v="0"/>
    <s v="0"/>
    <s v="0"/>
    <s v="0%"/>
  </r>
  <r>
    <x v="0"/>
    <e v="#N/A"/>
    <m/>
    <m/>
    <m/>
    <m/>
    <m/>
    <x v="1"/>
    <s v="Record Match"/>
    <n v="46184805"/>
    <s v="A0059565213"/>
    <s v="Fufu"/>
    <s v="Fufu"/>
    <s v="Fufu"/>
    <s v="Treeing Walker Coonhound"/>
    <s v="Foxhound"/>
    <s v="Tricolor (Tan/Brown &amp; Black &amp; White)"/>
    <s v="female"/>
    <s v="adult"/>
    <s v="Med. 26-60 lbs (12-27 kg)"/>
    <s v="Yes"/>
    <s v="No"/>
    <s v="Yes"/>
    <s v="No"/>
    <s v="No"/>
    <s v="Yes"/>
    <s v="Yes"/>
    <s v="Unknown"/>
    <s v="No"/>
    <s v="Pending Surgery"/>
    <s v="Tan"/>
    <s v="Equipment Storage Area"/>
    <s v="Stray/ACO Pickup / Drop Off"/>
    <d v="2025-10-13T13:56:00"/>
    <d v="2025-10-08T13:56:00"/>
    <n v="11.9"/>
    <n v="0"/>
    <s v="43.30 pound"/>
    <n v="1"/>
    <s v="0"/>
    <s v="0"/>
    <s v="0"/>
    <s v="0"/>
    <s v="0"/>
    <s v="0"/>
    <s v="0%"/>
  </r>
  <r>
    <x v="1"/>
    <e v="#N/A"/>
    <m/>
    <m/>
    <m/>
    <m/>
    <m/>
    <x v="1"/>
    <s v="Record Match"/>
    <n v="46184679"/>
    <s v="A0059431975"/>
    <s v="Gomez"/>
    <s v="Gomez"/>
    <s v="Gomez"/>
    <s v="Labrador Retriever"/>
    <s v="Beagle"/>
    <s v="Black - with White"/>
    <s v="male"/>
    <s v="young"/>
    <s v="Med. 26-60 lbs (12-27 kg)"/>
    <s v="Yes"/>
    <s v="No"/>
    <s v="Yes"/>
    <s v="No"/>
    <s v="No"/>
    <s v="Yes"/>
    <s v="Yes"/>
    <s v="Unknown"/>
    <s v="No"/>
    <s v="Pending Surgery"/>
    <s v="Black"/>
    <s v="Adoption Kennels"/>
    <s v="Stray/ACO Pickup / Drop Off"/>
    <d v="2025-09-30T15:04:00"/>
    <d v="2025-09-25T15:04:00"/>
    <n v="24.8"/>
    <n v="0"/>
    <s v="28.00 pound"/>
    <n v="2"/>
    <s v="0"/>
    <s v="0"/>
    <s v="0"/>
    <s v="0"/>
    <s v="0"/>
    <s v="0"/>
    <s v="0%"/>
  </r>
  <r>
    <x v="0"/>
    <e v="#N/A"/>
    <m/>
    <m/>
    <m/>
    <m/>
    <m/>
    <x v="1"/>
    <s v="Record Match"/>
    <n v="46184656"/>
    <s v="A0059304713"/>
    <s v="Gunner"/>
    <s v="Gunner"/>
    <s v="Gunner"/>
    <s v="Labrador Retriever"/>
    <n v="0"/>
    <s v="Black"/>
    <s v="male"/>
    <s v="adult"/>
    <s v="Med. 26-60 lbs (12-27 kg)"/>
    <s v="Yes"/>
    <s v="Yes"/>
    <s v="Yes"/>
    <s v="No"/>
    <s v="No"/>
    <s v="Yes"/>
    <s v="Yes"/>
    <s v="Unknown"/>
    <s v="No"/>
    <s v="Available"/>
    <s v="Black"/>
    <s v="Medical Kennel"/>
    <s v="Stray/ACO Pickup / Drop Off"/>
    <d v="2025-09-10T13:33:00"/>
    <d v="2025-09-05T13:33:00"/>
    <n v="44.9"/>
    <n v="0"/>
    <s v="59.40 pound"/>
    <n v="2"/>
    <s v="0"/>
    <s v="0"/>
    <s v="0"/>
    <s v="0"/>
    <s v="0"/>
    <s v="0"/>
    <s v="0%"/>
  </r>
  <r>
    <x v="1"/>
    <e v="#N/A"/>
    <m/>
    <m/>
    <m/>
    <m/>
    <m/>
    <x v="0"/>
    <s v="Record Match"/>
    <n v="46184864"/>
    <s v="A0059395399"/>
    <s v="Harry"/>
    <s v="Harry"/>
    <s v="Harry"/>
    <s v="American Pit Bull Terrier"/>
    <s v="Labrador Retriever"/>
    <s v="Black - with White"/>
    <s v="male"/>
    <s v="young"/>
    <s v="Med. 26-60 lbs (12-27 kg)"/>
    <s v="Yes"/>
    <s v="No"/>
    <s v="Yes"/>
    <s v="No"/>
    <s v="No"/>
    <s v="Yes"/>
    <s v="Yes"/>
    <s v="Unknown"/>
    <s v="No"/>
    <s v="Pending Surgery"/>
    <s v="Black"/>
    <s v="Medical Kennel"/>
    <s v="Stray/Public Drop Off"/>
    <d v="2025-09-24T15:12:00"/>
    <d v="2025-09-19T15:12:00"/>
    <n v="30.8"/>
    <n v="0"/>
    <s v="46.00 pound"/>
    <n v="2"/>
    <s v="0"/>
    <s v="0"/>
    <s v="0"/>
    <s v="0"/>
    <s v="0"/>
    <s v="0"/>
    <s v="0%"/>
  </r>
  <r>
    <x v="0"/>
    <e v="#N/A"/>
    <m/>
    <m/>
    <m/>
    <m/>
    <m/>
    <x v="1"/>
    <s v="Record Match"/>
    <n v="46184910"/>
    <s v="A0059362072"/>
    <s v="Hershey"/>
    <s v="Hershey"/>
    <s v="Hershey"/>
    <s v="German Shorthaired Pointer"/>
    <s v="Labrador Retriever"/>
    <s v="Brown/Chocolate"/>
    <s v="male"/>
    <s v="young"/>
    <s v="Med. 26-60 lbs (12-27 kg)"/>
    <s v="Yes"/>
    <s v="Yes"/>
    <s v="Yes"/>
    <s v="No"/>
    <s v="No"/>
    <s v="Yes"/>
    <s v="Yes"/>
    <s v="Unknown"/>
    <s v="No"/>
    <s v="Available"/>
    <s v="Brown"/>
    <s v="Medical Kennel"/>
    <s v="Stray/Public Drop Off"/>
    <d v="2025-09-20T12:29:00"/>
    <d v="2025-09-15T12:29:00"/>
    <n v="35"/>
    <n v="0"/>
    <s v="46.00 pound"/>
    <n v="2"/>
    <s v="0"/>
    <s v="0"/>
    <s v="0"/>
    <s v="0"/>
    <s v="0"/>
    <s v="0"/>
    <s v="0%"/>
  </r>
  <r>
    <x v="1"/>
    <e v="#N/A"/>
    <m/>
    <m/>
    <m/>
    <m/>
    <m/>
    <x v="1"/>
    <s v="Record Match"/>
    <n v="46184923"/>
    <s v="A0059354378"/>
    <s v="Java"/>
    <s v="Java"/>
    <s v="Java"/>
    <s v="Labrador Retriever"/>
    <s v="Hound (Unknown Type)"/>
    <s v="Brown/Chocolate - with Black"/>
    <s v="male"/>
    <s v="young"/>
    <s v="Med. 26-60 lbs (12-27 kg)"/>
    <s v="Yes"/>
    <s v="Yes"/>
    <s v="Yes"/>
    <s v="No"/>
    <s v="No"/>
    <s v="Yes"/>
    <s v="Yes"/>
    <s v="Unknown"/>
    <s v="No"/>
    <s v="Available"/>
    <s v="Brown"/>
    <s v="Medical Kennel"/>
    <s v="Stray/ACO Pickup / Drop Off"/>
    <d v="2025-09-18T11:51:00"/>
    <d v="2025-09-13T11:51:00"/>
    <n v="37"/>
    <n v="0"/>
    <s v="42.00 pound"/>
    <n v="2"/>
    <s v="0"/>
    <s v="0"/>
    <s v="0"/>
    <s v="0"/>
    <s v="0"/>
    <s v="0"/>
    <s v="0%"/>
  </r>
  <r>
    <x v="1"/>
    <e v="#N/A"/>
    <m/>
    <m/>
    <m/>
    <m/>
    <m/>
    <x v="0"/>
    <s v="Record Match"/>
    <n v="46184930"/>
    <s v="A0059288140"/>
    <s v="Lainey"/>
    <s v="Lainey"/>
    <s v="Lainey"/>
    <s v="American Pit Bull Terrier"/>
    <s v="American Bulldog"/>
    <s v="Tan/Yellow/Fawn - with White"/>
    <s v="female"/>
    <s v="young"/>
    <s v="Med. 26-60 lbs (12-27 kg)"/>
    <s v="Yes"/>
    <s v="Yes"/>
    <s v="Yes"/>
    <s v="No"/>
    <s v="No"/>
    <s v="Yes"/>
    <s v="Yes"/>
    <s v="Unknown"/>
    <s v="No"/>
    <s v="Available"/>
    <s v="Tan"/>
    <s v="Medical Lobby Cages"/>
    <s v="Stray/Public Drop Off"/>
    <d v="2025-09-08T11:44:00"/>
    <d v="2025-09-03T11:44:00"/>
    <n v="47"/>
    <n v="0"/>
    <s v="40.40 pound"/>
    <n v="2"/>
    <s v="0"/>
    <s v="0"/>
    <s v="0"/>
    <s v="0"/>
    <s v="0"/>
    <s v="0"/>
    <s v="0%"/>
  </r>
  <r>
    <x v="0"/>
    <e v="#N/A"/>
    <m/>
    <m/>
    <m/>
    <m/>
    <m/>
    <x v="1"/>
    <s v="Record Match"/>
    <n v="46184949"/>
    <s v="A0059340484"/>
    <s v="Moana"/>
    <s v="Moana"/>
    <s v="Moana"/>
    <s v="Shepherd (Unknown Type)"/>
    <s v="Chow Chow"/>
    <s v="Red/Golden/Orange/Chestnut"/>
    <s v="female"/>
    <s v="young"/>
    <s v="Med. 26-60 lbs (12-27 kg)"/>
    <s v="Yes"/>
    <s v="Yes"/>
    <s v="Yes"/>
    <s v="No"/>
    <s v="No"/>
    <s v="Yes"/>
    <s v="Yes"/>
    <s v="Unknown"/>
    <s v="No"/>
    <s v="Available"/>
    <s v="Brown"/>
    <s v="Medical Lobby Cages"/>
    <s v="Stray/Public Drop Off"/>
    <d v="2025-09-16T11:38:00"/>
    <d v="2025-09-11T11:38:00"/>
    <n v="39"/>
    <n v="0"/>
    <s v="32.00 pound"/>
    <n v="2"/>
    <s v="0"/>
    <s v="0"/>
    <s v="0"/>
    <s v="0"/>
    <s v="0"/>
    <s v="0"/>
    <s v="0%"/>
  </r>
  <r>
    <x v="1"/>
    <e v="#N/A"/>
    <m/>
    <m/>
    <m/>
    <m/>
    <m/>
    <x v="0"/>
    <s v="Record Match"/>
    <n v="46184619"/>
    <s v="A0059055106"/>
    <s v="Reno"/>
    <s v="Reno"/>
    <s v="Reno"/>
    <s v="American Pit Bull Terrier"/>
    <s v="American Staffordshire Terrier"/>
    <s v="White - with Red, Golden, Orange or Chestnut"/>
    <s v="male"/>
    <s v="adult"/>
    <s v="Med. 26-60 lbs (12-27 kg)"/>
    <s v="Yes"/>
    <s v="Yes"/>
    <s v="Yes"/>
    <s v="No"/>
    <s v="No"/>
    <s v="Yes"/>
    <s v="Yes"/>
    <s v="Unknown"/>
    <s v="No"/>
    <s v="Available"/>
    <s v="White"/>
    <s v="Holding Kennel"/>
    <s v="Seized/Court Order"/>
    <d v="1899-12-30T00:00:00"/>
    <d v="2025-08-06T10:56:00"/>
    <n v="75"/>
    <n v="0"/>
    <s v="38.60 pound"/>
    <n v="2"/>
    <s v="0"/>
    <s v="0"/>
    <s v="0"/>
    <s v="0"/>
    <s v="0"/>
    <s v="0"/>
    <s v="0%"/>
  </r>
  <r>
    <x v="0"/>
    <e v="#N/A"/>
    <m/>
    <m/>
    <m/>
    <m/>
    <m/>
    <x v="0"/>
    <s v="Record Match"/>
    <n v="46185064"/>
    <s v="A0059406803"/>
    <s v="Rocky"/>
    <s v="Rocky"/>
    <s v="Rocky"/>
    <s v="American Pit Bull Terrier"/>
    <s v="Bulldog"/>
    <s v="Brindle - with White"/>
    <s v="male"/>
    <s v="adult"/>
    <s v="Med. 26-60 lbs (12-27 kg)"/>
    <s v="Yes"/>
    <s v="No"/>
    <s v="Yes"/>
    <s v="No"/>
    <s v="No"/>
    <s v="Yes"/>
    <s v="Yes"/>
    <s v="Unknown"/>
    <s v="No"/>
    <s v="Pending Surgery"/>
    <s v="Brown"/>
    <s v="Medical Kennel"/>
    <s v="Stray/ACO Pickup / Drop Off"/>
    <d v="2025-09-27T12:39:00"/>
    <d v="2025-09-22T12:39:00"/>
    <n v="28"/>
    <n v="0"/>
    <s v="40.00 pound"/>
    <n v="2"/>
    <s v="0"/>
    <s v="0"/>
    <s v="0"/>
    <s v="0"/>
    <s v="0"/>
    <s v="0"/>
    <s v="0%"/>
  </r>
  <r>
    <x v="0"/>
    <e v="#N/A"/>
    <m/>
    <m/>
    <m/>
    <m/>
    <m/>
    <x v="1"/>
    <s v="Record Match"/>
    <n v="46185077"/>
    <s v="A0059531197"/>
    <s v="Rufus"/>
    <s v="Rufus"/>
    <s v="Rufus"/>
    <s v="German Shorthaired Pointer"/>
    <s v="Bluetick Coonhound"/>
    <s v="Black - with White"/>
    <s v="male"/>
    <s v="adult"/>
    <s v="Med. 26-60 lbs (12-27 kg)"/>
    <s v="Yes"/>
    <s v="Yes"/>
    <s v="Yes"/>
    <s v="No"/>
    <s v="No"/>
    <s v="Yes"/>
    <s v="Yes"/>
    <s v="Unknown"/>
    <s v="No"/>
    <s v="Available"/>
    <s v="Black"/>
    <s v="Teen Pens"/>
    <s v="Transfer In/Coalition Partner"/>
    <d v="1899-12-30T00:00:00"/>
    <d v="2025-10-02T15:53:00"/>
    <n v="17.8"/>
    <n v="0"/>
    <s v="58.00 pound"/>
    <n v="2"/>
    <s v="0"/>
    <s v="0"/>
    <s v="0"/>
    <s v="0"/>
    <s v="0"/>
    <s v="0"/>
    <s v="0%"/>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r>
    <x v="2"/>
    <m/>
    <m/>
    <m/>
    <m/>
    <m/>
    <m/>
    <x v="2"/>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197C28-9D19-5E45-95C7-6553693C5FD7}"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Location">
  <location ref="H77:I86" firstHeaderRow="1" firstDataRow="1" firstDataCol="1" rowPageCount="1" colPageCount="1"/>
  <pivotFields count="46">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x="0"/>
        <item h="1" m="1" x="2"/>
        <item h="1" x="1"/>
        <item t="default"/>
      </items>
    </pivotField>
    <pivotField showAll="0"/>
    <pivotField showAll="0"/>
    <pivotField axis="axisRow" showAll="0" sortType="descending">
      <items count="10">
        <item x="3"/>
        <item x="6"/>
        <item x="0"/>
        <item x="1"/>
        <item x="2"/>
        <item x="4"/>
        <item x="5"/>
        <item x="7"/>
        <item x="8"/>
        <item t="default"/>
      </items>
      <autoSortScope>
        <pivotArea dataOnly="0" outline="0" fieldPosition="0">
          <references count="1">
            <reference field="4294967294" count="1" selected="0">
              <x v="0"/>
            </reference>
          </references>
        </pivotArea>
      </autoSortScope>
    </pivotField>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showAll="0"/>
  </pivotFields>
  <rowFields count="1">
    <field x="31"/>
  </rowFields>
  <rowItems count="9">
    <i>
      <x v="2"/>
    </i>
    <i>
      <x v="3"/>
    </i>
    <i>
      <x v="4"/>
    </i>
    <i>
      <x/>
    </i>
    <i>
      <x v="7"/>
    </i>
    <i>
      <x v="1"/>
    </i>
    <i>
      <x v="5"/>
    </i>
    <i>
      <x v="6"/>
    </i>
    <i t="grand">
      <x/>
    </i>
  </rowItems>
  <colItems count="1">
    <i/>
  </colItems>
  <pageFields count="1">
    <pageField fld="28" hier="-1"/>
  </pageFields>
  <dataFields count="1">
    <dataField name="Dog Count" fld="10" subtotal="count"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D5FE4B6-320B-4841-BBF6-8FD2F8EE937B}"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ge">
  <location ref="E43:F48" firstHeaderRow="1" firstDataRow="1" firstDataCol="1" rowPageCount="1" colPageCount="1"/>
  <pivotFields count="32">
    <pivotField numFmtId="1" showAll="0"/>
    <pivotField dataField="1" showAll="0"/>
    <pivotField showAll="0"/>
    <pivotField showAll="0"/>
    <pivotField showAll="0"/>
    <pivotField showAll="0"/>
    <pivotField axis="axisPage" multipleItemSelectionAllowed="1" showAll="0">
      <items count="4">
        <item h="1" x="0"/>
        <item x="1"/>
        <item h="1" m="1" x="2"/>
        <item t="default"/>
      </items>
    </pivotField>
    <pivotField showAll="0"/>
    <pivotField showAll="0"/>
    <pivotField showAll="0"/>
    <pivotField showAll="0"/>
    <pivotField axis="axisRow" showAll="0" sortType="descending">
      <items count="7">
        <item x="1"/>
        <item x="2"/>
        <item x="4"/>
        <item x="3"/>
        <item x="0"/>
        <item m="1" x="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5">
    <i>
      <x/>
    </i>
    <i>
      <x v="4"/>
    </i>
    <i>
      <x v="2"/>
    </i>
    <i>
      <x v="3"/>
    </i>
    <i t="grand">
      <x/>
    </i>
  </rowItems>
  <colItems count="1">
    <i/>
  </colItems>
  <pageFields count="1">
    <pageField fld="6" hier="-1"/>
  </pageFields>
  <dataFields count="1">
    <dataField name="Dog Count" fld="1" subtotal="count"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42F3E48-357D-4541-8314-8B9E46DFE16F}"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ge">
  <location ref="E77:F81" firstHeaderRow="1" firstDataRow="1" firstDataCol="1" rowPageCount="1" colPageCount="1"/>
  <pivotFields count="46">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x="0"/>
        <item h="1" m="1" x="2"/>
        <item h="1" x="1"/>
        <item t="default"/>
      </items>
    </pivotField>
    <pivotField axis="axisRow" showAll="0">
      <items count="9">
        <item x="0"/>
        <item m="1" x="4"/>
        <item x="1"/>
        <item m="1" x="6"/>
        <item m="1" x="7"/>
        <item m="1" x="5"/>
        <item x="3"/>
        <item x="2"/>
        <item t="default"/>
      </items>
    </pivotField>
    <pivotField showAll="0"/>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showAll="0"/>
  </pivotFields>
  <rowFields count="1">
    <field x="29"/>
  </rowFields>
  <rowItems count="4">
    <i>
      <x/>
    </i>
    <i>
      <x v="2"/>
    </i>
    <i>
      <x v="7"/>
    </i>
    <i t="grand">
      <x/>
    </i>
  </rowItems>
  <colItems count="1">
    <i/>
  </colItems>
  <pageFields count="1">
    <pageField fld="28" hier="-1"/>
  </pageFields>
  <dataFields count="1">
    <dataField name="Dog Count" fld="10" subtotal="count"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24E69F6-1862-7641-A057-3C9EF12A4537}"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reatment/Control">
  <location ref="B77:C80" firstHeaderRow="1" firstDataRow="1" firstDataCol="1" rowPageCount="1" colPageCount="1"/>
  <pivotFields count="46">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x="0"/>
        <item h="1" m="1" x="2"/>
        <item h="1" x="1"/>
        <item t="default"/>
      </items>
    </pivotField>
    <pivotField showAll="0"/>
    <pivotField showAll="0"/>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3">
    <i>
      <x/>
    </i>
    <i>
      <x v="1"/>
    </i>
    <i t="grand">
      <x/>
    </i>
  </rowItems>
  <colItems count="1">
    <i/>
  </colItems>
  <pageFields count="1">
    <pageField fld="28" hier="-1"/>
  </pageFields>
  <dataFields count="1">
    <dataField name="Dog Count" fld="10" subtotal="count"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33BB71C-246D-AC4E-A6C0-51262886995F}"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ate Adopted">
  <location ref="H43:I49" firstHeaderRow="1" firstDataRow="1" firstDataCol="1" rowPageCount="1" colPageCount="1"/>
  <pivotFields count="32">
    <pivotField numFmtId="1" showAll="0"/>
    <pivotField dataField="1" showAll="0"/>
    <pivotField showAll="0"/>
    <pivotField showAll="0"/>
    <pivotField showAll="0"/>
    <pivotField axis="axisRow" showAll="0" sortType="descending">
      <items count="6">
        <item x="0"/>
        <item x="1"/>
        <item x="2"/>
        <item x="3"/>
        <item x="4"/>
        <item t="default"/>
      </items>
      <autoSortScope>
        <pivotArea dataOnly="0" outline="0" fieldPosition="0">
          <references count="1">
            <reference field="4294967294" count="1" selected="0">
              <x v="0"/>
            </reference>
          </references>
        </pivotArea>
      </autoSortScope>
    </pivotField>
    <pivotField axis="axisPage" multipleItemSelectionAllowed="1" showAll="0">
      <items count="4">
        <item h="1" x="0"/>
        <item x="1"/>
        <item h="1" m="1"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6">
    <i>
      <x/>
    </i>
    <i>
      <x v="2"/>
    </i>
    <i>
      <x v="1"/>
    </i>
    <i>
      <x v="4"/>
    </i>
    <i>
      <x v="3"/>
    </i>
    <i t="grand">
      <x/>
    </i>
  </rowItems>
  <colItems count="1">
    <i/>
  </colItems>
  <pageFields count="1">
    <pageField fld="6" hier="-1"/>
  </pageFields>
  <dataFields count="1">
    <dataField name="Dog Count" fld="1" subtotal="count" baseField="0" baseItem="0"/>
  </dataFields>
  <formats count="1">
    <format dxfId="17">
      <pivotArea dataOnly="0" labelOnly="1" fieldPosition="0">
        <references count="1">
          <reference field="5" count="0"/>
        </references>
      </pivotArea>
    </format>
  </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3270311-9106-1E4B-874A-140F58AF576E}" name="PivotTable1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LOS Days">
  <location ref="K77:L126" firstHeaderRow="1" firstDataRow="1" firstDataCol="1" rowPageCount="1" colPageCount="1"/>
  <pivotFields count="46">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x="0"/>
        <item h="1" m="1" x="2"/>
        <item h="1" x="1"/>
        <item t="default"/>
      </items>
    </pivotField>
    <pivotField showAll="0"/>
    <pivotField showAll="0"/>
    <pivotField showAll="0"/>
    <pivotField showAll="0"/>
    <pivotField numFmtId="14" showAll="0"/>
    <pivotField numFmtId="14" showAll="0"/>
    <pivotField axis="axisRow" showAll="0" sortType="descending">
      <items count="190">
        <item m="1" x="167"/>
        <item m="1" x="154"/>
        <item m="1" x="178"/>
        <item m="1" x="126"/>
        <item m="1" x="163"/>
        <item m="1" x="169"/>
        <item m="1" x="182"/>
        <item m="1" x="171"/>
        <item m="1" x="129"/>
        <item m="1" x="140"/>
        <item m="1" x="148"/>
        <item m="1" x="176"/>
        <item x="45"/>
        <item m="1" x="147"/>
        <item m="1" x="124"/>
        <item m="1" x="137"/>
        <item m="1" x="185"/>
        <item m="1" x="179"/>
        <item x="22"/>
        <item m="1" x="184"/>
        <item m="1" x="138"/>
        <item m="1" x="146"/>
        <item m="1" x="166"/>
        <item m="1" x="145"/>
        <item x="16"/>
        <item m="1" x="157"/>
        <item m="1" x="164"/>
        <item m="1" x="113"/>
        <item m="1" x="175"/>
        <item m="1" x="156"/>
        <item m="1" x="153"/>
        <item m="1" x="177"/>
        <item m="1" x="141"/>
        <item m="1" x="151"/>
        <item m="1" x="158"/>
        <item m="1" x="159"/>
        <item m="1" x="139"/>
        <item m="1" x="144"/>
        <item m="1" x="92"/>
        <item m="1" x="181"/>
        <item m="1" x="172"/>
        <item m="1" x="173"/>
        <item m="1" x="161"/>
        <item m="1" x="152"/>
        <item m="1" x="168"/>
        <item m="1" x="170"/>
        <item m="1" x="174"/>
        <item m="1" x="162"/>
        <item m="1" x="183"/>
        <item m="1" x="155"/>
        <item m="1" x="187"/>
        <item m="1" x="160"/>
        <item m="1" x="188"/>
        <item m="1" x="150"/>
        <item m="1" x="186"/>
        <item m="1" x="165"/>
        <item m="1" x="180"/>
        <item m="1" x="149"/>
        <item m="1" x="143"/>
        <item m="1" x="142"/>
        <item m="1" x="77"/>
        <item m="1" x="84"/>
        <item m="1" x="85"/>
        <item m="1" x="86"/>
        <item m="1" x="87"/>
        <item m="1" x="88"/>
        <item m="1" x="89"/>
        <item m="1" x="90"/>
        <item m="1" x="91"/>
        <item m="1" x="93"/>
        <item m="1" x="94"/>
        <item x="26"/>
        <item m="1" x="95"/>
        <item m="1" x="96"/>
        <item m="1" x="97"/>
        <item m="1" x="98"/>
        <item m="1" x="99"/>
        <item m="1" x="100"/>
        <item m="1" x="101"/>
        <item m="1" x="102"/>
        <item m="1" x="103"/>
        <item m="1" x="104"/>
        <item m="1" x="105"/>
        <item m="1" x="106"/>
        <item m="1" x="107"/>
        <item m="1" x="108"/>
        <item m="1" x="109"/>
        <item m="1" x="110"/>
        <item m="1" x="111"/>
        <item m="1" x="112"/>
        <item m="1" x="114"/>
        <item m="1" x="115"/>
        <item m="1" x="116"/>
        <item m="1" x="117"/>
        <item m="1" x="118"/>
        <item m="1" x="119"/>
        <item m="1" x="120"/>
        <item m="1" x="121"/>
        <item m="1" x="122"/>
        <item m="1" x="123"/>
        <item m="1" x="125"/>
        <item m="1" x="127"/>
        <item m="1" x="128"/>
        <item m="1" x="130"/>
        <item m="1" x="131"/>
        <item m="1" x="132"/>
        <item m="1" x="133"/>
        <item m="1" x="134"/>
        <item m="1" x="135"/>
        <item m="1" x="136"/>
        <item x="48"/>
        <item m="1" x="49"/>
        <item m="1" x="50"/>
        <item m="1" x="51"/>
        <item m="1" x="52"/>
        <item m="1" x="53"/>
        <item m="1" x="54"/>
        <item m="1" x="55"/>
        <item m="1" x="56"/>
        <item m="1" x="57"/>
        <item m="1" x="58"/>
        <item m="1" x="59"/>
        <item m="1" x="60"/>
        <item m="1" x="61"/>
        <item m="1" x="62"/>
        <item m="1" x="63"/>
        <item x="35"/>
        <item m="1" x="64"/>
        <item m="1" x="65"/>
        <item m="1" x="66"/>
        <item m="1" x="67"/>
        <item m="1" x="68"/>
        <item m="1" x="69"/>
        <item m="1" x="70"/>
        <item m="1" x="71"/>
        <item m="1" x="72"/>
        <item m="1" x="73"/>
        <item m="1" x="74"/>
        <item m="1" x="75"/>
        <item m="1" x="76"/>
        <item m="1" x="78"/>
        <item m="1" x="79"/>
        <item m="1" x="80"/>
        <item m="1" x="81"/>
        <item m="1" x="82"/>
        <item m="1" x="83"/>
        <item x="0"/>
        <item x="1"/>
        <item x="2"/>
        <item x="3"/>
        <item x="4"/>
        <item x="5"/>
        <item x="6"/>
        <item x="7"/>
        <item x="8"/>
        <item x="9"/>
        <item x="10"/>
        <item x="11"/>
        <item x="12"/>
        <item x="13"/>
        <item x="14"/>
        <item x="15"/>
        <item x="17"/>
        <item x="18"/>
        <item x="19"/>
        <item x="20"/>
        <item x="21"/>
        <item x="23"/>
        <item x="24"/>
        <item x="25"/>
        <item x="27"/>
        <item x="28"/>
        <item x="29"/>
        <item x="30"/>
        <item x="31"/>
        <item x="32"/>
        <item x="33"/>
        <item x="34"/>
        <item x="36"/>
        <item x="37"/>
        <item x="38"/>
        <item x="39"/>
        <item x="40"/>
        <item x="41"/>
        <item x="42"/>
        <item x="43"/>
        <item x="44"/>
        <item x="46"/>
        <item x="4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1">
    <field x="35"/>
  </rowFields>
  <rowItems count="49">
    <i>
      <x v="155"/>
    </i>
    <i>
      <x v="165"/>
    </i>
    <i>
      <x v="126"/>
    </i>
    <i>
      <x v="170"/>
    </i>
    <i>
      <x v="173"/>
    </i>
    <i>
      <x v="180"/>
    </i>
    <i>
      <x v="159"/>
    </i>
    <i>
      <x v="161"/>
    </i>
    <i>
      <x v="148"/>
    </i>
    <i>
      <x v="172"/>
    </i>
    <i>
      <x v="168"/>
    </i>
    <i>
      <x v="150"/>
    </i>
    <i>
      <x v="176"/>
    </i>
    <i>
      <x v="151"/>
    </i>
    <i>
      <x v="166"/>
    </i>
    <i>
      <x v="152"/>
    </i>
    <i>
      <x v="146"/>
    </i>
    <i>
      <x v="153"/>
    </i>
    <i>
      <x v="174"/>
    </i>
    <i>
      <x v="154"/>
    </i>
    <i>
      <x v="178"/>
    </i>
    <i>
      <x v="24"/>
    </i>
    <i>
      <x v="182"/>
    </i>
    <i>
      <x v="156"/>
    </i>
    <i>
      <x v="167"/>
    </i>
    <i>
      <x v="157"/>
    </i>
    <i>
      <x v="169"/>
    </i>
    <i>
      <x v="158"/>
    </i>
    <i>
      <x v="171"/>
    </i>
    <i>
      <x v="71"/>
    </i>
    <i>
      <x v="147"/>
    </i>
    <i>
      <x v="160"/>
    </i>
    <i>
      <x v="175"/>
    </i>
    <i>
      <x v="183"/>
    </i>
    <i>
      <x v="177"/>
    </i>
    <i>
      <x v="184"/>
    </i>
    <i>
      <x v="179"/>
    </i>
    <i>
      <x v="186"/>
    </i>
    <i>
      <x v="181"/>
    </i>
    <i>
      <x v="188"/>
    </i>
    <i>
      <x v="149"/>
    </i>
    <i>
      <x v="18"/>
    </i>
    <i>
      <x v="185"/>
    </i>
    <i>
      <x v="162"/>
    </i>
    <i>
      <x v="187"/>
    </i>
    <i>
      <x v="163"/>
    </i>
    <i>
      <x v="12"/>
    </i>
    <i>
      <x v="164"/>
    </i>
    <i t="grand">
      <x/>
    </i>
  </rowItems>
  <colItems count="1">
    <i/>
  </colItems>
  <pageFields count="1">
    <pageField fld="28" hier="-1"/>
  </pageFields>
  <dataFields count="1">
    <dataField name="Dog Count" fld="10" subtotal="count"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84F9D22-ECF4-7047-8679-009C62106470}"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imary Breed">
  <location ref="B43:C66" firstHeaderRow="1" firstDataRow="1" firstDataCol="1" rowPageCount="1" colPageCount="1"/>
  <pivotFields count="32">
    <pivotField numFmtId="1" showAll="0"/>
    <pivotField dataField="1" showAll="0"/>
    <pivotField showAll="0"/>
    <pivotField showAll="0"/>
    <pivotField showAll="0"/>
    <pivotField showAll="0"/>
    <pivotField axis="axisPage" multipleItemSelectionAllowed="1" showAll="0">
      <items count="4">
        <item h="1" x="0"/>
        <item x="1"/>
        <item h="1" m="1" x="2"/>
        <item t="default"/>
      </items>
    </pivotField>
    <pivotField axis="axisRow" showAll="0" sortType="descending">
      <items count="31">
        <item x="23"/>
        <item x="5"/>
        <item x="15"/>
        <item x="13"/>
        <item x="4"/>
        <item x="3"/>
        <item m="1" x="28"/>
        <item x="17"/>
        <item x="7"/>
        <item x="10"/>
        <item x="12"/>
        <item x="18"/>
        <item x="0"/>
        <item x="14"/>
        <item m="1" x="29"/>
        <item m="1" x="27"/>
        <item x="8"/>
        <item x="19"/>
        <item x="16"/>
        <item x="11"/>
        <item x="21"/>
        <item x="20"/>
        <item x="22"/>
        <item x="6"/>
        <item x="1"/>
        <item x="9"/>
        <item x="2"/>
        <item m="1" x="26"/>
        <item x="24"/>
        <item x="2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23">
    <i>
      <x v="24"/>
    </i>
    <i>
      <x v="23"/>
    </i>
    <i>
      <x v="9"/>
    </i>
    <i>
      <x v="4"/>
    </i>
    <i>
      <x v="18"/>
    </i>
    <i>
      <x v="29"/>
    </i>
    <i>
      <x v="20"/>
    </i>
    <i>
      <x v="5"/>
    </i>
    <i>
      <x v="2"/>
    </i>
    <i>
      <x v="1"/>
    </i>
    <i>
      <x v="10"/>
    </i>
    <i>
      <x v="26"/>
    </i>
    <i>
      <x v="8"/>
    </i>
    <i>
      <x v="7"/>
    </i>
    <i>
      <x v="22"/>
    </i>
    <i>
      <x v="19"/>
    </i>
    <i>
      <x v="17"/>
    </i>
    <i>
      <x v="25"/>
    </i>
    <i>
      <x v="21"/>
    </i>
    <i>
      <x v="11"/>
    </i>
    <i>
      <x/>
    </i>
    <i>
      <x v="16"/>
    </i>
    <i t="grand">
      <x/>
    </i>
  </rowItems>
  <colItems count="1">
    <i/>
  </colItems>
  <pageFields count="1">
    <pageField fld="6" hier="-1"/>
  </pageFields>
  <dataFields count="1">
    <dataField name="Dog Count" fld="1" subtotal="count"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0D74D84-4E60-4F4D-8E5A-DF15A3C52668}" name="PivotTable1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91:C98" firstHeaderRow="1" firstDataRow="1" firstDataCol="1" rowPageCount="1" colPageCount="1"/>
  <pivotFields count="46">
    <pivotField axis="axisRow" showAll="0">
      <items count="4">
        <item x="1"/>
        <item x="0"/>
        <item x="2"/>
        <item t="default"/>
      </items>
    </pivotField>
    <pivotField showAll="0"/>
    <pivotField showAll="0"/>
    <pivotField showAll="0"/>
    <pivotField showAll="0"/>
    <pivotField showAll="0"/>
    <pivotField showAll="0"/>
    <pivotField axis="axisRow" showAll="0">
      <items count="5">
        <item x="1"/>
        <item x="0"/>
        <item m="1" x="3"/>
        <item x="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x="0"/>
        <item h="1" m="1" x="2"/>
        <item h="1"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0"/>
    <field x="7"/>
  </rowFields>
  <rowItems count="7">
    <i>
      <x/>
    </i>
    <i r="1">
      <x/>
    </i>
    <i r="1">
      <x v="1"/>
    </i>
    <i>
      <x v="1"/>
    </i>
    <i r="1">
      <x/>
    </i>
    <i r="1">
      <x v="1"/>
    </i>
    <i t="grand">
      <x/>
    </i>
  </rowItems>
  <colItems count="1">
    <i/>
  </colItems>
  <pageFields count="1">
    <pageField fld="28" hier="-1"/>
  </pageFields>
  <dataFields count="1">
    <dataField name="Count of Rescue_ID" fld="10" subtotal="count"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7F4F7BA-33AA-6F41-92A7-4DDBFBC5C1BE}"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5:G32" firstHeaderRow="1" firstDataRow="1" firstDataCol="1" rowPageCount="1" colPageCount="1"/>
  <pivotFields count="32">
    <pivotField numFmtId="1" showAll="0"/>
    <pivotField dataField="1" showAll="0"/>
    <pivotField showAll="0"/>
    <pivotField showAll="0"/>
    <pivotField showAll="0"/>
    <pivotField showAll="0"/>
    <pivotField axis="axisPage" showAll="0">
      <items count="4">
        <item x="0"/>
        <item x="1"/>
        <item m="1" x="2"/>
        <item t="default"/>
      </items>
    </pivotField>
    <pivotField axis="axisRow" showAll="0" sortType="descending">
      <items count="31">
        <item x="2"/>
        <item x="9"/>
        <item x="1"/>
        <item x="6"/>
        <item x="22"/>
        <item x="20"/>
        <item x="21"/>
        <item x="11"/>
        <item x="16"/>
        <item x="19"/>
        <item x="8"/>
        <item m="1" x="27"/>
        <item m="1" x="29"/>
        <item x="14"/>
        <item x="0"/>
        <item x="18"/>
        <item x="12"/>
        <item x="10"/>
        <item x="7"/>
        <item x="17"/>
        <item m="1" x="28"/>
        <item x="3"/>
        <item x="4"/>
        <item x="13"/>
        <item x="15"/>
        <item x="5"/>
        <item x="23"/>
        <item m="1" x="26"/>
        <item x="24"/>
        <item x="2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27">
    <i>
      <x v="2"/>
    </i>
    <i>
      <x v="14"/>
    </i>
    <i>
      <x v="3"/>
    </i>
    <i>
      <x v="17"/>
    </i>
    <i>
      <x v="22"/>
    </i>
    <i>
      <x v="23"/>
    </i>
    <i>
      <x v="13"/>
    </i>
    <i>
      <x v="24"/>
    </i>
    <i>
      <x v="8"/>
    </i>
    <i>
      <x v="6"/>
    </i>
    <i>
      <x v="21"/>
    </i>
    <i>
      <x v="29"/>
    </i>
    <i>
      <x v="16"/>
    </i>
    <i>
      <x v="25"/>
    </i>
    <i>
      <x v="28"/>
    </i>
    <i>
      <x/>
    </i>
    <i>
      <x v="26"/>
    </i>
    <i>
      <x v="9"/>
    </i>
    <i>
      <x v="5"/>
    </i>
    <i>
      <x v="19"/>
    </i>
    <i>
      <x v="10"/>
    </i>
    <i>
      <x v="4"/>
    </i>
    <i>
      <x v="18"/>
    </i>
    <i>
      <x v="7"/>
    </i>
    <i>
      <x v="1"/>
    </i>
    <i>
      <x v="15"/>
    </i>
    <i t="grand">
      <x/>
    </i>
  </rowItems>
  <colItems count="1">
    <i/>
  </colItems>
  <pageFields count="1">
    <pageField fld="6" hier="-1"/>
  </pageFields>
  <dataFields count="1">
    <dataField name="Count of Rescue_ID" fld="1" subtotal="count"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842758C-65AA-5B40-8878-2F9DE9A467D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26:B37" firstHeaderRow="1" firstDataRow="1" firstDataCol="1" rowPageCount="1" colPageCount="1"/>
  <pivotFields count="17">
    <pivotField showAll="0"/>
    <pivotField dataField="1" showAll="0"/>
    <pivotField showAll="0"/>
    <pivotField showAll="0"/>
    <pivotField showAll="0" sortType="descending">
      <autoSortScope>
        <pivotArea dataOnly="0" outline="0" fieldPosition="0">
          <references count="1">
            <reference field="4294967294" count="1" selected="0">
              <x v="0"/>
            </reference>
          </references>
        </pivotArea>
      </autoSortScope>
    </pivotField>
    <pivotField axis="axisPage" multipleItemSelectionAllowed="1" showAll="0">
      <items count="6">
        <item h="1" x="0"/>
        <item x="1"/>
        <item h="1" x="3"/>
        <item h="1" x="2"/>
        <item h="1" x="4"/>
        <item t="default"/>
      </items>
    </pivotField>
    <pivotField showAll="0"/>
    <pivotField showAll="0"/>
    <pivotField showAll="0"/>
    <pivotField showAll="0"/>
    <pivotField showAll="0"/>
    <pivotField showAll="0"/>
    <pivotField showAll="0"/>
    <pivotField showAll="0"/>
    <pivotField axis="axisRow" showAll="0" sortType="descending">
      <items count="22">
        <item x="13"/>
        <item x="11"/>
        <item x="0"/>
        <item x="14"/>
        <item x="1"/>
        <item m="1" x="20"/>
        <item x="6"/>
        <item x="5"/>
        <item x="16"/>
        <item x="2"/>
        <item x="7"/>
        <item x="3"/>
        <item x="12"/>
        <item x="17"/>
        <item x="8"/>
        <item x="4"/>
        <item x="15"/>
        <item x="10"/>
        <item m="1" x="19"/>
        <item x="9"/>
        <item x="18"/>
        <item t="default"/>
      </items>
      <autoSortScope>
        <pivotArea dataOnly="0" outline="0" fieldPosition="0">
          <references count="1">
            <reference field="4294967294" count="1" selected="0">
              <x v="0"/>
            </reference>
          </references>
        </pivotArea>
      </autoSortScope>
    </pivotField>
    <pivotField showAll="0"/>
    <pivotField showAll="0"/>
  </pivotFields>
  <rowFields count="1">
    <field x="14"/>
  </rowFields>
  <rowItems count="11">
    <i>
      <x v="7"/>
    </i>
    <i>
      <x/>
    </i>
    <i>
      <x v="8"/>
    </i>
    <i>
      <x v="10"/>
    </i>
    <i>
      <x v="17"/>
    </i>
    <i>
      <x v="4"/>
    </i>
    <i>
      <x v="14"/>
    </i>
    <i>
      <x v="15"/>
    </i>
    <i>
      <x v="11"/>
    </i>
    <i>
      <x v="19"/>
    </i>
    <i t="grand">
      <x/>
    </i>
  </rowItems>
  <colItems count="1">
    <i/>
  </colItems>
  <pageFields count="1">
    <pageField fld="5" hier="-1"/>
  </pageFields>
  <dataFields count="1">
    <dataField name="Count of Animal ID" fld="1" subtotal="count" baseField="0" baseItem="0"/>
  </dataFields>
  <chartFormats count="6">
    <chartFormat chart="4" format="17" series="1">
      <pivotArea type="data" outline="0" fieldPosition="0">
        <references count="1">
          <reference field="4294967294" count="1" selected="0">
            <x v="0"/>
          </reference>
        </references>
      </pivotArea>
    </chartFormat>
    <chartFormat chart="6" format="33" series="1">
      <pivotArea type="data" outline="0" fieldPosition="0">
        <references count="1">
          <reference field="4294967294" count="1" selected="0">
            <x v="0"/>
          </reference>
        </references>
      </pivotArea>
    </chartFormat>
    <chartFormat chart="7" format="49"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5" format="3">
      <pivotArea type="data" outline="0" fieldPosition="0">
        <references count="2">
          <reference field="4294967294" count="1" selected="0">
            <x v="0"/>
          </reference>
          <reference field="14" count="1" selected="0">
            <x v="14"/>
          </reference>
        </references>
      </pivotArea>
    </chartFormat>
    <chartFormat chart="15" format="4">
      <pivotArea type="data" outline="0" fieldPosition="0">
        <references count="2">
          <reference field="4294967294" count="1" selected="0">
            <x v="0"/>
          </reference>
          <reference field="14" count="1" selected="0">
            <x v="19"/>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BA35A07-E620-D644-A8A7-09243CBE94D3}"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K5:L8" firstHeaderRow="1" firstDataRow="1" firstDataCol="1" rowPageCount="1" colPageCount="1"/>
  <pivotFields count="46">
    <pivotField axis="axisPage" multipleItemSelectionAllowed="1" showAll="0">
      <items count="4">
        <item h="1" x="1"/>
        <item x="0"/>
        <item h="1" x="2"/>
        <item t="default"/>
      </items>
    </pivotField>
    <pivotField showAll="0"/>
    <pivotField showAll="0"/>
    <pivotField showAll="0"/>
    <pivotField showAll="0"/>
    <pivotField dataField="1" showAll="0"/>
    <pivotField showAll="0"/>
    <pivotField axis="axisRow" showAll="0">
      <items count="4">
        <item x="1"/>
        <item x="0"/>
        <item h="1"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3">
    <i>
      <x/>
    </i>
    <i>
      <x v="1"/>
    </i>
    <i t="grand">
      <x/>
    </i>
  </rowItems>
  <colItems count="1">
    <i/>
  </colItems>
  <pageFields count="1">
    <pageField fld="0" hier="-1"/>
  </pageFields>
  <dataFields count="1">
    <dataField name="Average of Pre-Experiment LOS" fld="5" subtotal="average" baseField="0" baseItem="0"/>
  </dataFields>
  <chartFormats count="3">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7" count="1" selected="0">
            <x v="0"/>
          </reference>
        </references>
      </pivotArea>
    </chartFormat>
    <chartFormat chart="0" format="3">
      <pivotArea type="data" outline="0" fieldPosition="0">
        <references count="2">
          <reference field="4294967294" count="1" selected="0">
            <x v="0"/>
          </reference>
          <reference field="7" count="1" selected="0">
            <x v="1"/>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40DAC26-34B7-8A4C-B518-273E91038A7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5:B19" firstHeaderRow="1" firstDataRow="1" firstDataCol="1" rowPageCount="1" colPageCount="1"/>
  <pivotFields count="17">
    <pivotField showAll="0"/>
    <pivotField dataField="1" showAll="0"/>
    <pivotField showAll="0"/>
    <pivotField showAll="0"/>
    <pivotField axis="axisRow" showAll="0" sortType="descending">
      <items count="19">
        <item x="1"/>
        <item x="0"/>
        <item x="5"/>
        <item x="15"/>
        <item x="14"/>
        <item x="9"/>
        <item x="13"/>
        <item x="4"/>
        <item x="6"/>
        <item x="2"/>
        <item x="8"/>
        <item x="10"/>
        <item x="11"/>
        <item x="7"/>
        <item x="3"/>
        <item x="12"/>
        <item m="1" x="17"/>
        <item x="16"/>
        <item t="default"/>
      </items>
      <autoSortScope>
        <pivotArea dataOnly="0" outline="0" fieldPosition="0">
          <references count="1">
            <reference field="4294967294" count="1" selected="0">
              <x v="0"/>
            </reference>
          </references>
        </pivotArea>
      </autoSortScope>
    </pivotField>
    <pivotField axis="axisPage" multipleItemSelectionAllowed="1" showAll="0">
      <items count="6">
        <item h="1" x="0"/>
        <item x="1"/>
        <item h="1" x="3"/>
        <item h="1" x="2"/>
        <item h="1" x="4"/>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14">
    <i>
      <x v="2"/>
    </i>
    <i>
      <x v="9"/>
    </i>
    <i>
      <x v="14"/>
    </i>
    <i>
      <x v="7"/>
    </i>
    <i>
      <x v="10"/>
    </i>
    <i>
      <x v="1"/>
    </i>
    <i>
      <x/>
    </i>
    <i>
      <x v="4"/>
    </i>
    <i>
      <x v="13"/>
    </i>
    <i>
      <x v="12"/>
    </i>
    <i>
      <x v="3"/>
    </i>
    <i>
      <x v="8"/>
    </i>
    <i>
      <x v="5"/>
    </i>
    <i t="grand">
      <x/>
    </i>
  </rowItems>
  <colItems count="1">
    <i/>
  </colItems>
  <pageFields count="1">
    <pageField fld="5" hier="-1"/>
  </pageFields>
  <dataFields count="1">
    <dataField name="Count of Animal ID" fld="1" subtotal="count" baseField="0" baseItem="0"/>
  </dataFields>
  <chartFormats count="16">
    <chartFormat chart="7" format="49" series="1">
      <pivotArea type="data" outline="0" fieldPosition="0">
        <references count="1">
          <reference field="4294967294" count="1" selected="0">
            <x v="0"/>
          </reference>
        </references>
      </pivotArea>
    </chartFormat>
    <chartFormat chart="7" format="50">
      <pivotArea type="data" outline="0" fieldPosition="0">
        <references count="2">
          <reference field="4294967294" count="1" selected="0">
            <x v="0"/>
          </reference>
          <reference field="4" count="1" selected="0">
            <x v="2"/>
          </reference>
        </references>
      </pivotArea>
    </chartFormat>
    <chartFormat chart="7" format="51">
      <pivotArea type="data" outline="0" fieldPosition="0">
        <references count="2">
          <reference field="4294967294" count="1" selected="0">
            <x v="0"/>
          </reference>
          <reference field="4" count="1" selected="0">
            <x v="9"/>
          </reference>
        </references>
      </pivotArea>
    </chartFormat>
    <chartFormat chart="7" format="52">
      <pivotArea type="data" outline="0" fieldPosition="0">
        <references count="2">
          <reference field="4294967294" count="1" selected="0">
            <x v="0"/>
          </reference>
          <reference field="4" count="1" selected="0">
            <x v="7"/>
          </reference>
        </references>
      </pivotArea>
    </chartFormat>
    <chartFormat chart="7" format="53">
      <pivotArea type="data" outline="0" fieldPosition="0">
        <references count="2">
          <reference field="4294967294" count="1" selected="0">
            <x v="0"/>
          </reference>
          <reference field="4" count="1" selected="0">
            <x v="10"/>
          </reference>
        </references>
      </pivotArea>
    </chartFormat>
    <chartFormat chart="7" format="54">
      <pivotArea type="data" outline="0" fieldPosition="0">
        <references count="2">
          <reference field="4294967294" count="1" selected="0">
            <x v="0"/>
          </reference>
          <reference field="4" count="1" selected="0">
            <x v="11"/>
          </reference>
        </references>
      </pivotArea>
    </chartFormat>
    <chartFormat chart="7" format="55">
      <pivotArea type="data" outline="0" fieldPosition="0">
        <references count="2">
          <reference field="4294967294" count="1" selected="0">
            <x v="0"/>
          </reference>
          <reference field="4" count="1" selected="0">
            <x v="1"/>
          </reference>
        </references>
      </pivotArea>
    </chartFormat>
    <chartFormat chart="7" format="56">
      <pivotArea type="data" outline="0" fieldPosition="0">
        <references count="2">
          <reference field="4294967294" count="1" selected="0">
            <x v="0"/>
          </reference>
          <reference field="4" count="1" selected="0">
            <x v="14"/>
          </reference>
        </references>
      </pivotArea>
    </chartFormat>
    <chartFormat chart="7" format="57">
      <pivotArea type="data" outline="0" fieldPosition="0">
        <references count="2">
          <reference field="4294967294" count="1" selected="0">
            <x v="0"/>
          </reference>
          <reference field="4" count="1" selected="0">
            <x v="13"/>
          </reference>
        </references>
      </pivotArea>
    </chartFormat>
    <chartFormat chart="7" format="58">
      <pivotArea type="data" outline="0" fieldPosition="0">
        <references count="2">
          <reference field="4294967294" count="1" selected="0">
            <x v="0"/>
          </reference>
          <reference field="4" count="1" selected="0">
            <x v="4"/>
          </reference>
        </references>
      </pivotArea>
    </chartFormat>
    <chartFormat chart="7" format="59">
      <pivotArea type="data" outline="0" fieldPosition="0">
        <references count="2">
          <reference field="4294967294" count="1" selected="0">
            <x v="0"/>
          </reference>
          <reference field="4" count="1" selected="0">
            <x v="15"/>
          </reference>
        </references>
      </pivotArea>
    </chartFormat>
    <chartFormat chart="7" format="60">
      <pivotArea type="data" outline="0" fieldPosition="0">
        <references count="2">
          <reference field="4294967294" count="1" selected="0">
            <x v="0"/>
          </reference>
          <reference field="4" count="1" selected="0">
            <x v="12"/>
          </reference>
        </references>
      </pivotArea>
    </chartFormat>
    <chartFormat chart="7" format="61">
      <pivotArea type="data" outline="0" fieldPosition="0">
        <references count="2">
          <reference field="4294967294" count="1" selected="0">
            <x v="0"/>
          </reference>
          <reference field="4" count="1" selected="0">
            <x v="5"/>
          </reference>
        </references>
      </pivotArea>
    </chartFormat>
    <chartFormat chart="7" format="62">
      <pivotArea type="data" outline="0" fieldPosition="0">
        <references count="2">
          <reference field="4294967294" count="1" selected="0">
            <x v="0"/>
          </reference>
          <reference field="4" count="1" selected="0">
            <x v="3"/>
          </reference>
        </references>
      </pivotArea>
    </chartFormat>
    <chartFormat chart="7" format="63">
      <pivotArea type="data" outline="0" fieldPosition="0">
        <references count="2">
          <reference field="4294967294" count="1" selected="0">
            <x v="0"/>
          </reference>
          <reference field="4" count="1" selected="0">
            <x v="0"/>
          </reference>
        </references>
      </pivotArea>
    </chartFormat>
    <chartFormat chart="7" format="64">
      <pivotArea type="data" outline="0" fieldPosition="0">
        <references count="2">
          <reference field="4294967294" count="1" selected="0">
            <x v="0"/>
          </reference>
          <reference field="4" count="1" selected="0">
            <x v="8"/>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2D9323A-291C-384A-84A4-2AAFA5A29CF4}" name="Table4" displayName="Table4" ref="A1:AT43" totalsRowShown="0">
  <autoFilter ref="A1:AT43" xr:uid="{12D9323A-291C-384A-84A4-2AAFA5A29CF4}"/>
  <tableColumns count="46">
    <tableColumn id="1" xr3:uid="{7C1CDB7B-5827-E142-8366-D89CDFC3CC69}" name="Kick Off Treatment/Control" dataDxfId="16"/>
    <tableColumn id="39" xr3:uid="{C7E67313-64D5-6246-AD07-C9726572643F}" name="Initial T/C Find" dataDxfId="15">
      <calculatedColumnFormula>VLOOKUP(Table4[[#This Row],[Rescue_ID]],InitialRandom_10_07_25!$I:$AL,30,FALSE)</calculatedColumnFormula>
    </tableColumn>
    <tableColumn id="46" xr3:uid="{AE363289-B99A-F948-B945-F3C3B29ED754}" name="Date Bio Added" dataDxfId="14">
      <calculatedColumnFormula>VLOOKUP(Table4[[#This Row],[Rescue_ID]],'Experiment Tracker'!$B:$P,7,FALSE)</calculatedColumnFormula>
    </tableColumn>
    <tableColumn id="2" xr3:uid="{C08688EA-D7CB-E548-BF73-1B5B72B45A00}" name="Treatment Description"/>
    <tableColumn id="3" xr3:uid="{32E9D1FA-867B-9640-8720-D4C8343CB982}" name="Data Change Note"/>
    <tableColumn id="4" xr3:uid="{B550DD70-27A7-F44E-B0D2-BD13A2CE8473}" name="Pre-Experiment LOS" dataDxfId="13">
      <calculatedColumnFormula>VLOOKUP(Table4[[#This Row],[Rescue_ID]],'Experiment Tracker'!$B:$I,8,FALSE)</calculatedColumnFormula>
    </tableColumn>
    <tableColumn id="5" xr3:uid="{0119E46B-0D72-A14F-9D54-5F3A552888B9}" name="Outcome"/>
    <tableColumn id="37" xr3:uid="{3F2E0857-6948-DF46-B9A0-C5F9F6ECE0BC}" name="Breed Group" dataDxfId="12">
      <calculatedColumnFormula>VLOOKUP(Table4[[#This Row],[Primary_Breed]],'Breed Group'!$A:$B,2,FALSE)</calculatedColumnFormula>
    </tableColumn>
    <tableColumn id="6" xr3:uid="{9D1741F7-08EB-A842-ACDD-46DF9231507E}" name="Data Check">
      <calculatedColumnFormula>IF(VLOOKUP($K2,'Consolidated Data - Static'!$K:$AM,2,FALSE)&lt;&gt;VLOOKUP($K2,'Consolidated Data - Dynamic'!$D:$AF,2,FALSE),"Name-AdoptAPet Mismatch",IF(VLOOKUP($K2,'Consolidated Data - Static'!$K:$AM,3,FALSE)&lt;&gt;VLOOKUP($K2,'Consolidated Data - Dynamic'!$D:$AF,3,FALSE),"Name-PetPoint Mismatch",IF(VLOOKUP($K2,'Consolidated Data - Static'!$K:$AM,4,FALSE)&lt;&gt;VLOOKUP($K2,'Consolidated Data - Dynamic'!$D:$AF,4,FALSE),"Name-Inventory Mismatch", IF(VLOOKUP($K2,'Consolidated Data - Static'!$K:$AM,5,FALSE)&lt;&gt;VLOOKUP($K2,'Consolidated Data - Dynamic'!$D:$AF,5,FALSE),"Primary Breed Mismatch",IF(VLOOKUP($K2,'Consolidated Data - Static'!$K:$AM,6,FALSE)&lt;&gt;VLOOKUP($K2,'Consolidated Data - Dynamic'!$D:$AF,6,FALSE),"Secondary Breed Mismatch", IF(VLOOKUP($K2,'Consolidated Data - Static'!$K:$AM,7,FALSE)&lt;&gt;VLOOKUP($K2,'Consolidated Data - Dynamic'!$D:$AF,7,FALSE),"Color Mismatch",IF(VLOOKUP($K2,'Consolidated Data - Static'!$K:$AM,8,FALSE)&lt;&gt;VLOOKUP($K2,'Consolidated Data - Dynamic'!$D:$AF,8,FALSE),"Sex Mismatch",IF(VLOOKUP($K2,'Consolidated Data - Static'!$K:$AM,9,FALSE)&lt;&gt;VLOOKUP($K2,'Consolidated Data - Dynamic'!$D:$AF,9,FALSE),"Age Mismatch",IF(VLOOKUP($K2,'Consolidated Data - Static'!$K:$AM,10,FALSE)&lt;&gt;VLOOKUP($K2,'Consolidated Data - Dynamic'!$D:$AF,10,FALSE),"Size Mismatch",IF(VLOOKUP($K2,'Consolidated Data - Static'!$K:$AM,11,FALSE)&lt;&gt;VLOOKUP($K2,'Consolidated Data - Dynamic'!$D:$AF,11,FALSE),"Mixed Mismatch",IF(VLOOKUP($K2,'Consolidated Data - Static'!$K:$AM,12,FALSE)&lt;&gt;VLOOKUP($K2,'Consolidated Data - Dynamic'!$D:$AF,12,FALSE),"Altered Mismatch",IF(VLOOKUP($K2,'Consolidated Data - Static'!$K:$AM,13,FALSE)&lt;&gt;VLOOKUP($K2,'Consolidated Data - Dynamic'!$D:$AF,13,FALSE),"Shots Current Mismatch",IF(VLOOKUP($K2,'Consolidated Data - Static'!$K:$AM,14,FALSE)&lt;&gt;VLOOKUP($K2,'Consolidated Data - Dynamic'!$D:$AF,14,FALSE),"Housebroken Mismatch",IF(VLOOKUP($K2,'Consolidated Data - Static'!$K:$AM,15,FALSE)&lt;&gt;VLOOKUP($K2,'Consolidated Data - Dynamic'!$D:$AF,15,FALSE),"Special Needs Mismatch",IF(VLOOKUP($K2,'Consolidated Data - Static'!$K:$AM,16,FALSE)&lt;&gt;VLOOKUP($K2,'Consolidated Data - Dynamic'!$D:$AF,16,FALSE),"OK w/kids Mismatch",IF(VLOOKUP($K2,'Consolidated Data - Static'!$K:$AM,17,FALSE)&lt;&gt;VLOOKUP($K2,'Consolidated Data - Dynamic'!$D:$AF,17,FALSE),"OK w/dogs Mismatch",IF(VLOOKUP($K2,'Consolidated Data - Static'!$K:$AM,18,FALSE)&lt;&gt;VLOOKUP($K2,'Consolidated Data - Dynamic'!$D:$AF,18,FALSE),"OK w/cats Mismatch",IF(VLOOKUP($K2,'Consolidated Data - Static'!$K:$AM,19,FALSE)&lt;&gt;VLOOKUP($K2,'Consolidated Data - Dynamic'!$D:$AF,19,FALSE),"Pre Treatment Description Mismatch",IF(VLOOKUP($K2,'Consolidated Data - Static'!$K:$AM,20,FALSE)&lt;&gt;VLOOKUP($K2,'Consolidated Data - Dynamic'!$D:$AF,20,FALSE),"Stage Mismatch",IF(VLOOKUP($K2,'Consolidated Data - Static'!$K:$AM,21,FALSE)&lt;&gt;VLOOKUP($K2,'Consolidated Data - Dynamic'!$D:$AF,21,FALSE),"Primary Color Mismatch",IF(VLOOKUP($K2,'Consolidated Data - Static'!$K:$AM,22,FALSE)&lt;&gt;VLOOKUP($K2,'Consolidated Data - Dynamic'!$D:$AF,22,FALSE),"Location Mismatch",IF(VLOOKUP($K2,'Consolidated Data - Static'!$K:$AM,23,FALSE)&lt;&gt;VLOOKUP($K2,'Consolidated Data - Dynamic'!$D:$AF,23,FALSE),"Intake Type Mismatch",IF(VLOOKUP($K2,'Consolidated Data - Static'!$K:$AM,24,FALSE)&lt;&gt;VLOOKUP($K2,'Consolidated Data - Dynamic'!$D:$AF,24,FALSE),"Emancipation Date Mismatch",IF(VLOOKUP($K2,'Consolidated Data - Static'!$K:$AM,25,FALSE)&lt;&gt;VLOOKUP($K2,'Consolidated Data - Dynamic'!$D:$AF,25,FALSE),"Intake Date Mismatch",IF(VLOOKUP($K2,'Consolidated Data - Static'!$K:$AM,26,FALSE)&lt;&gt;VLOOKUP($K2,'Consolidated Data - Dynamic'!$D:$AF,26,FALSE),"LOS Days Mismatch",IF(VLOOKUP($K2,'Consolidated Data - Static'!$K:$AM,27,FALSE)&lt;&gt;VLOOKUP($K2,'Consolidated Data - Dynamic'!$D:$AF,27,FALSE),"Stage Change Mismatch",IF(VLOOKUP($K2,'Consolidated Data - Static'!$K:$AM,28,FALSE)&lt;&gt;VLOOKUP($K2,'Consolidated Data - Dynamic'!$D:$AF,28,FALSE),"Animal Weight Mismatch",IF(VLOOKUP($K2,'Consolidated Data - Static'!$K:$AM,29,FALSE)&lt;&gt;VLOOKUP($K2,'Consolidated Data - Dynamic'!$D:$AF,29,FALSE),"Number of Pictures Mismatch", "Record Match"))))))))))))))))))))))))))))</calculatedColumnFormula>
    </tableColumn>
    <tableColumn id="7" xr3:uid="{59110BBC-3C34-C34C-A00D-3990E4ABF196}" name="Pet_ID"/>
    <tableColumn id="8" xr3:uid="{1238CD1C-BB62-6741-9301-E5BF916F1454}" name="Rescue_ID"/>
    <tableColumn id="9" xr3:uid="{B3775169-3524-4944-B984-75D134262DD4}" name="Name - AdoptAPet"/>
    <tableColumn id="10" xr3:uid="{638E3A9E-32B3-E64B-B38A-B2FECF769910}" name="Name-PetPoint"/>
    <tableColumn id="11" xr3:uid="{15CE2221-2375-684E-836F-6145FE4EA4AC}" name="Name-Inventory"/>
    <tableColumn id="12" xr3:uid="{D37D4D4B-2A28-0E44-9F7B-5CAA2E05DDD4}" name="Primary_Breed"/>
    <tableColumn id="13" xr3:uid="{37C2438A-0742-1B4B-90C7-485DBB34EFE1}" name="Secondary_Breed"/>
    <tableColumn id="14" xr3:uid="{B1448EB6-CA59-4A48-B52B-B8041932DBD7}" name="Color"/>
    <tableColumn id="15" xr3:uid="{C1840CEC-F6F9-4F4B-8DDF-929CFDC48A1F}" name="Sex"/>
    <tableColumn id="16" xr3:uid="{4892DDCD-2117-1E47-9171-6C4B21E6B125}" name="Age"/>
    <tableColumn id="17" xr3:uid="{077176D1-703A-6E44-9827-ED5AADE85307}" name="Size"/>
    <tableColumn id="18" xr3:uid="{31C20260-B992-2946-9C23-D8FB0A7EA55B}" name="Mixed"/>
    <tableColumn id="19" xr3:uid="{309F8B2E-AD8D-9D4B-B9DE-B0E2CA8DE633}" name="Altered"/>
    <tableColumn id="20" xr3:uid="{A85FC11B-BA34-5149-9E82-6453382CB5B9}" name="Shots_Current"/>
    <tableColumn id="21" xr3:uid="{72DEE9D8-E98B-774D-855A-0AEBE7FB62B7}" name="Housebroken"/>
    <tableColumn id="22" xr3:uid="{91533A76-B274-4C4B-83B2-95A05C127CE0}" name="Special_Needs"/>
    <tableColumn id="23" xr3:uid="{AC496B8D-3556-1645-A058-4066884E66BD}" name="OK_With_Kids"/>
    <tableColumn id="24" xr3:uid="{D392BA04-4883-1E44-A5A4-CA325953AE9F}" name="OK_With_Dogs"/>
    <tableColumn id="25" xr3:uid="{D2E1525D-8B68-7A4B-AB2B-4E60F716F583}" name="OK_With_Cats"/>
    <tableColumn id="26" xr3:uid="{17FFA19A-471D-4B43-877D-99A436EC0EB3}" name="Pre-Treatment Description"/>
    <tableColumn id="27" xr3:uid="{072E8F22-9475-F146-869F-95E83D217DB3}" name="Stage"/>
    <tableColumn id="28" xr3:uid="{D4C7DA76-6DB3-9D4F-A342-A2662DD2311B}" name="Primary Color"/>
    <tableColumn id="29" xr3:uid="{1EB8DCF9-1CE2-814A-A549-E83FECF7369B}" name="Location"/>
    <tableColumn id="30" xr3:uid="{8683D1E6-9762-5B42-A0DD-384600687123}" name="Intake Type"/>
    <tableColumn id="31" xr3:uid="{DDA7526A-B414-FE4C-AC84-C87ED9012E40}" name="EmancipationDate" dataDxfId="11"/>
    <tableColumn id="32" xr3:uid="{38A74408-3970-0146-98DB-5EB97BD7703F}" name="IntakeDateTime" dataDxfId="10"/>
    <tableColumn id="33" xr3:uid="{C886102C-3C8E-0743-B905-894DA2F541C0}" name="LOSInDays"/>
    <tableColumn id="34" xr3:uid="{2F71B8A1-4AF6-C543-B540-D8E74B2FB110}" name="StageChangeReason"/>
    <tableColumn id="35" xr3:uid="{C203C2F5-2FAC-6240-9B23-EFCAD1FFE48A}" name="AnimalWeight"/>
    <tableColumn id="36" xr3:uid="{A4FBD30B-3CA1-6F4A-9122-5E9472D3BFC1}" name="NumberOfPictures"/>
    <tableColumn id="38" xr3:uid="{871AFC07-803B-C649-A0C3-C00E8759ECCF}" name="PreTreat- Seen_SearchResults_7Days"/>
    <tableColumn id="40" xr3:uid="{70BB612B-44E9-3444-8380-0E66BD0109C4}" name="PreTreat- Seen_SearchResults_30Days"/>
    <tableColumn id="41" xr3:uid="{672C4DFE-2DE1-A649-B02D-C697CBFA286D}" name="PreTreat- Seen_SearchResults_2008"/>
    <tableColumn id="42" xr3:uid="{76FCBB4E-974A-234C-9444-933065E5D45E}" name="PreTreat- Details_Opened_7Days"/>
    <tableColumn id="43" xr3:uid="{FCB142EF-4348-E540-9C64-FFA655DE5630}" name="PreTreat- Details_Opened_30Days"/>
    <tableColumn id="44" xr3:uid="{27B0EC7F-98A9-F44C-A319-11C46503AE16}" name="PreTreat- Details_Opened_2008"/>
    <tableColumn id="45" xr3:uid="{CAA3E8A0-EC0A-824B-BADC-68E91EC748E0}" name="PreTreat- Click_through_7Days"/>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7682E3A-F48F-CF43-A8DB-B4E14027FCCC}" name="Table2" displayName="Table2" ref="A1:AF103" totalsRowShown="0" headerRowDxfId="9">
  <autoFilter ref="A1:AF103" xr:uid="{00000000-0001-0000-0000-000000000000}">
    <filterColumn colId="5">
      <filters blank="1"/>
    </filterColumn>
    <filterColumn colId="6">
      <filters>
        <filter val="dog"/>
      </filters>
    </filterColumn>
  </autoFilter>
  <tableColumns count="32">
    <tableColumn id="1" xr3:uid="{038C8D44-18F3-F948-8937-17C9CBE3CD2C}" name="Pet_ID" dataDxfId="8"/>
    <tableColumn id="2" xr3:uid="{72DFE735-EFEC-E245-88D5-4CC3D982C619}" name="Rescue_ID"/>
    <tableColumn id="3" xr3:uid="{976DCB0A-2189-9241-A0A5-D0A9E982896E}" name="Name"/>
    <tableColumn id="4" xr3:uid="{A165B9BE-21AE-9948-86E5-D24B0530D038}" name="Status"/>
    <tableColumn id="5" xr3:uid="{8831B861-DD7C-E344-A4F6-2655833D63EF}" name="Date_Added" dataDxfId="7"/>
    <tableColumn id="6" xr3:uid="{87642010-B832-CA45-B68A-3E3A1659173B}" name="Date_Adopted" dataDxfId="6"/>
    <tableColumn id="7" xr3:uid="{F008F02E-C020-DF46-930B-5827496319D4}" name="Species"/>
    <tableColumn id="8" xr3:uid="{1E469C63-40BD-3B41-BA2E-1040BDC935C3}" name="Primary_Breed"/>
    <tableColumn id="9" xr3:uid="{A7790C1B-CF3C-974D-ADC0-7B5FA0777FDD}" name="Secondary_Breed"/>
    <tableColumn id="10" xr3:uid="{F3FEE815-CED2-D640-83F4-94AADC4D96DB}" name="Color"/>
    <tableColumn id="11" xr3:uid="{A111D493-40B9-DD49-8459-137E7452F1FE}" name="Sex"/>
    <tableColumn id="12" xr3:uid="{C7C62723-B3F6-E741-88D5-112554B076F9}" name="Age"/>
    <tableColumn id="13" xr3:uid="{69A1EF90-8FC5-8249-B82A-6D26534DA4D2}" name="Size"/>
    <tableColumn id="14" xr3:uid="{72F2FD2E-D7B4-9F4A-8851-A1D4ECBD9912}" name="Coat"/>
    <tableColumn id="15" xr3:uid="{D3791FA2-13C6-F144-B112-0A46F2C6CA7F}" name="Mixed"/>
    <tableColumn id="16" xr3:uid="{B5D11CE5-4ABC-0E49-B090-CB191EC84AE2}" name="Altered"/>
    <tableColumn id="17" xr3:uid="{A64BC260-BDD1-4749-884B-BB2096161F2F}" name="Shots_Current"/>
    <tableColumn id="18" xr3:uid="{CEDE0A65-320E-C845-9957-8993E6D2BEC5}" name="Housebroken"/>
    <tableColumn id="19" xr3:uid="{DF0DA13D-10FB-4D49-8956-97FD62BE8F88}" name="Declawed"/>
    <tableColumn id="20" xr3:uid="{31E4978C-FCF9-054E-8718-92C02AAD62CD}" name="Special_Needs"/>
    <tableColumn id="21" xr3:uid="{EA6BCE75-4423-7E4C-B080-7180382B1A2E}" name="OK_With_Kids"/>
    <tableColumn id="22" xr3:uid="{4B88163E-6B47-6149-A191-DCB20C4C664F}" name="OK_With_Dogs"/>
    <tableColumn id="23" xr3:uid="{CE269FD1-D412-1E47-901E-033F69897562}" name="OK_With_Cats"/>
    <tableColumn id="24" xr3:uid="{1601BD80-BF29-D04B-A56B-D4D9269C51AF}" name="Description"/>
    <tableColumn id="25" xr3:uid="{5526C1D5-783F-D24D-9DAE-462C7B0A7192}" name="Video_URL"/>
    <tableColumn id="26" xr3:uid="{838982DD-9F3A-C846-96C8-E301E997A2BF}" name="Microchip_Number"/>
    <tableColumn id="27" xr3:uid="{343FF060-9138-3A48-9262-9CB1B242DC75}" name="Microchip_Vendor"/>
    <tableColumn id="28" xr3:uid="{A59228B6-B30C-1247-B32C-5802A5E18BEE}" name="Photo_1_URL"/>
    <tableColumn id="29" xr3:uid="{B490AE79-1E75-7A49-8A2F-142EAE7FA2A1}" name="Photo_2_URL"/>
    <tableColumn id="30" xr3:uid="{7BB7E86A-F69C-F54B-97FA-8FF577C572BD}" name="Photo_3_URL"/>
    <tableColumn id="31" xr3:uid="{5650B470-D8D7-C148-8F81-84C66200D298}" name="Photo_4_URL"/>
    <tableColumn id="32" xr3:uid="{B3F9CB1E-E2BF-204C-8234-F8A524EF8910}" name="check" dataDxfId="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4F61838-B524-9E4A-BCB6-5E1F11C3F01D}" name="Table1" displayName="Table1" ref="A1:Q362" totalsRowShown="0" headerRowDxfId="4" headerRowCellStyle="Normal 2" dataCellStyle="Normal 2">
  <tableColumns count="17">
    <tableColumn id="1" xr3:uid="{F5566DDE-3D51-AD4E-ADAB-2D4760E45A11}" name="Column1" dataCellStyle="Normal 2"/>
    <tableColumn id="2" xr3:uid="{04A962A0-EB5A-E643-BB31-636A76CA9A6C}" name="Animal ID" dataCellStyle="Normal 2"/>
    <tableColumn id="3" xr3:uid="{85A91B88-1E3F-0F4B-AAF4-82832B4A61CD}" name="Photo" dataCellStyle="Normal 2"/>
    <tableColumn id="4" xr3:uid="{106D22E0-3A06-1A48-83D9-A5ED1EC51CC5}" name="Status" dataCellStyle="Normal 2"/>
    <tableColumn id="5" xr3:uid="{F9B8E42F-57A3-F042-A288-A847AAEAF612}" name="Stage" dataCellStyle="Normal 2"/>
    <tableColumn id="6" xr3:uid="{7DA363FF-3D11-674A-AAD4-9B6642F70B95}" name="Species" dataCellStyle="Normal 2"/>
    <tableColumn id="7" xr3:uid="{8CB526F6-C5AC-BA4E-B104-0A378442DAD1}" name="Primary Breed" dataCellStyle="Normal 2"/>
    <tableColumn id="8" xr3:uid="{3896D7C3-E6D9-4744-B06B-E35A99C01F85}" name="Name" dataCellStyle="Normal 2"/>
    <tableColumn id="9" xr3:uid="{C95FA675-CD1A-8D4E-8C2E-F76BB9827077}" name="Age" dataCellStyle="Normal 2"/>
    <tableColumn id="10" xr3:uid="{83A15B0F-39A0-2F4B-95DA-BB18729145E2}" name="Sex" dataCellStyle="Normal 2"/>
    <tableColumn id="11" xr3:uid="{B03A4944-F2EE-4F4C-90BA-D97450307944}" name="Spay/Neuter" dataCellStyle="Normal 2"/>
    <tableColumn id="12" xr3:uid="{2C721947-9099-D446-ADA0-3D4E1BCB9FFD}" name="Primary Color" dataCellStyle="Normal 2"/>
    <tableColumn id="13" xr3:uid="{2C6EB3D8-52FA-3749-BCFF-E298D1F7B3E4}" name="On Hold" dataCellStyle="Normal 2"/>
    <tableColumn id="14" xr3:uid="{B77C7338-441C-C541-A803-10CBE57A74E7}" name="Microchip" dataCellStyle="Normal 2"/>
    <tableColumn id="15" xr3:uid="{800145AB-F240-E740-A072-8E1BE90D2BB7}" name="Location" dataCellStyle="Normal 2"/>
    <tableColumn id="16" xr3:uid="{B825682D-9877-4440-86AE-43016F6A0F6E}" name="Sublocation" dataCellStyle="Normal 2"/>
    <tableColumn id="17" xr3:uid="{14A252B4-BBAF-D443-85AC-C685EB360C9A}" name="Reference ID" dataCellStyle="Normal 2"/>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763AD04-16E9-A345-9C73-5090B298792B}" name="Table3" displayName="Table3" ref="A4:AK365" totalsRowShown="0" dataCellStyle="Normal 3">
  <autoFilter ref="A4:AK365" xr:uid="{C763AD04-16E9-A345-9C73-5090B298792B}"/>
  <tableColumns count="37">
    <tableColumn id="1" xr3:uid="{F2904835-E87C-D24A-9F33-03ACF6C88E1E}" name="Location_1" dataCellStyle="Normal 3"/>
    <tableColumn id="2" xr3:uid="{0827FE6A-C175-E04C-B8C2-AFD8A1D26258}" name="AVG_LOS" dataCellStyle="Normal 3"/>
    <tableColumn id="3" xr3:uid="{74D5D5B9-3091-854D-AEC3-55F1EDB7E7B0}" name="Distinct_Animals" dataCellStyle="Normal 3"/>
    <tableColumn id="4" xr3:uid="{A054F911-7253-EC4F-883E-9C5E8E8BA587}" name="AnimalNumber" dataCellStyle="Normal 3"/>
    <tableColumn id="5" xr3:uid="{841432B0-D109-AB48-BA79-3A10B86DA2BD}" name="AnimalName" dataCellStyle="Normal 3"/>
    <tableColumn id="6" xr3:uid="{B0A86B5E-77D7-FE42-A98F-83C2750784B2}" name="AnimalType" dataCellStyle="Normal 3"/>
    <tableColumn id="7" xr3:uid="{2D16CC92-F72C-A447-BC8A-BD2106ECCF05}" name="PrimaryBreed" dataCellStyle="Normal 3"/>
    <tableColumn id="8" xr3:uid="{2E265FCC-28AA-6042-95F6-3AD7A853AC02}" name="Age" dataCellStyle="Normal 3"/>
    <tableColumn id="9" xr3:uid="{0C2B3484-375B-BF4D-A147-351B5D98C906}" name="Color" dataCellStyle="Normal 3"/>
    <tableColumn id="10" xr3:uid="{6E8236E2-848C-3E44-81A2-48104931100C}" name="Declawed" dataCellStyle="Normal 3"/>
    <tableColumn id="11" xr3:uid="{B030EB30-6BD8-984A-A74C-8391B4260088}" name="PreAltered" dataCellStyle="Normal 3"/>
    <tableColumn id="12" xr3:uid="{74A48ACC-4887-A14C-8412-F5A243E972DF}" name="IntakeType" dataCellStyle="Normal 3"/>
    <tableColumn id="13" xr3:uid="{40C593A3-3168-E44C-9533-885B222891F8}" name="Sex" dataCellStyle="Normal 3"/>
    <tableColumn id="14" xr3:uid="{6472E6BD-F1AE-ED4C-A513-D347150F7C38}" name="Stage" dataCellStyle="Normal 3"/>
    <tableColumn id="15" xr3:uid="{09238676-C680-454B-859A-B55738C17B0E}" name="Location" dataCellStyle="Normal 3"/>
    <tableColumn id="16" xr3:uid="{A73E993E-F064-3141-9F6B-571B7FDC1A1B}" name="ARN" dataCellStyle="Normal 3"/>
    <tableColumn id="17" xr3:uid="{C7BE74D9-8EE0-584B-833E-3534543A9922}" name="ChipNumber" dataCellStyle="Normal 3"/>
    <tableColumn id="18" xr3:uid="{A18C0F33-26E4-CF49-AD38-4C32C08942E9}" name="Species" dataCellStyle="Normal 3"/>
    <tableColumn id="19" xr3:uid="{E2BD8D03-16C0-5C4E-9412-5A5B5C81415F}" name="SecondaryBreed" dataCellStyle="Normal 3"/>
    <tableColumn id="20" xr3:uid="{0BBE8C1F-8FC0-364B-967E-C938606E4C18}" name="DateOfBirth" dataDxfId="3" dataCellStyle="Normal 3"/>
    <tableColumn id="21" xr3:uid="{19A8C8F6-6D20-9044-90D5-58AC2C57CDFF}" name="ColorPattern" dataCellStyle="Normal 3"/>
    <tableColumn id="22" xr3:uid="{28C938C0-D18D-5949-B651-A569CB297064}" name="EmancipationDate" dataDxfId="2" dataCellStyle="Normal 3"/>
    <tableColumn id="23" xr3:uid="{8F14211D-9C19-D54C-B850-E738FAB4D7C8}" name="SpayedNeutered" dataCellStyle="Normal 3"/>
    <tableColumn id="24" xr3:uid="{987626E5-E74F-E14F-ACD1-E4C0E93D0CFA}" name="IntakeDateTime" dataDxfId="1" dataCellStyle="Normal 3"/>
    <tableColumn id="25" xr3:uid="{DEE569F3-F09D-E746-B7DC-40BD67F31D75}" name="LOSInDays" dataCellStyle="Normal 3"/>
    <tableColumn id="26" xr3:uid="{F881A31B-DFBD-6343-A514-635779FE5213}" name="StageChangeReason" dataCellStyle="Normal 3"/>
    <tableColumn id="27" xr3:uid="{B124F612-7DBE-B54F-844A-FF710B2C7E1B}" name="SubLocation" dataCellStyle="Normal 3"/>
    <tableColumn id="28" xr3:uid="{E2BCFDBB-4881-994A-B38E-4E20D07B5511}" name="AnimalWeight" dataCellStyle="Normal 3"/>
    <tableColumn id="29" xr3:uid="{05760282-2173-B54E-9C59-AEA7E690EE4D}" name="Danger" dataCellStyle="Normal 3"/>
    <tableColumn id="30" xr3:uid="{D49CD500-2ADF-704B-B042-1132976C9510}" name="DangerType" dataCellStyle="Normal 3"/>
    <tableColumn id="31" xr3:uid="{6FC82951-B75F-734A-A698-88C10287F0C1}" name="NumberOfPictures" dataCellStyle="Normal 3"/>
    <tableColumn id="32" xr3:uid="{B806842D-7976-E64E-87FB-8900339B0A11}" name="Videos" dataCellStyle="Normal 3"/>
    <tableColumn id="33" xr3:uid="{454AD743-2C34-964F-BCAB-3DB1525E9AFE}" name="HoldReason" dataCellStyle="Normal 3"/>
    <tableColumn id="34" xr3:uid="{FBC9E0ED-7436-B24F-99B4-A78552FFF76E}" name="HorForName" dataCellStyle="Normal 3"/>
    <tableColumn id="35" xr3:uid="{DCA01126-49DE-A344-B402-193D0DF127EF}" name="HoldStartDate" dataCellStyle="Normal 3"/>
    <tableColumn id="36" xr3:uid="{269855B5-7428-8747-9093-731D1C1D579E}" name="HoldPlacedBy" dataCellStyle="Normal 3"/>
    <tableColumn id="37" xr3:uid="{14D3223F-2615-5849-84DD-291B10A4F954}" name="Total_Animals" dataCellStyle="Normal 3"/>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drawing" Target="../drawings/drawing2.xml"/><Relationship Id="rId4" Type="http://schemas.openxmlformats.org/officeDocument/2006/relationships/pivotTable" Target="../pivotTables/pivotTable12.xml"/></Relationships>
</file>

<file path=xl/worksheets/_rels/sheet15.xml.rels><?xml version="1.0" encoding="UTF-8" standalone="yes"?>
<Relationships xmlns="http://schemas.openxmlformats.org/package/2006/relationships"><Relationship Id="rId1" Type="http://schemas.openxmlformats.org/officeDocument/2006/relationships/hyperlink" Target="https://www.forbes.com/advisor/homeowners-insurance/banned-dog-breed-lis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6BF5B-49B6-1840-A0CB-6704F760FDAD}">
  <dimension ref="B1:L126"/>
  <sheetViews>
    <sheetView showGridLines="0" zoomScale="110" zoomScaleNormal="110" workbookViewId="0">
      <selection activeCell="N82" sqref="N82"/>
    </sheetView>
  </sheetViews>
  <sheetFormatPr baseColWidth="10" defaultRowHeight="15" x14ac:dyDescent="0.2"/>
  <cols>
    <col min="1" max="1" width="3.83203125" customWidth="1"/>
    <col min="2" max="2" width="21.5" bestFit="1" customWidth="1"/>
    <col min="3" max="3" width="15.6640625" bestFit="1" customWidth="1"/>
    <col min="5" max="5" width="10" bestFit="1" customWidth="1"/>
    <col min="6" max="6" width="9.1640625" bestFit="1" customWidth="1"/>
    <col min="8" max="8" width="14" bestFit="1" customWidth="1"/>
    <col min="9" max="9" width="9.1640625" bestFit="1" customWidth="1"/>
    <col min="11" max="11" width="21.5" bestFit="1" customWidth="1"/>
    <col min="12" max="12" width="9.1640625" bestFit="1" customWidth="1"/>
  </cols>
  <sheetData>
    <row r="1" spans="2:12" x14ac:dyDescent="0.2">
      <c r="B1" s="41" t="s">
        <v>1060</v>
      </c>
      <c r="C1" s="42"/>
      <c r="D1" s="42"/>
      <c r="E1" s="42"/>
      <c r="F1" s="42"/>
      <c r="G1" s="42"/>
      <c r="H1" s="42"/>
      <c r="I1" s="42"/>
      <c r="J1" s="42"/>
      <c r="K1" s="42"/>
      <c r="L1" s="43"/>
    </row>
    <row r="2" spans="2:12" ht="16" thickBot="1" x14ac:dyDescent="0.25">
      <c r="B2" s="44" t="s">
        <v>1061</v>
      </c>
      <c r="C2" s="45"/>
      <c r="D2" s="45"/>
      <c r="E2" s="45"/>
      <c r="F2" s="45"/>
      <c r="G2" s="45"/>
      <c r="H2" s="45"/>
      <c r="I2" s="45"/>
      <c r="J2" s="45"/>
      <c r="K2" s="45"/>
      <c r="L2" s="46"/>
    </row>
    <row r="3" spans="2:12" ht="16" thickBot="1" x14ac:dyDescent="0.25"/>
    <row r="4" spans="2:12" x14ac:dyDescent="0.2">
      <c r="B4" s="47" t="s">
        <v>1066</v>
      </c>
      <c r="C4" s="48"/>
      <c r="D4" s="48"/>
      <c r="E4" s="48"/>
      <c r="F4" s="48"/>
      <c r="G4" s="48"/>
      <c r="H4" s="48"/>
      <c r="I4" s="48"/>
      <c r="J4" s="48"/>
      <c r="K4" s="48"/>
      <c r="L4" s="49"/>
    </row>
    <row r="5" spans="2:12" ht="32" customHeight="1" thickBot="1" x14ac:dyDescent="0.25">
      <c r="B5" s="35" t="s">
        <v>1062</v>
      </c>
      <c r="C5" s="36"/>
      <c r="D5" s="37" t="str">
        <f>"Total Animals "&amp;"
 "&amp;COUNTA('All - PetPoint'!$F:$F)-1</f>
        <v>Total Animals 
 361</v>
      </c>
      <c r="E5" s="37"/>
      <c r="F5" s="37" t="str">
        <f>"Total Dogs "&amp;"
 "&amp;COUNTIF('All - PetPoint'!$F:$F,"Dog")</f>
        <v>Total Dogs 
 150</v>
      </c>
      <c r="G5" s="37"/>
      <c r="H5" s="37" t="str">
        <f>"Total Cats "&amp;"
 "&amp;COUNTIF('All - PetPoint'!$F:$F,"Cat")</f>
        <v>Total Cats 
 200</v>
      </c>
      <c r="I5" s="37"/>
      <c r="J5" s="37" t="str">
        <f>"Total Pigs "&amp;"
 "&amp;COUNTIF('All - PetPoint'!$F:$F,"Pig")</f>
        <v>Total Pigs 
 11</v>
      </c>
      <c r="K5" s="37"/>
      <c r="L5" s="38"/>
    </row>
    <row r="6" spans="2:12" ht="32" customHeight="1" thickTop="1" thickBot="1" x14ac:dyDescent="0.25">
      <c r="B6" s="35" t="s">
        <v>1063</v>
      </c>
      <c r="C6" s="36"/>
      <c r="D6" s="37" t="str">
        <f>"Total Animals "&amp;"
 "&amp;COUNTA('All - AdoptAPet'!$G:$G)-1</f>
        <v>Total Animals 
 85</v>
      </c>
      <c r="E6" s="37"/>
      <c r="F6" s="39" t="str">
        <f>"Total Dogs "&amp;"
 "&amp;COUNTIF('All - AdoptAPet'!$G:$G,"Dog")</f>
        <v>Total Dogs 
 57</v>
      </c>
      <c r="G6" s="39"/>
      <c r="H6" s="39" t="str">
        <f>"Total Cats "&amp;"
 "&amp;COUNTIF('All - AdoptAPet'!$G:$G,"Cat")</f>
        <v>Total Cats 
 22</v>
      </c>
      <c r="I6" s="39"/>
      <c r="J6" s="39" t="str">
        <f>"Total Pigs "&amp;"
 "&amp;COUNTIF('All - AdoptAPet'!$G:$G,"Pig")</f>
        <v>Total Pigs 
 0</v>
      </c>
      <c r="K6" s="39"/>
      <c r="L6" s="40"/>
    </row>
    <row r="7" spans="2:12" ht="32" customHeight="1" thickTop="1" thickBot="1" x14ac:dyDescent="0.25">
      <c r="B7" s="29" t="s">
        <v>1064</v>
      </c>
      <c r="C7" s="30"/>
      <c r="D7" s="31" t="str">
        <f>"Total Dogs "&amp;"
 "&amp;COUNTA('Consolidated Data - Static'!$L:$L)-1</f>
        <v>Total Dogs 
 42</v>
      </c>
      <c r="E7" s="31"/>
      <c r="F7" s="34" t="str">
        <f>"Total Dogs w/out Pre-Treament Bios "&amp;"
 "&amp;COUNTIF('Consolidated Data - Static'!$AC:$AC,"No")</f>
        <v>Total Dogs w/out Pre-Treament Bios 
 28</v>
      </c>
      <c r="G7" s="34"/>
      <c r="H7" s="34"/>
      <c r="I7" s="34"/>
      <c r="J7" s="32" t="s">
        <v>1065</v>
      </c>
      <c r="K7" s="32"/>
      <c r="L7" s="33"/>
    </row>
    <row r="8" spans="2:12" ht="32" customHeight="1" x14ac:dyDescent="0.2">
      <c r="B8" s="28" t="s">
        <v>1096</v>
      </c>
      <c r="C8" s="28"/>
      <c r="D8" s="28"/>
      <c r="E8" s="28"/>
      <c r="F8" s="28"/>
      <c r="G8" s="28"/>
      <c r="H8" s="28"/>
      <c r="I8" s="28"/>
      <c r="J8" s="28"/>
      <c r="K8" s="28"/>
      <c r="L8" s="28"/>
    </row>
    <row r="9" spans="2:12" ht="16" thickBot="1" x14ac:dyDescent="0.25"/>
    <row r="10" spans="2:12" ht="16" thickBot="1" x14ac:dyDescent="0.25">
      <c r="B10" s="25" t="s">
        <v>1067</v>
      </c>
      <c r="C10" s="26"/>
      <c r="D10" s="26"/>
      <c r="E10" s="26"/>
      <c r="F10" s="26"/>
      <c r="G10" s="26"/>
      <c r="H10" s="26"/>
      <c r="I10" s="26"/>
      <c r="J10" s="26"/>
      <c r="K10" s="26"/>
      <c r="L10" s="27"/>
    </row>
    <row r="11" spans="2:12" x14ac:dyDescent="0.2">
      <c r="B11" s="10"/>
    </row>
    <row r="39" spans="2:12" ht="16" thickBot="1" x14ac:dyDescent="0.25"/>
    <row r="40" spans="2:12" ht="16" thickBot="1" x14ac:dyDescent="0.25">
      <c r="B40" s="25" t="s">
        <v>1074</v>
      </c>
      <c r="C40" s="26"/>
      <c r="D40" s="26"/>
      <c r="E40" s="26"/>
      <c r="F40" s="26"/>
      <c r="G40" s="26"/>
      <c r="H40" s="26"/>
      <c r="I40" s="26"/>
      <c r="J40" s="26"/>
      <c r="K40" s="26"/>
      <c r="L40" s="27"/>
    </row>
    <row r="41" spans="2:12" hidden="1" x14ac:dyDescent="0.2">
      <c r="B41" s="12" t="s">
        <v>6</v>
      </c>
      <c r="C41" t="s">
        <v>45</v>
      </c>
      <c r="E41" s="12" t="s">
        <v>6</v>
      </c>
      <c r="F41" t="s">
        <v>45</v>
      </c>
      <c r="H41" s="12" t="s">
        <v>6</v>
      </c>
      <c r="I41" t="s">
        <v>45</v>
      </c>
    </row>
    <row r="43" spans="2:12" x14ac:dyDescent="0.2">
      <c r="B43" s="12" t="s">
        <v>880</v>
      </c>
      <c r="C43" t="s">
        <v>1077</v>
      </c>
      <c r="E43" s="12" t="s">
        <v>11</v>
      </c>
      <c r="F43" t="s">
        <v>1077</v>
      </c>
      <c r="H43" s="12" t="s">
        <v>1079</v>
      </c>
      <c r="I43" t="s">
        <v>1077</v>
      </c>
    </row>
    <row r="44" spans="2:12" x14ac:dyDescent="0.2">
      <c r="B44" s="2" t="s">
        <v>46</v>
      </c>
      <c r="C44">
        <v>23</v>
      </c>
      <c r="E44" s="2" t="s">
        <v>49</v>
      </c>
      <c r="F44">
        <v>54</v>
      </c>
      <c r="H44" s="13" t="s">
        <v>1078</v>
      </c>
      <c r="I44">
        <v>75</v>
      </c>
    </row>
    <row r="45" spans="2:12" x14ac:dyDescent="0.2">
      <c r="B45" s="2" t="s">
        <v>53</v>
      </c>
      <c r="C45">
        <v>10</v>
      </c>
      <c r="E45" s="2" t="s">
        <v>37</v>
      </c>
      <c r="F45">
        <v>23</v>
      </c>
      <c r="H45" s="13">
        <v>45810</v>
      </c>
      <c r="I45">
        <v>2</v>
      </c>
    </row>
    <row r="46" spans="2:12" x14ac:dyDescent="0.2">
      <c r="B46" s="2" t="s">
        <v>90</v>
      </c>
      <c r="C46">
        <v>9</v>
      </c>
      <c r="E46" s="2" t="s">
        <v>386</v>
      </c>
      <c r="F46">
        <v>2</v>
      </c>
      <c r="H46" s="13">
        <v>45630</v>
      </c>
      <c r="I46">
        <v>1</v>
      </c>
    </row>
    <row r="47" spans="2:12" x14ac:dyDescent="0.2">
      <c r="B47" s="2" t="s">
        <v>80</v>
      </c>
      <c r="C47">
        <v>7</v>
      </c>
      <c r="E47" s="2" t="s">
        <v>230</v>
      </c>
      <c r="F47">
        <v>1</v>
      </c>
      <c r="H47" s="13">
        <v>45860</v>
      </c>
      <c r="I47">
        <v>1</v>
      </c>
    </row>
    <row r="48" spans="2:12" x14ac:dyDescent="0.2">
      <c r="B48" s="2" t="s">
        <v>68</v>
      </c>
      <c r="C48">
        <v>3</v>
      </c>
      <c r="E48" s="2" t="s">
        <v>1072</v>
      </c>
      <c r="F48">
        <v>80</v>
      </c>
      <c r="H48" s="13">
        <v>45877</v>
      </c>
      <c r="I48">
        <v>1</v>
      </c>
    </row>
    <row r="49" spans="2:9" x14ac:dyDescent="0.2">
      <c r="B49" s="2" t="s">
        <v>1428</v>
      </c>
      <c r="C49">
        <v>3</v>
      </c>
      <c r="H49" s="2" t="s">
        <v>1072</v>
      </c>
      <c r="I49">
        <v>80</v>
      </c>
    </row>
    <row r="50" spans="2:9" x14ac:dyDescent="0.2">
      <c r="B50" s="2" t="s">
        <v>372</v>
      </c>
      <c r="C50">
        <v>3</v>
      </c>
    </row>
    <row r="51" spans="2:9" x14ac:dyDescent="0.2">
      <c r="B51" s="2" t="s">
        <v>72</v>
      </c>
      <c r="C51">
        <v>3</v>
      </c>
    </row>
    <row r="52" spans="2:9" x14ac:dyDescent="0.2">
      <c r="B52" s="2" t="s">
        <v>252</v>
      </c>
      <c r="C52">
        <v>3</v>
      </c>
    </row>
    <row r="53" spans="2:9" x14ac:dyDescent="0.2">
      <c r="B53" s="2" t="s">
        <v>89</v>
      </c>
      <c r="C53">
        <v>2</v>
      </c>
    </row>
    <row r="54" spans="2:9" x14ac:dyDescent="0.2">
      <c r="B54" s="2" t="s">
        <v>96</v>
      </c>
      <c r="C54">
        <v>2</v>
      </c>
    </row>
    <row r="55" spans="2:9" x14ac:dyDescent="0.2">
      <c r="B55" s="2" t="s">
        <v>59</v>
      </c>
      <c r="C55">
        <v>2</v>
      </c>
    </row>
    <row r="56" spans="2:9" x14ac:dyDescent="0.2">
      <c r="B56" s="2" t="s">
        <v>105</v>
      </c>
      <c r="C56">
        <v>1</v>
      </c>
    </row>
    <row r="57" spans="2:9" x14ac:dyDescent="0.2">
      <c r="B57" s="2" t="s">
        <v>271</v>
      </c>
      <c r="C57">
        <v>1</v>
      </c>
    </row>
    <row r="58" spans="2:9" x14ac:dyDescent="0.2">
      <c r="B58" s="2" t="s">
        <v>397</v>
      </c>
      <c r="C58">
        <v>1</v>
      </c>
    </row>
    <row r="59" spans="2:9" x14ac:dyDescent="0.2">
      <c r="B59" s="2" t="s">
        <v>153</v>
      </c>
      <c r="C59">
        <v>1</v>
      </c>
    </row>
    <row r="60" spans="2:9" x14ac:dyDescent="0.2">
      <c r="B60" s="2" t="s">
        <v>335</v>
      </c>
      <c r="C60">
        <v>1</v>
      </c>
    </row>
    <row r="61" spans="2:9" x14ac:dyDescent="0.2">
      <c r="B61" s="2" t="s">
        <v>122</v>
      </c>
      <c r="C61">
        <v>1</v>
      </c>
    </row>
    <row r="62" spans="2:9" x14ac:dyDescent="0.2">
      <c r="B62" s="2" t="s">
        <v>341</v>
      </c>
      <c r="C62">
        <v>1</v>
      </c>
    </row>
    <row r="63" spans="2:9" x14ac:dyDescent="0.2">
      <c r="B63" s="2" t="s">
        <v>253</v>
      </c>
      <c r="C63">
        <v>1</v>
      </c>
    </row>
    <row r="64" spans="2:9" x14ac:dyDescent="0.2">
      <c r="B64" s="2" t="s">
        <v>437</v>
      </c>
      <c r="C64">
        <v>1</v>
      </c>
    </row>
    <row r="65" spans="2:12" x14ac:dyDescent="0.2">
      <c r="B65" s="2" t="s">
        <v>111</v>
      </c>
      <c r="C65">
        <v>1</v>
      </c>
    </row>
    <row r="66" spans="2:12" x14ac:dyDescent="0.2">
      <c r="B66" s="2" t="s">
        <v>1072</v>
      </c>
      <c r="C66">
        <v>80</v>
      </c>
    </row>
    <row r="71" spans="2:12" ht="16" thickBot="1" x14ac:dyDescent="0.25"/>
    <row r="72" spans="2:12" ht="16" thickBot="1" x14ac:dyDescent="0.25">
      <c r="B72" s="25" t="s">
        <v>1080</v>
      </c>
      <c r="C72" s="26"/>
      <c r="D72" s="26"/>
      <c r="E72" s="26"/>
      <c r="F72" s="26"/>
      <c r="G72" s="26"/>
      <c r="H72" s="26"/>
      <c r="I72" s="26"/>
      <c r="J72" s="26"/>
      <c r="K72" s="26"/>
      <c r="L72" s="27"/>
    </row>
    <row r="75" spans="2:12" x14ac:dyDescent="0.2">
      <c r="B75" s="12" t="s">
        <v>1052</v>
      </c>
      <c r="C75" t="s">
        <v>41</v>
      </c>
      <c r="E75" s="12" t="s">
        <v>1052</v>
      </c>
      <c r="F75" t="s">
        <v>41</v>
      </c>
      <c r="H75" s="12" t="s">
        <v>1052</v>
      </c>
      <c r="I75" t="s">
        <v>41</v>
      </c>
      <c r="K75" s="12" t="s">
        <v>1052</v>
      </c>
      <c r="L75" t="s">
        <v>41</v>
      </c>
    </row>
    <row r="77" spans="2:12" x14ac:dyDescent="0.2">
      <c r="B77" s="12" t="s">
        <v>1055</v>
      </c>
      <c r="C77" t="s">
        <v>1077</v>
      </c>
      <c r="E77" s="12" t="s">
        <v>881</v>
      </c>
      <c r="F77" t="s">
        <v>1077</v>
      </c>
      <c r="H77" s="12" t="s">
        <v>876</v>
      </c>
      <c r="I77" t="s">
        <v>1077</v>
      </c>
      <c r="K77" s="12" t="s">
        <v>1081</v>
      </c>
      <c r="L77" t="s">
        <v>1077</v>
      </c>
    </row>
    <row r="78" spans="2:12" x14ac:dyDescent="0.2">
      <c r="B78" s="2">
        <v>0</v>
      </c>
      <c r="C78">
        <v>28</v>
      </c>
      <c r="E78" s="2" t="s">
        <v>461</v>
      </c>
      <c r="F78">
        <v>45</v>
      </c>
      <c r="H78" s="2" t="s">
        <v>446</v>
      </c>
      <c r="I78">
        <v>14</v>
      </c>
      <c r="K78" s="2">
        <v>119.9</v>
      </c>
      <c r="L78">
        <v>3</v>
      </c>
    </row>
    <row r="79" spans="2:12" x14ac:dyDescent="0.2">
      <c r="B79" s="2">
        <v>1</v>
      </c>
      <c r="C79">
        <v>29</v>
      </c>
      <c r="E79" s="2" t="s">
        <v>494</v>
      </c>
      <c r="F79">
        <v>11</v>
      </c>
      <c r="H79" s="2" t="s">
        <v>492</v>
      </c>
      <c r="I79">
        <v>13</v>
      </c>
      <c r="K79" s="2">
        <v>61.9</v>
      </c>
      <c r="L79">
        <v>2</v>
      </c>
    </row>
    <row r="80" spans="2:12" x14ac:dyDescent="0.2">
      <c r="B80" s="2" t="s">
        <v>1072</v>
      </c>
      <c r="C80">
        <v>57</v>
      </c>
      <c r="E80" s="2" t="s">
        <v>585</v>
      </c>
      <c r="F80">
        <v>1</v>
      </c>
      <c r="H80" s="2" t="s">
        <v>531</v>
      </c>
      <c r="I80">
        <v>10</v>
      </c>
      <c r="K80" s="2">
        <v>75</v>
      </c>
      <c r="L80">
        <v>2</v>
      </c>
    </row>
    <row r="81" spans="2:12" x14ac:dyDescent="0.2">
      <c r="E81" s="2" t="s">
        <v>1072</v>
      </c>
      <c r="F81">
        <v>57</v>
      </c>
      <c r="H81" s="2" t="s">
        <v>458</v>
      </c>
      <c r="I81">
        <v>9</v>
      </c>
      <c r="K81" s="2">
        <v>37.9</v>
      </c>
      <c r="L81">
        <v>2</v>
      </c>
    </row>
    <row r="82" spans="2:12" x14ac:dyDescent="0.2">
      <c r="B82" s="2"/>
      <c r="H82" s="2" t="s">
        <v>645</v>
      </c>
      <c r="I82">
        <v>3</v>
      </c>
      <c r="K82" s="2">
        <v>53.9</v>
      </c>
      <c r="L82">
        <v>2</v>
      </c>
    </row>
    <row r="83" spans="2:12" x14ac:dyDescent="0.2">
      <c r="B83" s="2"/>
      <c r="H83" s="2" t="s">
        <v>469</v>
      </c>
      <c r="I83">
        <v>3</v>
      </c>
      <c r="K83" s="2">
        <v>17.8</v>
      </c>
      <c r="L83">
        <v>2</v>
      </c>
    </row>
    <row r="84" spans="2:12" x14ac:dyDescent="0.2">
      <c r="B84" s="2"/>
      <c r="H84" s="2" t="s">
        <v>737</v>
      </c>
      <c r="I84">
        <v>3</v>
      </c>
      <c r="K84" s="2">
        <v>94.9</v>
      </c>
      <c r="L84">
        <v>2</v>
      </c>
    </row>
    <row r="85" spans="2:12" x14ac:dyDescent="0.2">
      <c r="B85" s="2"/>
      <c r="H85" s="2" t="s">
        <v>681</v>
      </c>
      <c r="I85">
        <v>2</v>
      </c>
      <c r="K85" s="2">
        <v>77</v>
      </c>
      <c r="L85">
        <v>2</v>
      </c>
    </row>
    <row r="86" spans="2:12" x14ac:dyDescent="0.2">
      <c r="B86" s="2"/>
      <c r="H86" s="2" t="s">
        <v>1072</v>
      </c>
      <c r="I86">
        <v>57</v>
      </c>
      <c r="K86" s="2">
        <v>251.1</v>
      </c>
      <c r="L86">
        <v>1</v>
      </c>
    </row>
    <row r="87" spans="2:12" x14ac:dyDescent="0.2">
      <c r="B87" s="2"/>
      <c r="K87" s="2">
        <v>52.1</v>
      </c>
      <c r="L87">
        <v>1</v>
      </c>
    </row>
    <row r="88" spans="2:12" x14ac:dyDescent="0.2">
      <c r="K88" s="2">
        <v>56</v>
      </c>
      <c r="L88">
        <v>1</v>
      </c>
    </row>
    <row r="89" spans="2:12" x14ac:dyDescent="0.2">
      <c r="B89" s="12" t="s">
        <v>1052</v>
      </c>
      <c r="C89" t="s">
        <v>41</v>
      </c>
      <c r="K89" s="2">
        <v>193.9</v>
      </c>
      <c r="L89">
        <v>1</v>
      </c>
    </row>
    <row r="90" spans="2:12" x14ac:dyDescent="0.2">
      <c r="K90" s="2">
        <v>52.9</v>
      </c>
      <c r="L90">
        <v>1</v>
      </c>
    </row>
    <row r="91" spans="2:12" x14ac:dyDescent="0.2">
      <c r="B91" s="12" t="s">
        <v>1071</v>
      </c>
      <c r="C91" t="s">
        <v>1076</v>
      </c>
      <c r="K91" s="2">
        <v>219.8</v>
      </c>
      <c r="L91">
        <v>1</v>
      </c>
    </row>
    <row r="92" spans="2:12" x14ac:dyDescent="0.2">
      <c r="B92" s="2">
        <v>0</v>
      </c>
      <c r="C92">
        <v>28</v>
      </c>
      <c r="K92" s="2">
        <v>59</v>
      </c>
      <c r="L92">
        <v>1</v>
      </c>
    </row>
    <row r="93" spans="2:12" x14ac:dyDescent="0.2">
      <c r="B93" s="21" t="s">
        <v>1101</v>
      </c>
      <c r="C93">
        <v>15</v>
      </c>
      <c r="K93" s="2">
        <v>125.9</v>
      </c>
      <c r="L93">
        <v>1</v>
      </c>
    </row>
    <row r="94" spans="2:12" x14ac:dyDescent="0.2">
      <c r="B94" s="21" t="s">
        <v>1100</v>
      </c>
      <c r="C94">
        <v>13</v>
      </c>
      <c r="K94" s="2">
        <v>416</v>
      </c>
      <c r="L94">
        <v>1</v>
      </c>
    </row>
    <row r="95" spans="2:12" x14ac:dyDescent="0.2">
      <c r="B95" s="2">
        <v>1</v>
      </c>
      <c r="C95">
        <v>29</v>
      </c>
      <c r="K95" s="2">
        <v>128.9</v>
      </c>
      <c r="L95">
        <v>1</v>
      </c>
    </row>
    <row r="96" spans="2:12" x14ac:dyDescent="0.2">
      <c r="B96" s="21" t="s">
        <v>1101</v>
      </c>
      <c r="C96">
        <v>17</v>
      </c>
      <c r="K96" s="2">
        <v>94.8</v>
      </c>
      <c r="L96">
        <v>1</v>
      </c>
    </row>
    <row r="97" spans="2:12" x14ac:dyDescent="0.2">
      <c r="B97" s="21" t="s">
        <v>1100</v>
      </c>
      <c r="C97">
        <v>12</v>
      </c>
      <c r="K97" s="2">
        <v>124.8</v>
      </c>
      <c r="L97">
        <v>1</v>
      </c>
    </row>
    <row r="98" spans="2:12" x14ac:dyDescent="0.2">
      <c r="B98" s="2" t="s">
        <v>1072</v>
      </c>
      <c r="C98">
        <v>57</v>
      </c>
      <c r="K98" s="2">
        <v>27.9</v>
      </c>
      <c r="L98">
        <v>1</v>
      </c>
    </row>
    <row r="99" spans="2:12" x14ac:dyDescent="0.2">
      <c r="K99" s="2">
        <v>80</v>
      </c>
      <c r="L99">
        <v>1</v>
      </c>
    </row>
    <row r="100" spans="2:12" x14ac:dyDescent="0.2">
      <c r="K100" s="2">
        <v>24.8</v>
      </c>
      <c r="L100">
        <v>1</v>
      </c>
    </row>
    <row r="101" spans="2:12" x14ac:dyDescent="0.2">
      <c r="K101" s="2">
        <v>103</v>
      </c>
      <c r="L101">
        <v>1</v>
      </c>
    </row>
    <row r="102" spans="2:12" x14ac:dyDescent="0.2">
      <c r="K102" s="2">
        <v>72.900000000000006</v>
      </c>
      <c r="L102">
        <v>1</v>
      </c>
    </row>
    <row r="103" spans="2:12" x14ac:dyDescent="0.2">
      <c r="K103" s="2">
        <v>101.9</v>
      </c>
      <c r="L103">
        <v>1</v>
      </c>
    </row>
    <row r="104" spans="2:12" x14ac:dyDescent="0.2">
      <c r="K104" s="2">
        <v>55</v>
      </c>
      <c r="L104">
        <v>1</v>
      </c>
    </row>
    <row r="105" spans="2:12" x14ac:dyDescent="0.2">
      <c r="K105" s="2">
        <v>95.8</v>
      </c>
      <c r="L105">
        <v>1</v>
      </c>
    </row>
    <row r="106" spans="2:12" x14ac:dyDescent="0.2">
      <c r="K106" s="2">
        <v>27</v>
      </c>
      <c r="L106">
        <v>1</v>
      </c>
    </row>
    <row r="107" spans="2:12" x14ac:dyDescent="0.2">
      <c r="K107" s="2">
        <v>62.1</v>
      </c>
      <c r="L107">
        <v>1</v>
      </c>
    </row>
    <row r="108" spans="2:12" x14ac:dyDescent="0.2">
      <c r="K108" s="2">
        <v>361.7</v>
      </c>
      <c r="L108">
        <v>1</v>
      </c>
    </row>
    <row r="109" spans="2:12" x14ac:dyDescent="0.2">
      <c r="K109" s="2">
        <v>97.9</v>
      </c>
      <c r="L109">
        <v>1</v>
      </c>
    </row>
    <row r="110" spans="2:12" x14ac:dyDescent="0.2">
      <c r="K110" s="2">
        <v>42</v>
      </c>
      <c r="L110">
        <v>1</v>
      </c>
    </row>
    <row r="111" spans="2:12" x14ac:dyDescent="0.2">
      <c r="K111" s="2">
        <v>44.9</v>
      </c>
      <c r="L111">
        <v>1</v>
      </c>
    </row>
    <row r="112" spans="2:12" x14ac:dyDescent="0.2">
      <c r="K112" s="2">
        <v>61.8</v>
      </c>
      <c r="L112">
        <v>1</v>
      </c>
    </row>
    <row r="113" spans="11:12" x14ac:dyDescent="0.2">
      <c r="K113" s="2">
        <v>30.8</v>
      </c>
      <c r="L113">
        <v>1</v>
      </c>
    </row>
    <row r="114" spans="11:12" x14ac:dyDescent="0.2">
      <c r="K114" s="2">
        <v>22.7</v>
      </c>
      <c r="L114">
        <v>1</v>
      </c>
    </row>
    <row r="115" spans="11:12" x14ac:dyDescent="0.2">
      <c r="K115" s="2">
        <v>37</v>
      </c>
      <c r="L115">
        <v>1</v>
      </c>
    </row>
    <row r="116" spans="11:12" x14ac:dyDescent="0.2">
      <c r="K116" s="2">
        <v>11.9</v>
      </c>
      <c r="L116">
        <v>1</v>
      </c>
    </row>
    <row r="117" spans="11:12" x14ac:dyDescent="0.2">
      <c r="K117" s="2">
        <v>28</v>
      </c>
      <c r="L117">
        <v>1</v>
      </c>
    </row>
    <row r="118" spans="11:12" x14ac:dyDescent="0.2">
      <c r="K118" s="2">
        <v>241.9</v>
      </c>
      <c r="L118">
        <v>1</v>
      </c>
    </row>
    <row r="119" spans="11:12" x14ac:dyDescent="0.2">
      <c r="K119" s="2">
        <v>60</v>
      </c>
      <c r="L119">
        <v>1</v>
      </c>
    </row>
    <row r="120" spans="11:12" x14ac:dyDescent="0.2">
      <c r="K120" s="2">
        <v>35</v>
      </c>
      <c r="L120">
        <v>1</v>
      </c>
    </row>
    <row r="121" spans="11:12" x14ac:dyDescent="0.2">
      <c r="K121" s="2">
        <v>80.8</v>
      </c>
      <c r="L121">
        <v>1</v>
      </c>
    </row>
    <row r="122" spans="11:12" x14ac:dyDescent="0.2">
      <c r="K122" s="2">
        <v>39</v>
      </c>
      <c r="L122">
        <v>1</v>
      </c>
    </row>
    <row r="123" spans="11:12" x14ac:dyDescent="0.2">
      <c r="K123" s="2">
        <v>79.099999999999994</v>
      </c>
      <c r="L123">
        <v>1</v>
      </c>
    </row>
    <row r="124" spans="11:12" x14ac:dyDescent="0.2">
      <c r="K124" s="2">
        <v>47</v>
      </c>
      <c r="L124">
        <v>1</v>
      </c>
    </row>
    <row r="125" spans="11:12" x14ac:dyDescent="0.2">
      <c r="K125" s="2">
        <v>74.8</v>
      </c>
      <c r="L125">
        <v>1</v>
      </c>
    </row>
    <row r="126" spans="11:12" x14ac:dyDescent="0.2">
      <c r="K126" s="2" t="s">
        <v>1072</v>
      </c>
      <c r="L126">
        <v>57</v>
      </c>
    </row>
  </sheetData>
  <mergeCells count="21">
    <mergeCell ref="B1:L1"/>
    <mergeCell ref="B2:L2"/>
    <mergeCell ref="B4:L4"/>
    <mergeCell ref="D5:E5"/>
    <mergeCell ref="F5:G5"/>
    <mergeCell ref="H5:I5"/>
    <mergeCell ref="B5:C5"/>
    <mergeCell ref="B6:C6"/>
    <mergeCell ref="D6:E6"/>
    <mergeCell ref="J5:L5"/>
    <mergeCell ref="F6:G6"/>
    <mergeCell ref="H6:I6"/>
    <mergeCell ref="J6:L6"/>
    <mergeCell ref="B10:L10"/>
    <mergeCell ref="B8:L8"/>
    <mergeCell ref="B40:L40"/>
    <mergeCell ref="B72:L72"/>
    <mergeCell ref="B7:C7"/>
    <mergeCell ref="D7:E7"/>
    <mergeCell ref="J7:L7"/>
    <mergeCell ref="F7:I7"/>
  </mergeCell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B160E7-1CD1-784C-989E-14DB34D26600}">
  <sheetPr>
    <tabColor theme="6" tint="0.79998168889431442"/>
  </sheetPr>
  <dimension ref="A1:AI58"/>
  <sheetViews>
    <sheetView tabSelected="1" workbookViewId="0">
      <selection activeCell="L15" sqref="L15"/>
    </sheetView>
  </sheetViews>
  <sheetFormatPr baseColWidth="10" defaultRowHeight="15" x14ac:dyDescent="0.2"/>
  <sheetData>
    <row r="1" spans="1:35" x14ac:dyDescent="0.2">
      <c r="A1" t="s">
        <v>0</v>
      </c>
      <c r="B1" t="s">
        <v>1</v>
      </c>
      <c r="C1" t="s">
        <v>1049</v>
      </c>
      <c r="D1" t="s">
        <v>1098</v>
      </c>
      <c r="E1" t="s">
        <v>1750</v>
      </c>
      <c r="F1" t="s">
        <v>1058</v>
      </c>
      <c r="G1" t="s">
        <v>1751</v>
      </c>
      <c r="H1" t="s">
        <v>1409</v>
      </c>
      <c r="I1" t="s">
        <v>1749</v>
      </c>
      <c r="J1" t="s">
        <v>1402</v>
      </c>
      <c r="K1" t="s">
        <v>1403</v>
      </c>
      <c r="L1" t="s">
        <v>1404</v>
      </c>
      <c r="M1" t="s">
        <v>1405</v>
      </c>
      <c r="N1" t="s">
        <v>1406</v>
      </c>
      <c r="O1" t="s">
        <v>1407</v>
      </c>
      <c r="P1" t="s">
        <v>1408</v>
      </c>
      <c r="Q1" t="s">
        <v>3</v>
      </c>
      <c r="R1" t="s">
        <v>4</v>
      </c>
      <c r="S1" t="s">
        <v>5</v>
      </c>
      <c r="T1" t="s">
        <v>7</v>
      </c>
      <c r="U1" t="s">
        <v>8</v>
      </c>
      <c r="V1" t="s">
        <v>9</v>
      </c>
      <c r="W1" t="s">
        <v>10</v>
      </c>
      <c r="X1" t="s">
        <v>11</v>
      </c>
      <c r="Y1" t="s">
        <v>12</v>
      </c>
      <c r="Z1" t="s">
        <v>13</v>
      </c>
      <c r="AA1" t="s">
        <v>14</v>
      </c>
      <c r="AB1" t="s">
        <v>15</v>
      </c>
      <c r="AC1" t="s">
        <v>16</v>
      </c>
      <c r="AD1" t="s">
        <v>17</v>
      </c>
      <c r="AE1" t="s">
        <v>19</v>
      </c>
      <c r="AF1" t="s">
        <v>20</v>
      </c>
      <c r="AG1" t="s">
        <v>21</v>
      </c>
      <c r="AH1" t="s">
        <v>22</v>
      </c>
      <c r="AI1" t="s">
        <v>23</v>
      </c>
    </row>
    <row r="2" spans="1:35" x14ac:dyDescent="0.2">
      <c r="A2">
        <v>42938868</v>
      </c>
      <c r="B2" t="s">
        <v>57</v>
      </c>
      <c r="C2" t="s">
        <v>58</v>
      </c>
      <c r="D2" t="s">
        <v>1100</v>
      </c>
      <c r="E2">
        <v>1</v>
      </c>
      <c r="F2" t="s">
        <v>3092</v>
      </c>
      <c r="G2" t="s">
        <v>1746</v>
      </c>
      <c r="H2">
        <v>45950</v>
      </c>
      <c r="I2">
        <v>416</v>
      </c>
      <c r="J2" s="54">
        <v>231</v>
      </c>
      <c r="K2" s="54">
        <v>571</v>
      </c>
      <c r="L2" s="55">
        <v>3697</v>
      </c>
      <c r="M2" s="54">
        <v>1</v>
      </c>
      <c r="N2" s="54">
        <v>23</v>
      </c>
      <c r="O2" s="54">
        <v>433</v>
      </c>
      <c r="P2" s="5">
        <v>4.0000000000000001E-3</v>
      </c>
      <c r="Q2" t="str">
        <f>INDEX('Adopt-a-Pet.com  December 1'!$A$1:$AE$857,MATCH('Final Data'!$B2,'Adopt-a-Pet.com  December 1'!$B:$B,0),MATCH('Final Data'!Q$1,'Adopt-a-Pet.com  December 1'!$1:$1,0))</f>
        <v>available</v>
      </c>
      <c r="R2">
        <f>INDEX('Adopt-a-Pet.com  December 1'!$A$1:$AE$857,MATCH('Final Data'!$B2,'Adopt-a-Pet.com  December 1'!$B:$B,0),MATCH('Final Data'!R$1,'Adopt-a-Pet.com  December 1'!$1:$1,0))</f>
        <v>45591</v>
      </c>
      <c r="S2">
        <f>INDEX('Adopt-a-Pet.com  December 1'!$A$1:$AE$857,MATCH('Final Data'!$B2,'Adopt-a-Pet.com  December 1'!$B:$B,0),MATCH('Final Data'!S$1,'Adopt-a-Pet.com  December 1'!$1:$1,0))</f>
        <v>0</v>
      </c>
      <c r="T2" t="str">
        <f>INDEX('Adopt-a-Pet.com  December 1'!$A$1:$AE$857,MATCH('Final Data'!$B2,'Adopt-a-Pet.com  December 1'!$B:$B,0),MATCH('Final Data'!T$1,'Adopt-a-Pet.com  December 1'!$1:$1,0))</f>
        <v>American Pit Bull Terrier</v>
      </c>
      <c r="U2" t="str">
        <f>INDEX('Adopt-a-Pet.com  December 1'!$A$1:$AE$857,MATCH('Final Data'!$B2,'Adopt-a-Pet.com  December 1'!$B:$B,0),MATCH('Final Data'!U$1,'Adopt-a-Pet.com  December 1'!$1:$1,0))</f>
        <v>American Bulldog</v>
      </c>
      <c r="V2" t="str">
        <f>INDEX('Adopt-a-Pet.com  December 1'!$A$1:$AE$857,MATCH('Final Data'!$B2,'Adopt-a-Pet.com  December 1'!$B:$B,0),MATCH('Final Data'!V$1,'Adopt-a-Pet.com  December 1'!$1:$1,0))</f>
        <v>Brown/Chocolate - with White</v>
      </c>
      <c r="W2" t="str">
        <f>INDEX('Adopt-a-Pet.com  December 1'!$A$1:$AE$857,MATCH('Final Data'!$B2,'Adopt-a-Pet.com  December 1'!$B:$B,0),MATCH('Final Data'!W$1,'Adopt-a-Pet.com  December 1'!$1:$1,0))</f>
        <v>male</v>
      </c>
      <c r="X2" t="str">
        <f>INDEX('Adopt-a-Pet.com  December 1'!$A$1:$AE$857,MATCH('Final Data'!$B2,'Adopt-a-Pet.com  December 1'!$B:$B,0),MATCH('Final Data'!X$1,'Adopt-a-Pet.com  December 1'!$1:$1,0))</f>
        <v>adult</v>
      </c>
      <c r="Y2" t="str">
        <f>INDEX('Adopt-a-Pet.com  December 1'!$A$1:$AE$857,MATCH('Final Data'!$B2,'Adopt-a-Pet.com  December 1'!$B:$B,0),MATCH('Final Data'!Y$1,'Adopt-a-Pet.com  December 1'!$1:$1,0))</f>
        <v>Med. 26-60 lbs (12-27 kg)</v>
      </c>
      <c r="Z2">
        <f>INDEX('Adopt-a-Pet.com  December 1'!$A$1:$AE$857,MATCH('Final Data'!$B2,'Adopt-a-Pet.com  December 1'!$B:$B,0),MATCH('Final Data'!Z$1,'Adopt-a-Pet.com  December 1'!$1:$1,0))</f>
        <v>0</v>
      </c>
      <c r="AA2" t="str">
        <f>INDEX('Adopt-a-Pet.com  December 1'!$A$1:$AE$857,MATCH('Final Data'!$B2,'Adopt-a-Pet.com  December 1'!$B:$B,0),MATCH('Final Data'!AA$1,'Adopt-a-Pet.com  December 1'!$1:$1,0))</f>
        <v>Yes</v>
      </c>
      <c r="AB2" t="str">
        <f>INDEX('Adopt-a-Pet.com  December 1'!$A$1:$AE$857,MATCH('Final Data'!$B2,'Adopt-a-Pet.com  December 1'!$B:$B,0),MATCH('Final Data'!AB$1,'Adopt-a-Pet.com  December 1'!$1:$1,0))</f>
        <v>Yes</v>
      </c>
      <c r="AC2" t="str">
        <f>INDEX('Adopt-a-Pet.com  December 1'!$A$1:$AE$857,MATCH('Final Data'!$B2,'Adopt-a-Pet.com  December 1'!$B:$B,0),MATCH('Final Data'!AC$1,'Adopt-a-Pet.com  December 1'!$1:$1,0))</f>
        <v>Yes</v>
      </c>
      <c r="AD2" t="str">
        <f>INDEX('Adopt-a-Pet.com  December 1'!$A$1:$AE$857,MATCH('Final Data'!$B2,'Adopt-a-Pet.com  December 1'!$B:$B,0),MATCH('Final Data'!AD$1,'Adopt-a-Pet.com  December 1'!$1:$1,0))</f>
        <v>No</v>
      </c>
      <c r="AE2" t="str">
        <f>INDEX('Adopt-a-Pet.com  December 1'!$A$1:$AE$857,MATCH('Final Data'!$B2,'Adopt-a-Pet.com  December 1'!$B:$B,0),MATCH('Final Data'!AE$1,'Adopt-a-Pet.com  December 1'!$1:$1,0))</f>
        <v>No</v>
      </c>
      <c r="AF2" t="str">
        <f>INDEX('Adopt-a-Pet.com  December 1'!$A$1:$AE$857,MATCH('Final Data'!$B2,'Adopt-a-Pet.com  December 1'!$B:$B,0),MATCH('Final Data'!AF$1,'Adopt-a-Pet.com  December 1'!$1:$1,0))</f>
        <v>Yes</v>
      </c>
      <c r="AG2" t="str">
        <f>INDEX('Adopt-a-Pet.com  December 1'!$A$1:$AE$857,MATCH('Final Data'!$B2,'Adopt-a-Pet.com  December 1'!$B:$B,0),MATCH('Final Data'!AG$1,'Adopt-a-Pet.com  December 1'!$1:$1,0))</f>
        <v>Yes</v>
      </c>
      <c r="AH2" t="str">
        <f>INDEX('Adopt-a-Pet.com  December 1'!$A$1:$AE$857,MATCH('Final Data'!$B2,'Adopt-a-Pet.com  December 1'!$B:$B,0),MATCH('Final Data'!AH$1,'Adopt-a-Pet.com  December 1'!$1:$1,0))</f>
        <v>Unknown</v>
      </c>
      <c r="AI2" t="str">
        <f>INDEX('Adopt-a-Pet.com  December 1'!$A$1:$AE$857,MATCH('Final Data'!$B2,'Adopt-a-Pet.com  December 1'!$B:$B,0),MATCH('Final Data'!AI$1,'Adopt-a-Pet.com  December 1'!$1:$1,0))</f>
        <v>Chucky is proof that good things come to those who wait! After spending 11 long months at the shelter, this handsome brown-and-white Pittie/Bulldog mix is finally thriving in his Charleston foster home. Sweet, smart, and loyal, Chucky takes a little time to warm up‚Äîbut once he does, he‚Äôs all heart. Playful and affectionate, he loves being part of a family and soaks up every bit of love and attention he can get. His gentle nature and goofy charm make him impossible not to adore. If you‚Äôre looking for a loyal companion who‚Äôs been waiting patiently for his happily-ever-after, Chucky is ready to give you all the love he‚Äôs been saving.</v>
      </c>
    </row>
    <row r="3" spans="1:35" x14ac:dyDescent="0.2">
      <c r="A3">
        <v>43635040</v>
      </c>
      <c r="B3" t="s">
        <v>70</v>
      </c>
      <c r="C3" t="s">
        <v>71</v>
      </c>
      <c r="D3" t="s">
        <v>1100</v>
      </c>
      <c r="E3">
        <v>0</v>
      </c>
      <c r="F3" t="s">
        <v>3092</v>
      </c>
      <c r="I3">
        <v>361.7</v>
      </c>
      <c r="J3" s="55">
        <v>1455</v>
      </c>
      <c r="K3" s="55">
        <v>3794</v>
      </c>
      <c r="L3" s="55">
        <v>6492</v>
      </c>
      <c r="M3" s="54">
        <v>12</v>
      </c>
      <c r="N3" s="54">
        <v>76</v>
      </c>
      <c r="O3" s="55">
        <v>1182</v>
      </c>
      <c r="P3" s="5">
        <v>8.0000000000000002E-3</v>
      </c>
      <c r="Q3" t="str">
        <f>INDEX('Adopt-a-Pet.com  December 1'!$A$1:$AE$857,MATCH('Final Data'!$B3,'Adopt-a-Pet.com  December 1'!$B:$B,0),MATCH('Final Data'!Q$1,'Adopt-a-Pet.com  December 1'!$1:$1,0))</f>
        <v>available</v>
      </c>
      <c r="R3">
        <f>INDEX('Adopt-a-Pet.com  December 1'!$A$1:$AE$857,MATCH('Final Data'!$B3,'Adopt-a-Pet.com  December 1'!$B:$B,0),MATCH('Final Data'!R$1,'Adopt-a-Pet.com  December 1'!$1:$1,0))</f>
        <v>45678</v>
      </c>
      <c r="S3">
        <f>INDEX('Adopt-a-Pet.com  December 1'!$A$1:$AE$857,MATCH('Final Data'!$B3,'Adopt-a-Pet.com  December 1'!$B:$B,0),MATCH('Final Data'!S$1,'Adopt-a-Pet.com  December 1'!$1:$1,0))</f>
        <v>0</v>
      </c>
      <c r="T3" t="str">
        <f>INDEX('Adopt-a-Pet.com  December 1'!$A$1:$AE$857,MATCH('Final Data'!$B3,'Adopt-a-Pet.com  December 1'!$B:$B,0),MATCH('Final Data'!T$1,'Adopt-a-Pet.com  December 1'!$1:$1,0))</f>
        <v>Rottweiler</v>
      </c>
      <c r="U3">
        <f>INDEX('Adopt-a-Pet.com  December 1'!$A$1:$AE$857,MATCH('Final Data'!$B3,'Adopt-a-Pet.com  December 1'!$B:$B,0),MATCH('Final Data'!U$1,'Adopt-a-Pet.com  December 1'!$1:$1,0))</f>
        <v>0</v>
      </c>
      <c r="V3" t="str">
        <f>INDEX('Adopt-a-Pet.com  December 1'!$A$1:$AE$857,MATCH('Final Data'!$B3,'Adopt-a-Pet.com  December 1'!$B:$B,0),MATCH('Final Data'!V$1,'Adopt-a-Pet.com  December 1'!$1:$1,0))</f>
        <v>Black - with Brown, Red, Golden, Orange or Chestnut</v>
      </c>
      <c r="W3" t="str">
        <f>INDEX('Adopt-a-Pet.com  December 1'!$A$1:$AE$857,MATCH('Final Data'!$B3,'Adopt-a-Pet.com  December 1'!$B:$B,0),MATCH('Final Data'!W$1,'Adopt-a-Pet.com  December 1'!$1:$1,0))</f>
        <v>male</v>
      </c>
      <c r="X3" t="str">
        <f>INDEX('Adopt-a-Pet.com  December 1'!$A$1:$AE$857,MATCH('Final Data'!$B3,'Adopt-a-Pet.com  December 1'!$B:$B,0),MATCH('Final Data'!X$1,'Adopt-a-Pet.com  December 1'!$1:$1,0))</f>
        <v>adult</v>
      </c>
      <c r="Y3" t="str">
        <f>INDEX('Adopt-a-Pet.com  December 1'!$A$1:$AE$857,MATCH('Final Data'!$B3,'Adopt-a-Pet.com  December 1'!$B:$B,0),MATCH('Final Data'!Y$1,'Adopt-a-Pet.com  December 1'!$1:$1,0))</f>
        <v>Large 61-100 lbs (28-45 kg)</v>
      </c>
      <c r="Z3">
        <f>INDEX('Adopt-a-Pet.com  December 1'!$A$1:$AE$857,MATCH('Final Data'!$B3,'Adopt-a-Pet.com  December 1'!$B:$B,0),MATCH('Final Data'!Z$1,'Adopt-a-Pet.com  December 1'!$1:$1,0))</f>
        <v>0</v>
      </c>
      <c r="AA3" t="str">
        <f>INDEX('Adopt-a-Pet.com  December 1'!$A$1:$AE$857,MATCH('Final Data'!$B3,'Adopt-a-Pet.com  December 1'!$B:$B,0),MATCH('Final Data'!AA$1,'Adopt-a-Pet.com  December 1'!$1:$1,0))</f>
        <v>No</v>
      </c>
      <c r="AB3" t="str">
        <f>INDEX('Adopt-a-Pet.com  December 1'!$A$1:$AE$857,MATCH('Final Data'!$B3,'Adopt-a-Pet.com  December 1'!$B:$B,0),MATCH('Final Data'!AB$1,'Adopt-a-Pet.com  December 1'!$1:$1,0))</f>
        <v>Yes</v>
      </c>
      <c r="AC3" t="str">
        <f>INDEX('Adopt-a-Pet.com  December 1'!$A$1:$AE$857,MATCH('Final Data'!$B3,'Adopt-a-Pet.com  December 1'!$B:$B,0),MATCH('Final Data'!AC$1,'Adopt-a-Pet.com  December 1'!$1:$1,0))</f>
        <v>Yes</v>
      </c>
      <c r="AD3" t="str">
        <f>INDEX('Adopt-a-Pet.com  December 1'!$A$1:$AE$857,MATCH('Final Data'!$B3,'Adopt-a-Pet.com  December 1'!$B:$B,0),MATCH('Final Data'!AD$1,'Adopt-a-Pet.com  December 1'!$1:$1,0))</f>
        <v>No</v>
      </c>
      <c r="AE3" t="str">
        <f>INDEX('Adopt-a-Pet.com  December 1'!$A$1:$AE$857,MATCH('Final Data'!$B3,'Adopt-a-Pet.com  December 1'!$B:$B,0),MATCH('Final Data'!AE$1,'Adopt-a-Pet.com  December 1'!$1:$1,0))</f>
        <v>No</v>
      </c>
      <c r="AF3" t="str">
        <f>INDEX('Adopt-a-Pet.com  December 1'!$A$1:$AE$857,MATCH('Final Data'!$B3,'Adopt-a-Pet.com  December 1'!$B:$B,0),MATCH('Final Data'!AF$1,'Adopt-a-Pet.com  December 1'!$1:$1,0))</f>
        <v>Yes</v>
      </c>
      <c r="AG3" t="str">
        <f>INDEX('Adopt-a-Pet.com  December 1'!$A$1:$AE$857,MATCH('Final Data'!$B3,'Adopt-a-Pet.com  December 1'!$B:$B,0),MATCH('Final Data'!AG$1,'Adopt-a-Pet.com  December 1'!$1:$1,0))</f>
        <v>Yes</v>
      </c>
      <c r="AH3" t="str">
        <f>INDEX('Adopt-a-Pet.com  December 1'!$A$1:$AE$857,MATCH('Final Data'!$B3,'Adopt-a-Pet.com  December 1'!$B:$B,0),MATCH('Final Data'!AH$1,'Adopt-a-Pet.com  December 1'!$1:$1,0))</f>
        <v>Unknown</v>
      </c>
      <c r="AI3">
        <f>INDEX('Adopt-a-Pet.com  December 1'!$A$1:$AE$857,MATCH('Final Data'!$B3,'Adopt-a-Pet.com  December 1'!$B:$B,0),MATCH('Final Data'!AI$1,'Adopt-a-Pet.com  December 1'!$1:$1,0))</f>
        <v>0</v>
      </c>
    </row>
    <row r="4" spans="1:35" x14ac:dyDescent="0.2">
      <c r="A4">
        <v>44475813</v>
      </c>
      <c r="B4" t="s">
        <v>99</v>
      </c>
      <c r="C4" t="s">
        <v>100</v>
      </c>
      <c r="D4" t="s">
        <v>1100</v>
      </c>
      <c r="E4">
        <v>0</v>
      </c>
      <c r="F4" t="s">
        <v>3092</v>
      </c>
      <c r="I4">
        <v>251.1</v>
      </c>
      <c r="J4" s="54">
        <v>384</v>
      </c>
      <c r="K4" s="54">
        <v>852</v>
      </c>
      <c r="L4" s="55">
        <v>2319</v>
      </c>
      <c r="M4" s="54">
        <v>3</v>
      </c>
      <c r="N4" s="54">
        <v>27</v>
      </c>
      <c r="O4" s="54">
        <v>399</v>
      </c>
      <c r="P4" s="5">
        <v>8.0000000000000002E-3</v>
      </c>
      <c r="Q4" t="str">
        <f>INDEX('Adopt-a-Pet.com  December 1'!$A$1:$AE$857,MATCH('Final Data'!$B4,'Adopt-a-Pet.com  December 1'!$B:$B,0),MATCH('Final Data'!Q$1,'Adopt-a-Pet.com  December 1'!$1:$1,0))</f>
        <v>available</v>
      </c>
      <c r="R4">
        <f>INDEX('Adopt-a-Pet.com  December 1'!$A$1:$AE$857,MATCH('Final Data'!$B4,'Adopt-a-Pet.com  December 1'!$B:$B,0),MATCH('Final Data'!R$1,'Adopt-a-Pet.com  December 1'!$1:$1,0))</f>
        <v>45779</v>
      </c>
      <c r="S4">
        <f>INDEX('Adopt-a-Pet.com  December 1'!$A$1:$AE$857,MATCH('Final Data'!$B4,'Adopt-a-Pet.com  December 1'!$B:$B,0),MATCH('Final Data'!S$1,'Adopt-a-Pet.com  December 1'!$1:$1,0))</f>
        <v>0</v>
      </c>
      <c r="T4" t="str">
        <f>INDEX('Adopt-a-Pet.com  December 1'!$A$1:$AE$857,MATCH('Final Data'!$B4,'Adopt-a-Pet.com  December 1'!$B:$B,0),MATCH('Final Data'!T$1,'Adopt-a-Pet.com  December 1'!$1:$1,0))</f>
        <v>American Staffordshire Terrier</v>
      </c>
      <c r="U4" t="str">
        <f>INDEX('Adopt-a-Pet.com  December 1'!$A$1:$AE$857,MATCH('Final Data'!$B4,'Adopt-a-Pet.com  December 1'!$B:$B,0),MATCH('Final Data'!U$1,'Adopt-a-Pet.com  December 1'!$1:$1,0))</f>
        <v>American Pit Bull Terrier</v>
      </c>
      <c r="V4" t="str">
        <f>INDEX('Adopt-a-Pet.com  December 1'!$A$1:$AE$857,MATCH('Final Data'!$B4,'Adopt-a-Pet.com  December 1'!$B:$B,0),MATCH('Final Data'!V$1,'Adopt-a-Pet.com  December 1'!$1:$1,0))</f>
        <v>Gray/Blue/Silver/Salt &amp; Pepper</v>
      </c>
      <c r="W4" t="str">
        <f>INDEX('Adopt-a-Pet.com  December 1'!$A$1:$AE$857,MATCH('Final Data'!$B4,'Adopt-a-Pet.com  December 1'!$B:$B,0),MATCH('Final Data'!W$1,'Adopt-a-Pet.com  December 1'!$1:$1,0))</f>
        <v>male</v>
      </c>
      <c r="X4" t="str">
        <f>INDEX('Adopt-a-Pet.com  December 1'!$A$1:$AE$857,MATCH('Final Data'!$B4,'Adopt-a-Pet.com  December 1'!$B:$B,0),MATCH('Final Data'!X$1,'Adopt-a-Pet.com  December 1'!$1:$1,0))</f>
        <v>adult</v>
      </c>
      <c r="Y4" t="str">
        <f>INDEX('Adopt-a-Pet.com  December 1'!$A$1:$AE$857,MATCH('Final Data'!$B4,'Adopt-a-Pet.com  December 1'!$B:$B,0),MATCH('Final Data'!Y$1,'Adopt-a-Pet.com  December 1'!$1:$1,0))</f>
        <v>Large 61-100 lbs (28-45 kg)</v>
      </c>
      <c r="Z4">
        <f>INDEX('Adopt-a-Pet.com  December 1'!$A$1:$AE$857,MATCH('Final Data'!$B4,'Adopt-a-Pet.com  December 1'!$B:$B,0),MATCH('Final Data'!Z$1,'Adopt-a-Pet.com  December 1'!$1:$1,0))</f>
        <v>0</v>
      </c>
      <c r="AA4" t="str">
        <f>INDEX('Adopt-a-Pet.com  December 1'!$A$1:$AE$857,MATCH('Final Data'!$B4,'Adopt-a-Pet.com  December 1'!$B:$B,0),MATCH('Final Data'!AA$1,'Adopt-a-Pet.com  December 1'!$1:$1,0))</f>
        <v>Yes</v>
      </c>
      <c r="AB4" t="str">
        <f>INDEX('Adopt-a-Pet.com  December 1'!$A$1:$AE$857,MATCH('Final Data'!$B4,'Adopt-a-Pet.com  December 1'!$B:$B,0),MATCH('Final Data'!AB$1,'Adopt-a-Pet.com  December 1'!$1:$1,0))</f>
        <v>Yes</v>
      </c>
      <c r="AC4" t="str">
        <f>INDEX('Adopt-a-Pet.com  December 1'!$A$1:$AE$857,MATCH('Final Data'!$B4,'Adopt-a-Pet.com  December 1'!$B:$B,0),MATCH('Final Data'!AC$1,'Adopt-a-Pet.com  December 1'!$1:$1,0))</f>
        <v>Yes</v>
      </c>
      <c r="AD4" t="str">
        <f>INDEX('Adopt-a-Pet.com  December 1'!$A$1:$AE$857,MATCH('Final Data'!$B4,'Adopt-a-Pet.com  December 1'!$B:$B,0),MATCH('Final Data'!AD$1,'Adopt-a-Pet.com  December 1'!$1:$1,0))</f>
        <v>No</v>
      </c>
      <c r="AE4" t="str">
        <f>INDEX('Adopt-a-Pet.com  December 1'!$A$1:$AE$857,MATCH('Final Data'!$B4,'Adopt-a-Pet.com  December 1'!$B:$B,0),MATCH('Final Data'!AE$1,'Adopt-a-Pet.com  December 1'!$1:$1,0))</f>
        <v>No</v>
      </c>
      <c r="AF4" t="str">
        <f>INDEX('Adopt-a-Pet.com  December 1'!$A$1:$AE$857,MATCH('Final Data'!$B4,'Adopt-a-Pet.com  December 1'!$B:$B,0),MATCH('Final Data'!AF$1,'Adopt-a-Pet.com  December 1'!$1:$1,0))</f>
        <v>Yes</v>
      </c>
      <c r="AG4" t="str">
        <f>INDEX('Adopt-a-Pet.com  December 1'!$A$1:$AE$857,MATCH('Final Data'!$B4,'Adopt-a-Pet.com  December 1'!$B:$B,0),MATCH('Final Data'!AG$1,'Adopt-a-Pet.com  December 1'!$1:$1,0))</f>
        <v>Yes</v>
      </c>
      <c r="AH4" t="str">
        <f>INDEX('Adopt-a-Pet.com  December 1'!$A$1:$AE$857,MATCH('Final Data'!$B4,'Adopt-a-Pet.com  December 1'!$B:$B,0),MATCH('Final Data'!AH$1,'Adopt-a-Pet.com  December 1'!$1:$1,0))</f>
        <v>Unknown</v>
      </c>
      <c r="AI4">
        <f>INDEX('Adopt-a-Pet.com  December 1'!$A$1:$AE$857,MATCH('Final Data'!$B4,'Adopt-a-Pet.com  December 1'!$B:$B,0),MATCH('Final Data'!AI$1,'Adopt-a-Pet.com  December 1'!$1:$1,0))</f>
        <v>0</v>
      </c>
    </row>
    <row r="5" spans="1:35" x14ac:dyDescent="0.2">
      <c r="A5">
        <v>44937909</v>
      </c>
      <c r="B5" t="s">
        <v>109</v>
      </c>
      <c r="C5" t="s">
        <v>110</v>
      </c>
      <c r="D5" t="s">
        <v>1100</v>
      </c>
      <c r="E5">
        <v>1</v>
      </c>
      <c r="F5" t="s">
        <v>3092</v>
      </c>
      <c r="G5" t="s">
        <v>1744</v>
      </c>
      <c r="H5">
        <v>45950</v>
      </c>
      <c r="I5">
        <v>241.9</v>
      </c>
      <c r="J5" s="54">
        <v>277</v>
      </c>
      <c r="K5" s="54">
        <v>748</v>
      </c>
      <c r="L5" s="55">
        <v>1688</v>
      </c>
      <c r="M5" s="54">
        <v>10</v>
      </c>
      <c r="N5" s="54">
        <v>60</v>
      </c>
      <c r="O5" s="54">
        <v>274</v>
      </c>
      <c r="P5" s="5">
        <v>3.5999999999999997E-2</v>
      </c>
      <c r="Q5" t="str">
        <f>INDEX('Adopt-a-Pet.com  December 1'!$A$1:$AE$857,MATCH('Final Data'!$B5,'Adopt-a-Pet.com  December 1'!$B:$B,0),MATCH('Final Data'!Q$1,'Adopt-a-Pet.com  December 1'!$1:$1,0))</f>
        <v>available</v>
      </c>
      <c r="R5">
        <f>INDEX('Adopt-a-Pet.com  December 1'!$A$1:$AE$857,MATCH('Final Data'!$B5,'Adopt-a-Pet.com  December 1'!$B:$B,0),MATCH('Final Data'!R$1,'Adopt-a-Pet.com  December 1'!$1:$1,0))</f>
        <v>45827</v>
      </c>
      <c r="S5">
        <f>INDEX('Adopt-a-Pet.com  December 1'!$A$1:$AE$857,MATCH('Final Data'!$B5,'Adopt-a-Pet.com  December 1'!$B:$B,0),MATCH('Final Data'!S$1,'Adopt-a-Pet.com  December 1'!$1:$1,0))</f>
        <v>0</v>
      </c>
      <c r="T5" t="str">
        <f>INDEX('Adopt-a-Pet.com  December 1'!$A$1:$AE$857,MATCH('Final Data'!$B5,'Adopt-a-Pet.com  December 1'!$B:$B,0),MATCH('Final Data'!T$1,'Adopt-a-Pet.com  December 1'!$1:$1,0))</f>
        <v>Bullmastiff</v>
      </c>
      <c r="U5">
        <f>INDEX('Adopt-a-Pet.com  December 1'!$A$1:$AE$857,MATCH('Final Data'!$B5,'Adopt-a-Pet.com  December 1'!$B:$B,0),MATCH('Final Data'!U$1,'Adopt-a-Pet.com  December 1'!$1:$1,0))</f>
        <v>0</v>
      </c>
      <c r="V5" t="str">
        <f>INDEX('Adopt-a-Pet.com  December 1'!$A$1:$AE$857,MATCH('Final Data'!$B5,'Adopt-a-Pet.com  December 1'!$B:$B,0),MATCH('Final Data'!V$1,'Adopt-a-Pet.com  December 1'!$1:$1,0))</f>
        <v>Brindle</v>
      </c>
      <c r="W5" t="str">
        <f>INDEX('Adopt-a-Pet.com  December 1'!$A$1:$AE$857,MATCH('Final Data'!$B5,'Adopt-a-Pet.com  December 1'!$B:$B,0),MATCH('Final Data'!W$1,'Adopt-a-Pet.com  December 1'!$1:$1,0))</f>
        <v>male</v>
      </c>
      <c r="X5" t="str">
        <f>INDEX('Adopt-a-Pet.com  December 1'!$A$1:$AE$857,MATCH('Final Data'!$B5,'Adopt-a-Pet.com  December 1'!$B:$B,0),MATCH('Final Data'!X$1,'Adopt-a-Pet.com  December 1'!$1:$1,0))</f>
        <v>adult</v>
      </c>
      <c r="Y5" t="str">
        <f>INDEX('Adopt-a-Pet.com  December 1'!$A$1:$AE$857,MATCH('Final Data'!$B5,'Adopt-a-Pet.com  December 1'!$B:$B,0),MATCH('Final Data'!Y$1,'Adopt-a-Pet.com  December 1'!$1:$1,0))</f>
        <v>Large 61-100 lbs (28-45 kg)</v>
      </c>
      <c r="Z5">
        <f>INDEX('Adopt-a-Pet.com  December 1'!$A$1:$AE$857,MATCH('Final Data'!$B5,'Adopt-a-Pet.com  December 1'!$B:$B,0),MATCH('Final Data'!Z$1,'Adopt-a-Pet.com  December 1'!$1:$1,0))</f>
        <v>0</v>
      </c>
      <c r="AA5" t="str">
        <f>INDEX('Adopt-a-Pet.com  December 1'!$A$1:$AE$857,MATCH('Final Data'!$B5,'Adopt-a-Pet.com  December 1'!$B:$B,0),MATCH('Final Data'!AA$1,'Adopt-a-Pet.com  December 1'!$1:$1,0))</f>
        <v>Yes</v>
      </c>
      <c r="AB5" t="str">
        <f>INDEX('Adopt-a-Pet.com  December 1'!$A$1:$AE$857,MATCH('Final Data'!$B5,'Adopt-a-Pet.com  December 1'!$B:$B,0),MATCH('Final Data'!AB$1,'Adopt-a-Pet.com  December 1'!$1:$1,0))</f>
        <v>Yes</v>
      </c>
      <c r="AC5" t="str">
        <f>INDEX('Adopt-a-Pet.com  December 1'!$A$1:$AE$857,MATCH('Final Data'!$B5,'Adopt-a-Pet.com  December 1'!$B:$B,0),MATCH('Final Data'!AC$1,'Adopt-a-Pet.com  December 1'!$1:$1,0))</f>
        <v>Yes</v>
      </c>
      <c r="AD5" t="str">
        <f>INDEX('Adopt-a-Pet.com  December 1'!$A$1:$AE$857,MATCH('Final Data'!$B5,'Adopt-a-Pet.com  December 1'!$B:$B,0),MATCH('Final Data'!AD$1,'Adopt-a-Pet.com  December 1'!$1:$1,0))</f>
        <v>No</v>
      </c>
      <c r="AE5" t="str">
        <f>INDEX('Adopt-a-Pet.com  December 1'!$A$1:$AE$857,MATCH('Final Data'!$B5,'Adopt-a-Pet.com  December 1'!$B:$B,0),MATCH('Final Data'!AE$1,'Adopt-a-Pet.com  December 1'!$1:$1,0))</f>
        <v>No</v>
      </c>
      <c r="AF5" t="str">
        <f>INDEX('Adopt-a-Pet.com  December 1'!$A$1:$AE$857,MATCH('Final Data'!$B5,'Adopt-a-Pet.com  December 1'!$B:$B,0),MATCH('Final Data'!AF$1,'Adopt-a-Pet.com  December 1'!$1:$1,0))</f>
        <v>Yes</v>
      </c>
      <c r="AG5" t="str">
        <f>INDEX('Adopt-a-Pet.com  December 1'!$A$1:$AE$857,MATCH('Final Data'!$B5,'Adopt-a-Pet.com  December 1'!$B:$B,0),MATCH('Final Data'!AG$1,'Adopt-a-Pet.com  December 1'!$1:$1,0))</f>
        <v>Yes</v>
      </c>
      <c r="AH5" t="str">
        <f>INDEX('Adopt-a-Pet.com  December 1'!$A$1:$AE$857,MATCH('Final Data'!$B5,'Adopt-a-Pet.com  December 1'!$B:$B,0),MATCH('Final Data'!AH$1,'Adopt-a-Pet.com  December 1'!$1:$1,0))</f>
        <v>Unknown</v>
      </c>
      <c r="AI5" t="str">
        <f>INDEX('Adopt-a-Pet.com  December 1'!$A$1:$AE$857,MATCH('Final Data'!$B5,'Adopt-a-Pet.com  December 1'!$B:$B,0),MATCH('Final Data'!AI$1,'Adopt-a-Pet.com  December 1'!$1:$1,0))</f>
        <v>Goose is a gentle giant with a heart as big as his paws. This handsome brindle Bullmastiff has a calm, mellow spirit and an independent streak that makes him easy to have around. He may be shy at first, but once he trusts you, Goose shows his soft, loyal side‚Äîa quiet companion who‚Äôs happiest just being near his people. He‚Äôs past the puppy chaos and prefers peaceful walks, cozy naps, and a calm home where he can feel safe and loved. If you‚Äôre looking for a loyal friend who asks for little but gives a lot in return, Goose is ready to waddle his way into your heart.</v>
      </c>
    </row>
    <row r="6" spans="1:35" x14ac:dyDescent="0.2">
      <c r="A6">
        <v>44938825</v>
      </c>
      <c r="B6" t="s">
        <v>129</v>
      </c>
      <c r="C6" t="s">
        <v>130</v>
      </c>
      <c r="D6" t="s">
        <v>1100</v>
      </c>
      <c r="E6">
        <v>1</v>
      </c>
      <c r="F6" t="s">
        <v>2165</v>
      </c>
      <c r="G6" t="s">
        <v>1743</v>
      </c>
      <c r="H6">
        <v>45950</v>
      </c>
      <c r="I6">
        <v>193.9</v>
      </c>
      <c r="J6" s="54">
        <v>401</v>
      </c>
      <c r="K6" s="54">
        <v>946</v>
      </c>
      <c r="L6" s="55">
        <v>2092</v>
      </c>
      <c r="M6" s="54">
        <v>14</v>
      </c>
      <c r="N6" s="54">
        <v>48</v>
      </c>
      <c r="O6" s="54">
        <v>260</v>
      </c>
      <c r="P6" s="5">
        <v>3.5000000000000003E-2</v>
      </c>
      <c r="Q6" t="str">
        <f>INDEX('Adopt-a-Pet.com  December 1'!$A$1:$AE$857,MATCH('Final Data'!$B6,'Adopt-a-Pet.com  December 1'!$B:$B,0),MATCH('Final Data'!Q$1,'Adopt-a-Pet.com  December 1'!$1:$1,0))</f>
        <v>adopted</v>
      </c>
      <c r="R6">
        <f>INDEX('Adopt-a-Pet.com  December 1'!$A$1:$AE$857,MATCH('Final Data'!$B6,'Adopt-a-Pet.com  December 1'!$B:$B,0),MATCH('Final Data'!R$1,'Adopt-a-Pet.com  December 1'!$1:$1,0))</f>
        <v>45827</v>
      </c>
      <c r="S6">
        <f>INDEX('Adopt-a-Pet.com  December 1'!$A$1:$AE$857,MATCH('Final Data'!$B6,'Adopt-a-Pet.com  December 1'!$B:$B,0),MATCH('Final Data'!S$1,'Adopt-a-Pet.com  December 1'!$1:$1,0))</f>
        <v>45963</v>
      </c>
      <c r="T6" t="str">
        <f>INDEX('Adopt-a-Pet.com  December 1'!$A$1:$AE$857,MATCH('Final Data'!$B6,'Adopt-a-Pet.com  December 1'!$B:$B,0),MATCH('Final Data'!T$1,'Adopt-a-Pet.com  December 1'!$1:$1,0))</f>
        <v>American Pit Bull Terrier</v>
      </c>
      <c r="U6">
        <f>INDEX('Adopt-a-Pet.com  December 1'!$A$1:$AE$857,MATCH('Final Data'!$B6,'Adopt-a-Pet.com  December 1'!$B:$B,0),MATCH('Final Data'!U$1,'Adopt-a-Pet.com  December 1'!$1:$1,0))</f>
        <v>0</v>
      </c>
      <c r="V6" t="str">
        <f>INDEX('Adopt-a-Pet.com  December 1'!$A$1:$AE$857,MATCH('Final Data'!$B6,'Adopt-a-Pet.com  December 1'!$B:$B,0),MATCH('Final Data'!V$1,'Adopt-a-Pet.com  December 1'!$1:$1,0))</f>
        <v>Gray/Blue/Silver/Salt &amp; Pepper</v>
      </c>
      <c r="W6" t="str">
        <f>INDEX('Adopt-a-Pet.com  December 1'!$A$1:$AE$857,MATCH('Final Data'!$B6,'Adopt-a-Pet.com  December 1'!$B:$B,0),MATCH('Final Data'!W$1,'Adopt-a-Pet.com  December 1'!$1:$1,0))</f>
        <v>female</v>
      </c>
      <c r="X6" t="str">
        <f>INDEX('Adopt-a-Pet.com  December 1'!$A$1:$AE$857,MATCH('Final Data'!$B6,'Adopt-a-Pet.com  December 1'!$B:$B,0),MATCH('Final Data'!X$1,'Adopt-a-Pet.com  December 1'!$1:$1,0))</f>
        <v>adult</v>
      </c>
      <c r="Y6" t="str">
        <f>INDEX('Adopt-a-Pet.com  December 1'!$A$1:$AE$857,MATCH('Final Data'!$B6,'Adopt-a-Pet.com  December 1'!$B:$B,0),MATCH('Final Data'!Y$1,'Adopt-a-Pet.com  December 1'!$1:$1,0))</f>
        <v>Med. 26-60 lbs (12-27 kg)</v>
      </c>
      <c r="Z6">
        <f>INDEX('Adopt-a-Pet.com  December 1'!$A$1:$AE$857,MATCH('Final Data'!$B6,'Adopt-a-Pet.com  December 1'!$B:$B,0),MATCH('Final Data'!Z$1,'Adopt-a-Pet.com  December 1'!$1:$1,0))</f>
        <v>0</v>
      </c>
      <c r="AA6" t="str">
        <f>INDEX('Adopt-a-Pet.com  December 1'!$A$1:$AE$857,MATCH('Final Data'!$B6,'Adopt-a-Pet.com  December 1'!$B:$B,0),MATCH('Final Data'!AA$1,'Adopt-a-Pet.com  December 1'!$1:$1,0))</f>
        <v>Yes</v>
      </c>
      <c r="AB6" t="str">
        <f>INDEX('Adopt-a-Pet.com  December 1'!$A$1:$AE$857,MATCH('Final Data'!$B6,'Adopt-a-Pet.com  December 1'!$B:$B,0),MATCH('Final Data'!AB$1,'Adopt-a-Pet.com  December 1'!$1:$1,0))</f>
        <v>Yes</v>
      </c>
      <c r="AC6" t="str">
        <f>INDEX('Adopt-a-Pet.com  December 1'!$A$1:$AE$857,MATCH('Final Data'!$B6,'Adopt-a-Pet.com  December 1'!$B:$B,0),MATCH('Final Data'!AC$1,'Adopt-a-Pet.com  December 1'!$1:$1,0))</f>
        <v>Yes</v>
      </c>
      <c r="AD6" t="str">
        <f>INDEX('Adopt-a-Pet.com  December 1'!$A$1:$AE$857,MATCH('Final Data'!$B6,'Adopt-a-Pet.com  December 1'!$B:$B,0),MATCH('Final Data'!AD$1,'Adopt-a-Pet.com  December 1'!$1:$1,0))</f>
        <v>No</v>
      </c>
      <c r="AE6" t="str">
        <f>INDEX('Adopt-a-Pet.com  December 1'!$A$1:$AE$857,MATCH('Final Data'!$B6,'Adopt-a-Pet.com  December 1'!$B:$B,0),MATCH('Final Data'!AE$1,'Adopt-a-Pet.com  December 1'!$1:$1,0))</f>
        <v>No</v>
      </c>
      <c r="AF6" t="str">
        <f>INDEX('Adopt-a-Pet.com  December 1'!$A$1:$AE$857,MATCH('Final Data'!$B6,'Adopt-a-Pet.com  December 1'!$B:$B,0),MATCH('Final Data'!AF$1,'Adopt-a-Pet.com  December 1'!$1:$1,0))</f>
        <v>Yes</v>
      </c>
      <c r="AG6" t="str">
        <f>INDEX('Adopt-a-Pet.com  December 1'!$A$1:$AE$857,MATCH('Final Data'!$B6,'Adopt-a-Pet.com  December 1'!$B:$B,0),MATCH('Final Data'!AG$1,'Adopt-a-Pet.com  December 1'!$1:$1,0))</f>
        <v>Yes</v>
      </c>
      <c r="AH6" t="str">
        <f>INDEX('Adopt-a-Pet.com  December 1'!$A$1:$AE$857,MATCH('Final Data'!$B6,'Adopt-a-Pet.com  December 1'!$B:$B,0),MATCH('Final Data'!AH$1,'Adopt-a-Pet.com  December 1'!$1:$1,0))</f>
        <v>Unknown</v>
      </c>
      <c r="AI6" t="str">
        <f>INDEX('Adopt-a-Pet.com  December 1'!$A$1:$AE$857,MATCH('Final Data'!$B6,'Adopt-a-Pet.com  December 1'!$B:$B,0),MATCH('Final Data'!AI$1,'Adopt-a-Pet.com  December 1'!$1:$1,0))</f>
        <v>Koko is a bundle of joy with a heart full of play! This beautiful blue Pit Bull mix is smart, sweet, and endlessly entertaining. She adores her toys‚Äîespecially her beloved binky‚Äîand could play fetch for hours with a grin on her face. Koko‚Äôs goofy hops and frog-like pounces will have you laughing in no time, and her friendly personality makes her a hit with everyone she meets. Beneath her playful energy is a loyal, loving girl who‚Äôs happiest when she‚Äôs with her people (and her toys!). If you‚Äôre looking for a fun, affectionate companion who brings sunshine and smiles wherever she goes, Koko is your girl.</v>
      </c>
    </row>
    <row r="7" spans="1:35" x14ac:dyDescent="0.2">
      <c r="A7">
        <v>44937929</v>
      </c>
      <c r="B7" t="s">
        <v>156</v>
      </c>
      <c r="C7" t="s">
        <v>157</v>
      </c>
      <c r="D7" t="s">
        <v>1100</v>
      </c>
      <c r="E7">
        <v>1</v>
      </c>
      <c r="F7" t="s">
        <v>3092</v>
      </c>
      <c r="G7" t="s">
        <v>1736</v>
      </c>
      <c r="H7">
        <v>45950</v>
      </c>
      <c r="I7">
        <v>219.8</v>
      </c>
      <c r="J7" s="54">
        <v>400</v>
      </c>
      <c r="K7" s="54">
        <v>912</v>
      </c>
      <c r="L7" s="55">
        <v>1947</v>
      </c>
      <c r="M7" s="54">
        <v>5</v>
      </c>
      <c r="N7" s="54">
        <v>25</v>
      </c>
      <c r="O7" s="54">
        <v>191</v>
      </c>
      <c r="P7" s="5">
        <v>1.2E-2</v>
      </c>
      <c r="Q7" t="str">
        <f>INDEX('Adopt-a-Pet.com  December 1'!$A$1:$AE$857,MATCH('Final Data'!$B7,'Adopt-a-Pet.com  December 1'!$B:$B,0),MATCH('Final Data'!Q$1,'Adopt-a-Pet.com  December 1'!$1:$1,0))</f>
        <v>available</v>
      </c>
      <c r="R7">
        <f>INDEX('Adopt-a-Pet.com  December 1'!$A$1:$AE$857,MATCH('Final Data'!$B7,'Adopt-a-Pet.com  December 1'!$B:$B,0),MATCH('Final Data'!R$1,'Adopt-a-Pet.com  December 1'!$1:$1,0))</f>
        <v>45827</v>
      </c>
      <c r="S7">
        <f>INDEX('Adopt-a-Pet.com  December 1'!$A$1:$AE$857,MATCH('Final Data'!$B7,'Adopt-a-Pet.com  December 1'!$B:$B,0),MATCH('Final Data'!S$1,'Adopt-a-Pet.com  December 1'!$1:$1,0))</f>
        <v>0</v>
      </c>
      <c r="T7" t="str">
        <f>INDEX('Adopt-a-Pet.com  December 1'!$A$1:$AE$857,MATCH('Final Data'!$B7,'Adopt-a-Pet.com  December 1'!$B:$B,0),MATCH('Final Data'!T$1,'Adopt-a-Pet.com  December 1'!$1:$1,0))</f>
        <v>American Staffordshire Terrier</v>
      </c>
      <c r="U7" t="str">
        <f>INDEX('Adopt-a-Pet.com  December 1'!$A$1:$AE$857,MATCH('Final Data'!$B7,'Adopt-a-Pet.com  December 1'!$B:$B,0),MATCH('Final Data'!U$1,'Adopt-a-Pet.com  December 1'!$1:$1,0))</f>
        <v>American Pit Bull Terrier</v>
      </c>
      <c r="V7" t="str">
        <f>INDEX('Adopt-a-Pet.com  December 1'!$A$1:$AE$857,MATCH('Final Data'!$B7,'Adopt-a-Pet.com  December 1'!$B:$B,0),MATCH('Final Data'!V$1,'Adopt-a-Pet.com  December 1'!$1:$1,0))</f>
        <v>Black - with White</v>
      </c>
      <c r="W7" t="str">
        <f>INDEX('Adopt-a-Pet.com  December 1'!$A$1:$AE$857,MATCH('Final Data'!$B7,'Adopt-a-Pet.com  December 1'!$B:$B,0),MATCH('Final Data'!W$1,'Adopt-a-Pet.com  December 1'!$1:$1,0))</f>
        <v>female</v>
      </c>
      <c r="X7" t="str">
        <f>INDEX('Adopt-a-Pet.com  December 1'!$A$1:$AE$857,MATCH('Final Data'!$B7,'Adopt-a-Pet.com  December 1'!$B:$B,0),MATCH('Final Data'!X$1,'Adopt-a-Pet.com  December 1'!$1:$1,0))</f>
        <v>adult</v>
      </c>
      <c r="Y7" t="str">
        <f>INDEX('Adopt-a-Pet.com  December 1'!$A$1:$AE$857,MATCH('Final Data'!$B7,'Adopt-a-Pet.com  December 1'!$B:$B,0),MATCH('Final Data'!Y$1,'Adopt-a-Pet.com  December 1'!$1:$1,0))</f>
        <v>Med. 26-60 lbs (12-27 kg)</v>
      </c>
      <c r="Z7">
        <f>INDEX('Adopt-a-Pet.com  December 1'!$A$1:$AE$857,MATCH('Final Data'!$B7,'Adopt-a-Pet.com  December 1'!$B:$B,0),MATCH('Final Data'!Z$1,'Adopt-a-Pet.com  December 1'!$1:$1,0))</f>
        <v>0</v>
      </c>
      <c r="AA7" t="str">
        <f>INDEX('Adopt-a-Pet.com  December 1'!$A$1:$AE$857,MATCH('Final Data'!$B7,'Adopt-a-Pet.com  December 1'!$B:$B,0),MATCH('Final Data'!AA$1,'Adopt-a-Pet.com  December 1'!$1:$1,0))</f>
        <v>Yes</v>
      </c>
      <c r="AB7" t="str">
        <f>INDEX('Adopt-a-Pet.com  December 1'!$A$1:$AE$857,MATCH('Final Data'!$B7,'Adopt-a-Pet.com  December 1'!$B:$B,0),MATCH('Final Data'!AB$1,'Adopt-a-Pet.com  December 1'!$1:$1,0))</f>
        <v>Yes</v>
      </c>
      <c r="AC7" t="str">
        <f>INDEX('Adopt-a-Pet.com  December 1'!$A$1:$AE$857,MATCH('Final Data'!$B7,'Adopt-a-Pet.com  December 1'!$B:$B,0),MATCH('Final Data'!AC$1,'Adopt-a-Pet.com  December 1'!$1:$1,0))</f>
        <v>Yes</v>
      </c>
      <c r="AD7" t="str">
        <f>INDEX('Adopt-a-Pet.com  December 1'!$A$1:$AE$857,MATCH('Final Data'!$B7,'Adopt-a-Pet.com  December 1'!$B:$B,0),MATCH('Final Data'!AD$1,'Adopt-a-Pet.com  December 1'!$1:$1,0))</f>
        <v>No</v>
      </c>
      <c r="AE7" t="str">
        <f>INDEX('Adopt-a-Pet.com  December 1'!$A$1:$AE$857,MATCH('Final Data'!$B7,'Adopt-a-Pet.com  December 1'!$B:$B,0),MATCH('Final Data'!AE$1,'Adopt-a-Pet.com  December 1'!$1:$1,0))</f>
        <v>No</v>
      </c>
      <c r="AF7" t="str">
        <f>INDEX('Adopt-a-Pet.com  December 1'!$A$1:$AE$857,MATCH('Final Data'!$B7,'Adopt-a-Pet.com  December 1'!$B:$B,0),MATCH('Final Data'!AF$1,'Adopt-a-Pet.com  December 1'!$1:$1,0))</f>
        <v>Yes</v>
      </c>
      <c r="AG7" t="str">
        <f>INDEX('Adopt-a-Pet.com  December 1'!$A$1:$AE$857,MATCH('Final Data'!$B7,'Adopt-a-Pet.com  December 1'!$B:$B,0),MATCH('Final Data'!AG$1,'Adopt-a-Pet.com  December 1'!$1:$1,0))</f>
        <v>Yes</v>
      </c>
      <c r="AH7" t="str">
        <f>INDEX('Adopt-a-Pet.com  December 1'!$A$1:$AE$857,MATCH('Final Data'!$B7,'Adopt-a-Pet.com  December 1'!$B:$B,0),MATCH('Final Data'!AH$1,'Adopt-a-Pet.com  December 1'!$1:$1,0))</f>
        <v>Unknown</v>
      </c>
      <c r="AI7" t="str">
        <f>INDEX('Adopt-a-Pet.com  December 1'!$A$1:$AE$857,MATCH('Final Data'!$B7,'Adopt-a-Pet.com  December 1'!$B:$B,0),MATCH('Final Data'!AI$1,'Adopt-a-Pet.com  December 1'!$1:$1,0))</f>
        <v>Zorua is the definition of a gentle soul. This lovely black-and-white Pittie mix is as sweet and loyal as they come, with a heart that melts the moment you meet her. She‚Äôs laid-back and affectionate, happiest when she‚Äôs soaking up belly rubs or snuggling by your side for hours. Zorua is wonderful on the leash and loves a nice, calm evening walk followed by quiet time with her people. She‚Äôs the perfect mix of cuddly and composed‚Äîeasy to love and even easier to live with. If you‚Äôre looking for a loving companion who will fill your days with warmth and your nights with cozy cuddles, Zorua is your girl.</v>
      </c>
    </row>
    <row r="8" spans="1:35" x14ac:dyDescent="0.2">
      <c r="A8">
        <v>45190855</v>
      </c>
      <c r="B8" t="s">
        <v>171</v>
      </c>
      <c r="C8" t="s">
        <v>172</v>
      </c>
      <c r="D8" t="s">
        <v>1100</v>
      </c>
      <c r="E8">
        <v>0</v>
      </c>
      <c r="F8" t="s">
        <v>3092</v>
      </c>
      <c r="I8">
        <v>125.9</v>
      </c>
      <c r="J8" s="54">
        <v>409</v>
      </c>
      <c r="K8" s="54">
        <v>911</v>
      </c>
      <c r="L8" s="55">
        <v>1599</v>
      </c>
      <c r="M8" s="54">
        <v>25</v>
      </c>
      <c r="N8" s="54">
        <v>36</v>
      </c>
      <c r="O8" s="54">
        <v>191</v>
      </c>
      <c r="P8" s="5">
        <v>6.0999999999999999E-2</v>
      </c>
      <c r="Q8" t="str">
        <f>INDEX('Adopt-a-Pet.com  December 1'!$A$1:$AE$857,MATCH('Final Data'!$B8,'Adopt-a-Pet.com  December 1'!$B:$B,0),MATCH('Final Data'!Q$1,'Adopt-a-Pet.com  December 1'!$1:$1,0))</f>
        <v>available</v>
      </c>
      <c r="R8">
        <f>INDEX('Adopt-a-Pet.com  December 1'!$A$1:$AE$857,MATCH('Final Data'!$B8,'Adopt-a-Pet.com  December 1'!$B:$B,0),MATCH('Final Data'!R$1,'Adopt-a-Pet.com  December 1'!$1:$1,0))</f>
        <v>45851</v>
      </c>
      <c r="S8">
        <f>INDEX('Adopt-a-Pet.com  December 1'!$A$1:$AE$857,MATCH('Final Data'!$B8,'Adopt-a-Pet.com  December 1'!$B:$B,0),MATCH('Final Data'!S$1,'Adopt-a-Pet.com  December 1'!$1:$1,0))</f>
        <v>0</v>
      </c>
      <c r="T8" t="str">
        <f>INDEX('Adopt-a-Pet.com  December 1'!$A$1:$AE$857,MATCH('Final Data'!$B8,'Adopt-a-Pet.com  December 1'!$B:$B,0),MATCH('Final Data'!T$1,'Adopt-a-Pet.com  December 1'!$1:$1,0))</f>
        <v>American Staffordshire Terrier</v>
      </c>
      <c r="U8" t="str">
        <f>INDEX('Adopt-a-Pet.com  December 1'!$A$1:$AE$857,MATCH('Final Data'!$B8,'Adopt-a-Pet.com  December 1'!$B:$B,0),MATCH('Final Data'!U$1,'Adopt-a-Pet.com  December 1'!$1:$1,0))</f>
        <v>Cane Corso</v>
      </c>
      <c r="V8" t="str">
        <f>INDEX('Adopt-a-Pet.com  December 1'!$A$1:$AE$857,MATCH('Final Data'!$B8,'Adopt-a-Pet.com  December 1'!$B:$B,0),MATCH('Final Data'!V$1,'Adopt-a-Pet.com  December 1'!$1:$1,0))</f>
        <v>Brindle - with White</v>
      </c>
      <c r="W8" t="str">
        <f>INDEX('Adopt-a-Pet.com  December 1'!$A$1:$AE$857,MATCH('Final Data'!$B8,'Adopt-a-Pet.com  December 1'!$B:$B,0),MATCH('Final Data'!W$1,'Adopt-a-Pet.com  December 1'!$1:$1,0))</f>
        <v>female</v>
      </c>
      <c r="X8" t="str">
        <f>INDEX('Adopt-a-Pet.com  December 1'!$A$1:$AE$857,MATCH('Final Data'!$B8,'Adopt-a-Pet.com  December 1'!$B:$B,0),MATCH('Final Data'!X$1,'Adopt-a-Pet.com  December 1'!$1:$1,0))</f>
        <v>adult</v>
      </c>
      <c r="Y8" t="str">
        <f>INDEX('Adopt-a-Pet.com  December 1'!$A$1:$AE$857,MATCH('Final Data'!$B8,'Adopt-a-Pet.com  December 1'!$B:$B,0),MATCH('Final Data'!Y$1,'Adopt-a-Pet.com  December 1'!$1:$1,0))</f>
        <v>Large 61-100 lbs (28-45 kg)</v>
      </c>
      <c r="Z8">
        <f>INDEX('Adopt-a-Pet.com  December 1'!$A$1:$AE$857,MATCH('Final Data'!$B8,'Adopt-a-Pet.com  December 1'!$B:$B,0),MATCH('Final Data'!Z$1,'Adopt-a-Pet.com  December 1'!$1:$1,0))</f>
        <v>0</v>
      </c>
      <c r="AA8" t="str">
        <f>INDEX('Adopt-a-Pet.com  December 1'!$A$1:$AE$857,MATCH('Final Data'!$B8,'Adopt-a-Pet.com  December 1'!$B:$B,0),MATCH('Final Data'!AA$1,'Adopt-a-Pet.com  December 1'!$1:$1,0))</f>
        <v>Yes</v>
      </c>
      <c r="AB8" t="str">
        <f>INDEX('Adopt-a-Pet.com  December 1'!$A$1:$AE$857,MATCH('Final Data'!$B8,'Adopt-a-Pet.com  December 1'!$B:$B,0),MATCH('Final Data'!AB$1,'Adopt-a-Pet.com  December 1'!$1:$1,0))</f>
        <v>Yes</v>
      </c>
      <c r="AC8" t="str">
        <f>INDEX('Adopt-a-Pet.com  December 1'!$A$1:$AE$857,MATCH('Final Data'!$B8,'Adopt-a-Pet.com  December 1'!$B:$B,0),MATCH('Final Data'!AC$1,'Adopt-a-Pet.com  December 1'!$1:$1,0))</f>
        <v>Yes</v>
      </c>
      <c r="AD8" t="str">
        <f>INDEX('Adopt-a-Pet.com  December 1'!$A$1:$AE$857,MATCH('Final Data'!$B8,'Adopt-a-Pet.com  December 1'!$B:$B,0),MATCH('Final Data'!AD$1,'Adopt-a-Pet.com  December 1'!$1:$1,0))</f>
        <v>No</v>
      </c>
      <c r="AE8" t="str">
        <f>INDEX('Adopt-a-Pet.com  December 1'!$A$1:$AE$857,MATCH('Final Data'!$B8,'Adopt-a-Pet.com  December 1'!$B:$B,0),MATCH('Final Data'!AE$1,'Adopt-a-Pet.com  December 1'!$1:$1,0))</f>
        <v>No</v>
      </c>
      <c r="AF8" t="str">
        <f>INDEX('Adopt-a-Pet.com  December 1'!$A$1:$AE$857,MATCH('Final Data'!$B8,'Adopt-a-Pet.com  December 1'!$B:$B,0),MATCH('Final Data'!AF$1,'Adopt-a-Pet.com  December 1'!$1:$1,0))</f>
        <v>Yes</v>
      </c>
      <c r="AG8" t="str">
        <f>INDEX('Adopt-a-Pet.com  December 1'!$A$1:$AE$857,MATCH('Final Data'!$B8,'Adopt-a-Pet.com  December 1'!$B:$B,0),MATCH('Final Data'!AG$1,'Adopt-a-Pet.com  December 1'!$1:$1,0))</f>
        <v>Yes</v>
      </c>
      <c r="AH8" t="str">
        <f>INDEX('Adopt-a-Pet.com  December 1'!$A$1:$AE$857,MATCH('Final Data'!$B8,'Adopt-a-Pet.com  December 1'!$B:$B,0),MATCH('Final Data'!AH$1,'Adopt-a-Pet.com  December 1'!$1:$1,0))</f>
        <v>Unknown</v>
      </c>
      <c r="AI8">
        <f>INDEX('Adopt-a-Pet.com  December 1'!$A$1:$AE$857,MATCH('Final Data'!$B8,'Adopt-a-Pet.com  December 1'!$B:$B,0),MATCH('Final Data'!AI$1,'Adopt-a-Pet.com  December 1'!$1:$1,0))</f>
        <v>0</v>
      </c>
    </row>
    <row r="9" spans="1:35" x14ac:dyDescent="0.2">
      <c r="A9">
        <v>45190845</v>
      </c>
      <c r="B9" t="s">
        <v>178</v>
      </c>
      <c r="C9" t="s">
        <v>179</v>
      </c>
      <c r="D9" t="s">
        <v>1101</v>
      </c>
      <c r="E9">
        <v>1</v>
      </c>
      <c r="F9" t="s">
        <v>3092</v>
      </c>
      <c r="G9" t="s">
        <v>1752</v>
      </c>
      <c r="H9">
        <v>45950</v>
      </c>
      <c r="I9">
        <v>128.9</v>
      </c>
      <c r="J9" s="54">
        <v>336</v>
      </c>
      <c r="K9" s="54">
        <v>905</v>
      </c>
      <c r="L9" s="55">
        <v>2002</v>
      </c>
      <c r="M9" s="54">
        <v>35</v>
      </c>
      <c r="N9" s="54">
        <v>248</v>
      </c>
      <c r="O9" s="54">
        <v>627</v>
      </c>
      <c r="P9" s="5">
        <v>0.104</v>
      </c>
      <c r="Q9" t="str">
        <f>INDEX('Adopt-a-Pet.com  December 1'!$A$1:$AE$857,MATCH('Final Data'!$B9,'Adopt-a-Pet.com  December 1'!$B:$B,0),MATCH('Final Data'!Q$1,'Adopt-a-Pet.com  December 1'!$1:$1,0))</f>
        <v>available</v>
      </c>
      <c r="R9">
        <f>INDEX('Adopt-a-Pet.com  December 1'!$A$1:$AE$857,MATCH('Final Data'!$B9,'Adopt-a-Pet.com  December 1'!$B:$B,0),MATCH('Final Data'!R$1,'Adopt-a-Pet.com  December 1'!$1:$1,0))</f>
        <v>45851</v>
      </c>
      <c r="S9">
        <f>INDEX('Adopt-a-Pet.com  December 1'!$A$1:$AE$857,MATCH('Final Data'!$B9,'Adopt-a-Pet.com  December 1'!$B:$B,0),MATCH('Final Data'!S$1,'Adopt-a-Pet.com  December 1'!$1:$1,0))</f>
        <v>0</v>
      </c>
      <c r="T9" t="str">
        <f>INDEX('Adopt-a-Pet.com  December 1'!$A$1:$AE$857,MATCH('Final Data'!$B9,'Adopt-a-Pet.com  December 1'!$B:$B,0),MATCH('Final Data'!T$1,'Adopt-a-Pet.com  December 1'!$1:$1,0))</f>
        <v>Labrador Retriever</v>
      </c>
      <c r="U9" t="str">
        <f>INDEX('Adopt-a-Pet.com  December 1'!$A$1:$AE$857,MATCH('Final Data'!$B9,'Adopt-a-Pet.com  December 1'!$B:$B,0),MATCH('Final Data'!U$1,'Adopt-a-Pet.com  December 1'!$1:$1,0))</f>
        <v>Hound (Unknown Type)</v>
      </c>
      <c r="V9" t="str">
        <f>INDEX('Adopt-a-Pet.com  December 1'!$A$1:$AE$857,MATCH('Final Data'!$B9,'Adopt-a-Pet.com  December 1'!$B:$B,0),MATCH('Final Data'!V$1,'Adopt-a-Pet.com  December 1'!$1:$1,0))</f>
        <v>Black</v>
      </c>
      <c r="W9" t="str">
        <f>INDEX('Adopt-a-Pet.com  December 1'!$A$1:$AE$857,MATCH('Final Data'!$B9,'Adopt-a-Pet.com  December 1'!$B:$B,0),MATCH('Final Data'!W$1,'Adopt-a-Pet.com  December 1'!$1:$1,0))</f>
        <v>male</v>
      </c>
      <c r="X9" t="str">
        <f>INDEX('Adopt-a-Pet.com  December 1'!$A$1:$AE$857,MATCH('Final Data'!$B9,'Adopt-a-Pet.com  December 1'!$B:$B,0),MATCH('Final Data'!X$1,'Adopt-a-Pet.com  December 1'!$1:$1,0))</f>
        <v>young</v>
      </c>
      <c r="Y9" t="str">
        <f>INDEX('Adopt-a-Pet.com  December 1'!$A$1:$AE$857,MATCH('Final Data'!$B9,'Adopt-a-Pet.com  December 1'!$B:$B,0),MATCH('Final Data'!Y$1,'Adopt-a-Pet.com  December 1'!$1:$1,0))</f>
        <v>Med. 26-60 lbs (12-27 kg)</v>
      </c>
      <c r="Z9">
        <f>INDEX('Adopt-a-Pet.com  December 1'!$A$1:$AE$857,MATCH('Final Data'!$B9,'Adopt-a-Pet.com  December 1'!$B:$B,0),MATCH('Final Data'!Z$1,'Adopt-a-Pet.com  December 1'!$1:$1,0))</f>
        <v>0</v>
      </c>
      <c r="AA9" t="str">
        <f>INDEX('Adopt-a-Pet.com  December 1'!$A$1:$AE$857,MATCH('Final Data'!$B9,'Adopt-a-Pet.com  December 1'!$B:$B,0),MATCH('Final Data'!AA$1,'Adopt-a-Pet.com  December 1'!$1:$1,0))</f>
        <v>Yes</v>
      </c>
      <c r="AB9" t="str">
        <f>INDEX('Adopt-a-Pet.com  December 1'!$A$1:$AE$857,MATCH('Final Data'!$B9,'Adopt-a-Pet.com  December 1'!$B:$B,0),MATCH('Final Data'!AB$1,'Adopt-a-Pet.com  December 1'!$1:$1,0))</f>
        <v>Yes</v>
      </c>
      <c r="AC9" t="str">
        <f>INDEX('Adopt-a-Pet.com  December 1'!$A$1:$AE$857,MATCH('Final Data'!$B9,'Adopt-a-Pet.com  December 1'!$B:$B,0),MATCH('Final Data'!AC$1,'Adopt-a-Pet.com  December 1'!$1:$1,0))</f>
        <v>Yes</v>
      </c>
      <c r="AD9" t="str">
        <f>INDEX('Adopt-a-Pet.com  December 1'!$A$1:$AE$857,MATCH('Final Data'!$B9,'Adopt-a-Pet.com  December 1'!$B:$B,0),MATCH('Final Data'!AD$1,'Adopt-a-Pet.com  December 1'!$1:$1,0))</f>
        <v>No</v>
      </c>
      <c r="AE9" t="str">
        <f>INDEX('Adopt-a-Pet.com  December 1'!$A$1:$AE$857,MATCH('Final Data'!$B9,'Adopt-a-Pet.com  December 1'!$B:$B,0),MATCH('Final Data'!AE$1,'Adopt-a-Pet.com  December 1'!$1:$1,0))</f>
        <v>No</v>
      </c>
      <c r="AF9" t="str">
        <f>INDEX('Adopt-a-Pet.com  December 1'!$A$1:$AE$857,MATCH('Final Data'!$B9,'Adopt-a-Pet.com  December 1'!$B:$B,0),MATCH('Final Data'!AF$1,'Adopt-a-Pet.com  December 1'!$1:$1,0))</f>
        <v>Yes</v>
      </c>
      <c r="AG9" t="str">
        <f>INDEX('Adopt-a-Pet.com  December 1'!$A$1:$AE$857,MATCH('Final Data'!$B9,'Adopt-a-Pet.com  December 1'!$B:$B,0),MATCH('Final Data'!AG$1,'Adopt-a-Pet.com  December 1'!$1:$1,0))</f>
        <v>Yes</v>
      </c>
      <c r="AH9" t="str">
        <f>INDEX('Adopt-a-Pet.com  December 1'!$A$1:$AE$857,MATCH('Final Data'!$B9,'Adopt-a-Pet.com  December 1'!$B:$B,0),MATCH('Final Data'!AH$1,'Adopt-a-Pet.com  December 1'!$1:$1,0))</f>
        <v>Yes</v>
      </c>
      <c r="AI9" t="str">
        <f>INDEX('Adopt-a-Pet.com  December 1'!$A$1:$AE$857,MATCH('Final Data'!$B9,'Adopt-a-Pet.com  December 1'!$B:$B,0),MATCH('Final Data'!AI$1,'Adopt-a-Pet.com  December 1'!$1:$1,0))</f>
        <v>Cole is the total package‚Äîsweet, social, and full of life! This handsome black Lab/Hound mix is a gentle playmate who gets along wonderfully with other dogs, cats, and kids. He loves to run, chase, and explore outside, but he‚Äôs just as happy curling up for cuddles afterward. Cole has an easygoing, playful energy and a soft heart that makes him a joy to be around. He rides great in the car, walks nicely on a leash, and always brings a little sunshine wherever he goes. If you‚Äôre looking for a fun, affectionate companion who‚Äôs ready to join you on every adventure (and every couch snuggle), Cole is your guy.</v>
      </c>
    </row>
    <row r="10" spans="1:35" x14ac:dyDescent="0.2">
      <c r="A10">
        <v>45190901</v>
      </c>
      <c r="B10" t="s">
        <v>192</v>
      </c>
      <c r="C10" t="s">
        <v>193</v>
      </c>
      <c r="D10" t="s">
        <v>1101</v>
      </c>
      <c r="E10">
        <v>1</v>
      </c>
      <c r="F10" t="s">
        <v>3092</v>
      </c>
      <c r="G10" t="s">
        <v>1731</v>
      </c>
      <c r="H10">
        <v>45950</v>
      </c>
      <c r="I10">
        <v>124.8</v>
      </c>
      <c r="J10" s="54">
        <v>413</v>
      </c>
      <c r="K10" s="54">
        <v>956</v>
      </c>
      <c r="L10" s="55">
        <v>1749</v>
      </c>
      <c r="M10" s="54">
        <v>4</v>
      </c>
      <c r="N10" s="54">
        <v>23</v>
      </c>
      <c r="O10" s="54">
        <v>118</v>
      </c>
      <c r="P10" s="5">
        <v>0.01</v>
      </c>
      <c r="Q10" t="str">
        <f>INDEX('Adopt-a-Pet.com  December 1'!$A$1:$AE$857,MATCH('Final Data'!$B10,'Adopt-a-Pet.com  December 1'!$B:$B,0),MATCH('Final Data'!Q$1,'Adopt-a-Pet.com  December 1'!$1:$1,0))</f>
        <v>available</v>
      </c>
      <c r="R10">
        <f>INDEX('Adopt-a-Pet.com  December 1'!$A$1:$AE$857,MATCH('Final Data'!$B10,'Adopt-a-Pet.com  December 1'!$B:$B,0),MATCH('Final Data'!R$1,'Adopt-a-Pet.com  December 1'!$1:$1,0))</f>
        <v>45851</v>
      </c>
      <c r="S10">
        <f>INDEX('Adopt-a-Pet.com  December 1'!$A$1:$AE$857,MATCH('Final Data'!$B10,'Adopt-a-Pet.com  December 1'!$B:$B,0),MATCH('Final Data'!S$1,'Adopt-a-Pet.com  December 1'!$1:$1,0))</f>
        <v>0</v>
      </c>
      <c r="T10" t="str">
        <f>INDEX('Adopt-a-Pet.com  December 1'!$A$1:$AE$857,MATCH('Final Data'!$B10,'Adopt-a-Pet.com  December 1'!$B:$B,0),MATCH('Final Data'!T$1,'Adopt-a-Pet.com  December 1'!$1:$1,0))</f>
        <v>Labrador Retriever</v>
      </c>
      <c r="U10" t="str">
        <f>INDEX('Adopt-a-Pet.com  December 1'!$A$1:$AE$857,MATCH('Final Data'!$B10,'Adopt-a-Pet.com  December 1'!$B:$B,0),MATCH('Final Data'!U$1,'Adopt-a-Pet.com  December 1'!$1:$1,0))</f>
        <v>American Pit Bull Terrier</v>
      </c>
      <c r="V10" t="str">
        <f>INDEX('Adopt-a-Pet.com  December 1'!$A$1:$AE$857,MATCH('Final Data'!$B10,'Adopt-a-Pet.com  December 1'!$B:$B,0),MATCH('Final Data'!V$1,'Adopt-a-Pet.com  December 1'!$1:$1,0))</f>
        <v>Black</v>
      </c>
      <c r="W10" t="str">
        <f>INDEX('Adopt-a-Pet.com  December 1'!$A$1:$AE$857,MATCH('Final Data'!$B10,'Adopt-a-Pet.com  December 1'!$B:$B,0),MATCH('Final Data'!W$1,'Adopt-a-Pet.com  December 1'!$1:$1,0))</f>
        <v>female</v>
      </c>
      <c r="X10" t="str">
        <f>INDEX('Adopt-a-Pet.com  December 1'!$A$1:$AE$857,MATCH('Final Data'!$B10,'Adopt-a-Pet.com  December 1'!$B:$B,0),MATCH('Final Data'!X$1,'Adopt-a-Pet.com  December 1'!$1:$1,0))</f>
        <v>adult</v>
      </c>
      <c r="Y10" t="str">
        <f>INDEX('Adopt-a-Pet.com  December 1'!$A$1:$AE$857,MATCH('Final Data'!$B10,'Adopt-a-Pet.com  December 1'!$B:$B,0),MATCH('Final Data'!Y$1,'Adopt-a-Pet.com  December 1'!$1:$1,0))</f>
        <v>Med. 26-60 lbs (12-27 kg)</v>
      </c>
      <c r="Z10">
        <f>INDEX('Adopt-a-Pet.com  December 1'!$A$1:$AE$857,MATCH('Final Data'!$B10,'Adopt-a-Pet.com  December 1'!$B:$B,0),MATCH('Final Data'!Z$1,'Adopt-a-Pet.com  December 1'!$1:$1,0))</f>
        <v>0</v>
      </c>
      <c r="AA10" t="str">
        <f>INDEX('Adopt-a-Pet.com  December 1'!$A$1:$AE$857,MATCH('Final Data'!$B10,'Adopt-a-Pet.com  December 1'!$B:$B,0),MATCH('Final Data'!AA$1,'Adopt-a-Pet.com  December 1'!$1:$1,0))</f>
        <v>Yes</v>
      </c>
      <c r="AB10" t="str">
        <f>INDEX('Adopt-a-Pet.com  December 1'!$A$1:$AE$857,MATCH('Final Data'!$B10,'Adopt-a-Pet.com  December 1'!$B:$B,0),MATCH('Final Data'!AB$1,'Adopt-a-Pet.com  December 1'!$1:$1,0))</f>
        <v>Yes</v>
      </c>
      <c r="AC10" t="str">
        <f>INDEX('Adopt-a-Pet.com  December 1'!$A$1:$AE$857,MATCH('Final Data'!$B10,'Adopt-a-Pet.com  December 1'!$B:$B,0),MATCH('Final Data'!AC$1,'Adopt-a-Pet.com  December 1'!$1:$1,0))</f>
        <v>Yes</v>
      </c>
      <c r="AD10" t="str">
        <f>INDEX('Adopt-a-Pet.com  December 1'!$A$1:$AE$857,MATCH('Final Data'!$B10,'Adopt-a-Pet.com  December 1'!$B:$B,0),MATCH('Final Data'!AD$1,'Adopt-a-Pet.com  December 1'!$1:$1,0))</f>
        <v>No</v>
      </c>
      <c r="AE10" t="str">
        <f>INDEX('Adopt-a-Pet.com  December 1'!$A$1:$AE$857,MATCH('Final Data'!$B10,'Adopt-a-Pet.com  December 1'!$B:$B,0),MATCH('Final Data'!AE$1,'Adopt-a-Pet.com  December 1'!$1:$1,0))</f>
        <v>No</v>
      </c>
      <c r="AF10" t="str">
        <f>INDEX('Adopt-a-Pet.com  December 1'!$A$1:$AE$857,MATCH('Final Data'!$B10,'Adopt-a-Pet.com  December 1'!$B:$B,0),MATCH('Final Data'!AF$1,'Adopt-a-Pet.com  December 1'!$1:$1,0))</f>
        <v>Yes</v>
      </c>
      <c r="AG10" t="str">
        <f>INDEX('Adopt-a-Pet.com  December 1'!$A$1:$AE$857,MATCH('Final Data'!$B10,'Adopt-a-Pet.com  December 1'!$B:$B,0),MATCH('Final Data'!AG$1,'Adopt-a-Pet.com  December 1'!$1:$1,0))</f>
        <v>Yes</v>
      </c>
      <c r="AH10" t="str">
        <f>INDEX('Adopt-a-Pet.com  December 1'!$A$1:$AE$857,MATCH('Final Data'!$B10,'Adopt-a-Pet.com  December 1'!$B:$B,0),MATCH('Final Data'!AH$1,'Adopt-a-Pet.com  December 1'!$1:$1,0))</f>
        <v>Unknown</v>
      </c>
      <c r="AI10" t="str">
        <f>INDEX('Adopt-a-Pet.com  December 1'!$A$1:$AE$857,MATCH('Final Data'!$B10,'Adopt-a-Pet.com  December 1'!$B:$B,0),MATCH('Final Data'!AI$1,'Adopt-a-Pet.com  December 1'!$1:$1,0))</f>
        <v>Kim is a playful sweetheart with a zest for life! This gorgeous black Lab/Pit mix loves to run, romp, and play‚Äîespecially with her best friend, Taz. She‚Äôs friendly with everyone she meets and brings joy and laughter wherever she goes. Kim‚Äôs energetic spirit makes her the perfect companion for outdoor adventures, but she‚Äôs also happy to wind down with some cuddles once the fun is done. She has a big heart, a bright smile, and a tail that never stops wagging. If you‚Äôre looking for a loyal, loving dog who‚Äôs always up for playtime and companionship, Kim is ready to be your new best friend.</v>
      </c>
    </row>
    <row r="11" spans="1:35" x14ac:dyDescent="0.2">
      <c r="A11">
        <v>45346221</v>
      </c>
      <c r="B11" t="s">
        <v>228</v>
      </c>
      <c r="C11" t="s">
        <v>229</v>
      </c>
      <c r="D11" t="s">
        <v>1101</v>
      </c>
      <c r="E11">
        <v>0</v>
      </c>
      <c r="F11" t="s">
        <v>3092</v>
      </c>
      <c r="I11">
        <v>119.9</v>
      </c>
      <c r="J11" s="54">
        <v>305</v>
      </c>
      <c r="K11" s="54">
        <v>708</v>
      </c>
      <c r="L11" s="55">
        <v>1142</v>
      </c>
      <c r="M11" s="54">
        <v>9</v>
      </c>
      <c r="N11" s="54">
        <v>33</v>
      </c>
      <c r="O11" s="54">
        <v>121</v>
      </c>
      <c r="P11" s="5">
        <v>0.03</v>
      </c>
      <c r="Q11" t="str">
        <f>INDEX('Adopt-a-Pet.com  December 1'!$A$1:$AE$857,MATCH('Final Data'!$B11,'Adopt-a-Pet.com  December 1'!$B:$B,0),MATCH('Final Data'!Q$1,'Adopt-a-Pet.com  December 1'!$1:$1,0))</f>
        <v>available</v>
      </c>
      <c r="R11">
        <f>INDEX('Adopt-a-Pet.com  December 1'!$A$1:$AE$857,MATCH('Final Data'!$B11,'Adopt-a-Pet.com  December 1'!$B:$B,0),MATCH('Final Data'!R$1,'Adopt-a-Pet.com  December 1'!$1:$1,0))</f>
        <v>45866</v>
      </c>
      <c r="S11">
        <f>INDEX('Adopt-a-Pet.com  December 1'!$A$1:$AE$857,MATCH('Final Data'!$B11,'Adopt-a-Pet.com  December 1'!$B:$B,0),MATCH('Final Data'!S$1,'Adopt-a-Pet.com  December 1'!$1:$1,0))</f>
        <v>0</v>
      </c>
      <c r="T11" t="str">
        <f>INDEX('Adopt-a-Pet.com  December 1'!$A$1:$AE$857,MATCH('Final Data'!$B11,'Adopt-a-Pet.com  December 1'!$B:$B,0),MATCH('Final Data'!T$1,'Adopt-a-Pet.com  December 1'!$1:$1,0))</f>
        <v>Shepherd (Unknown Type)</v>
      </c>
      <c r="U11" t="str">
        <f>INDEX('Adopt-a-Pet.com  December 1'!$A$1:$AE$857,MATCH('Final Data'!$B11,'Adopt-a-Pet.com  December 1'!$B:$B,0),MATCH('Final Data'!U$1,'Adopt-a-Pet.com  December 1'!$1:$1,0))</f>
        <v>Labrador Retriever</v>
      </c>
      <c r="V11" t="str">
        <f>INDEX('Adopt-a-Pet.com  December 1'!$A$1:$AE$857,MATCH('Final Data'!$B11,'Adopt-a-Pet.com  December 1'!$B:$B,0),MATCH('Final Data'!V$1,'Adopt-a-Pet.com  December 1'!$1:$1,0))</f>
        <v>Tan/Yellow/Fawn - with Black</v>
      </c>
      <c r="W11" t="str">
        <f>INDEX('Adopt-a-Pet.com  December 1'!$A$1:$AE$857,MATCH('Final Data'!$B11,'Adopt-a-Pet.com  December 1'!$B:$B,0),MATCH('Final Data'!W$1,'Adopt-a-Pet.com  December 1'!$1:$1,0))</f>
        <v>female</v>
      </c>
      <c r="X11" t="str">
        <f>INDEX('Adopt-a-Pet.com  December 1'!$A$1:$AE$857,MATCH('Final Data'!$B11,'Adopt-a-Pet.com  December 1'!$B:$B,0),MATCH('Final Data'!X$1,'Adopt-a-Pet.com  December 1'!$1:$1,0))</f>
        <v>senior</v>
      </c>
      <c r="Y11" t="str">
        <f>INDEX('Adopt-a-Pet.com  December 1'!$A$1:$AE$857,MATCH('Final Data'!$B11,'Adopt-a-Pet.com  December 1'!$B:$B,0),MATCH('Final Data'!Y$1,'Adopt-a-Pet.com  December 1'!$1:$1,0))</f>
        <v>Med. 26-60 lbs (12-27 kg)</v>
      </c>
      <c r="Z11">
        <f>INDEX('Adopt-a-Pet.com  December 1'!$A$1:$AE$857,MATCH('Final Data'!$B11,'Adopt-a-Pet.com  December 1'!$B:$B,0),MATCH('Final Data'!Z$1,'Adopt-a-Pet.com  December 1'!$1:$1,0))</f>
        <v>0</v>
      </c>
      <c r="AA11" t="str">
        <f>INDEX('Adopt-a-Pet.com  December 1'!$A$1:$AE$857,MATCH('Final Data'!$B11,'Adopt-a-Pet.com  December 1'!$B:$B,0),MATCH('Final Data'!AA$1,'Adopt-a-Pet.com  December 1'!$1:$1,0))</f>
        <v>Yes</v>
      </c>
      <c r="AB11" t="str">
        <f>INDEX('Adopt-a-Pet.com  December 1'!$A$1:$AE$857,MATCH('Final Data'!$B11,'Adopt-a-Pet.com  December 1'!$B:$B,0),MATCH('Final Data'!AB$1,'Adopt-a-Pet.com  December 1'!$1:$1,0))</f>
        <v>Yes</v>
      </c>
      <c r="AC11" t="str">
        <f>INDEX('Adopt-a-Pet.com  December 1'!$A$1:$AE$857,MATCH('Final Data'!$B11,'Adopt-a-Pet.com  December 1'!$B:$B,0),MATCH('Final Data'!AC$1,'Adopt-a-Pet.com  December 1'!$1:$1,0))</f>
        <v>Yes</v>
      </c>
      <c r="AD11" t="str">
        <f>INDEX('Adopt-a-Pet.com  December 1'!$A$1:$AE$857,MATCH('Final Data'!$B11,'Adopt-a-Pet.com  December 1'!$B:$B,0),MATCH('Final Data'!AD$1,'Adopt-a-Pet.com  December 1'!$1:$1,0))</f>
        <v>No</v>
      </c>
      <c r="AE11" t="str">
        <f>INDEX('Adopt-a-Pet.com  December 1'!$A$1:$AE$857,MATCH('Final Data'!$B11,'Adopt-a-Pet.com  December 1'!$B:$B,0),MATCH('Final Data'!AE$1,'Adopt-a-Pet.com  December 1'!$1:$1,0))</f>
        <v>No</v>
      </c>
      <c r="AF11" t="str">
        <f>INDEX('Adopt-a-Pet.com  December 1'!$A$1:$AE$857,MATCH('Final Data'!$B11,'Adopt-a-Pet.com  December 1'!$B:$B,0),MATCH('Final Data'!AF$1,'Adopt-a-Pet.com  December 1'!$1:$1,0))</f>
        <v>Yes</v>
      </c>
      <c r="AG11" t="str">
        <f>INDEX('Adopt-a-Pet.com  December 1'!$A$1:$AE$857,MATCH('Final Data'!$B11,'Adopt-a-Pet.com  December 1'!$B:$B,0),MATCH('Final Data'!AG$1,'Adopt-a-Pet.com  December 1'!$1:$1,0))</f>
        <v>Yes</v>
      </c>
      <c r="AH11" t="str">
        <f>INDEX('Adopt-a-Pet.com  December 1'!$A$1:$AE$857,MATCH('Final Data'!$B11,'Adopt-a-Pet.com  December 1'!$B:$B,0),MATCH('Final Data'!AH$1,'Adopt-a-Pet.com  December 1'!$1:$1,0))</f>
        <v>Unknown</v>
      </c>
      <c r="AI11">
        <f>INDEX('Adopt-a-Pet.com  December 1'!$A$1:$AE$857,MATCH('Final Data'!$B11,'Adopt-a-Pet.com  December 1'!$B:$B,0),MATCH('Final Data'!AI$1,'Adopt-a-Pet.com  December 1'!$1:$1,0))</f>
        <v>0</v>
      </c>
    </row>
    <row r="12" spans="1:35" x14ac:dyDescent="0.2">
      <c r="A12">
        <v>45472786</v>
      </c>
      <c r="B12" t="s">
        <v>245</v>
      </c>
      <c r="C12" t="s">
        <v>666</v>
      </c>
      <c r="D12" t="s">
        <v>1100</v>
      </c>
      <c r="E12">
        <v>0</v>
      </c>
      <c r="F12" t="s">
        <v>3092</v>
      </c>
      <c r="I12">
        <v>103</v>
      </c>
      <c r="J12" s="54">
        <v>274</v>
      </c>
      <c r="K12" s="54">
        <v>715</v>
      </c>
      <c r="L12" s="55">
        <v>1217</v>
      </c>
      <c r="M12" s="54">
        <v>3</v>
      </c>
      <c r="N12" s="54">
        <v>27</v>
      </c>
      <c r="O12" s="54">
        <v>134</v>
      </c>
      <c r="P12" s="5">
        <v>1.0999999999999999E-2</v>
      </c>
      <c r="Q12" t="str">
        <f>INDEX('Adopt-a-Pet.com  December 1'!$A$1:$AE$857,MATCH('Final Data'!$B12,'Adopt-a-Pet.com  December 1'!$B:$B,0),MATCH('Final Data'!Q$1,'Adopt-a-Pet.com  December 1'!$1:$1,0))</f>
        <v>available</v>
      </c>
      <c r="R12">
        <f>INDEX('Adopt-a-Pet.com  December 1'!$A$1:$AE$857,MATCH('Final Data'!$B12,'Adopt-a-Pet.com  December 1'!$B:$B,0),MATCH('Final Data'!R$1,'Adopt-a-Pet.com  December 1'!$1:$1,0))</f>
        <v>45877</v>
      </c>
      <c r="S12">
        <f>INDEX('Adopt-a-Pet.com  December 1'!$A$1:$AE$857,MATCH('Final Data'!$B12,'Adopt-a-Pet.com  December 1'!$B:$B,0),MATCH('Final Data'!S$1,'Adopt-a-Pet.com  December 1'!$1:$1,0))</f>
        <v>0</v>
      </c>
      <c r="T12" t="str">
        <f>INDEX('Adopt-a-Pet.com  December 1'!$A$1:$AE$857,MATCH('Final Data'!$B12,'Adopt-a-Pet.com  December 1'!$B:$B,0),MATCH('Final Data'!T$1,'Adopt-a-Pet.com  December 1'!$1:$1,0))</f>
        <v>American Pit Bull Terrier</v>
      </c>
      <c r="U12" t="str">
        <f>INDEX('Adopt-a-Pet.com  December 1'!$A$1:$AE$857,MATCH('Final Data'!$B12,'Adopt-a-Pet.com  December 1'!$B:$B,0),MATCH('Final Data'!U$1,'Adopt-a-Pet.com  December 1'!$1:$1,0))</f>
        <v>American Staffordshire Terrier</v>
      </c>
      <c r="V12" t="str">
        <f>INDEX('Adopt-a-Pet.com  December 1'!$A$1:$AE$857,MATCH('Final Data'!$B12,'Adopt-a-Pet.com  December 1'!$B:$B,0),MATCH('Final Data'!V$1,'Adopt-a-Pet.com  December 1'!$1:$1,0))</f>
        <v>Gray/Blue/Silver/Salt &amp; Pepper</v>
      </c>
      <c r="W12" t="str">
        <f>INDEX('Adopt-a-Pet.com  December 1'!$A$1:$AE$857,MATCH('Final Data'!$B12,'Adopt-a-Pet.com  December 1'!$B:$B,0),MATCH('Final Data'!W$1,'Adopt-a-Pet.com  December 1'!$1:$1,0))</f>
        <v>female</v>
      </c>
      <c r="X12" t="str">
        <f>INDEX('Adopt-a-Pet.com  December 1'!$A$1:$AE$857,MATCH('Final Data'!$B12,'Adopt-a-Pet.com  December 1'!$B:$B,0),MATCH('Final Data'!X$1,'Adopt-a-Pet.com  December 1'!$1:$1,0))</f>
        <v>young</v>
      </c>
      <c r="Y12" t="str">
        <f>INDEX('Adopt-a-Pet.com  December 1'!$A$1:$AE$857,MATCH('Final Data'!$B12,'Adopt-a-Pet.com  December 1'!$B:$B,0),MATCH('Final Data'!Y$1,'Adopt-a-Pet.com  December 1'!$1:$1,0))</f>
        <v>Med. 26-60 lbs (12-27 kg)</v>
      </c>
      <c r="Z12">
        <f>INDEX('Adopt-a-Pet.com  December 1'!$A$1:$AE$857,MATCH('Final Data'!$B12,'Adopt-a-Pet.com  December 1'!$B:$B,0),MATCH('Final Data'!Z$1,'Adopt-a-Pet.com  December 1'!$1:$1,0))</f>
        <v>0</v>
      </c>
      <c r="AA12" t="str">
        <f>INDEX('Adopt-a-Pet.com  December 1'!$A$1:$AE$857,MATCH('Final Data'!$B12,'Adopt-a-Pet.com  December 1'!$B:$B,0),MATCH('Final Data'!AA$1,'Adopt-a-Pet.com  December 1'!$1:$1,0))</f>
        <v>Yes</v>
      </c>
      <c r="AB12" t="str">
        <f>INDEX('Adopt-a-Pet.com  December 1'!$A$1:$AE$857,MATCH('Final Data'!$B12,'Adopt-a-Pet.com  December 1'!$B:$B,0),MATCH('Final Data'!AB$1,'Adopt-a-Pet.com  December 1'!$1:$1,0))</f>
        <v>Yes</v>
      </c>
      <c r="AC12" t="str">
        <f>INDEX('Adopt-a-Pet.com  December 1'!$A$1:$AE$857,MATCH('Final Data'!$B12,'Adopt-a-Pet.com  December 1'!$B:$B,0),MATCH('Final Data'!AC$1,'Adopt-a-Pet.com  December 1'!$1:$1,0))</f>
        <v>Yes</v>
      </c>
      <c r="AD12" t="str">
        <f>INDEX('Adopt-a-Pet.com  December 1'!$A$1:$AE$857,MATCH('Final Data'!$B12,'Adopt-a-Pet.com  December 1'!$B:$B,0),MATCH('Final Data'!AD$1,'Adopt-a-Pet.com  December 1'!$1:$1,0))</f>
        <v>No</v>
      </c>
      <c r="AE12" t="str">
        <f>INDEX('Adopt-a-Pet.com  December 1'!$A$1:$AE$857,MATCH('Final Data'!$B12,'Adopt-a-Pet.com  December 1'!$B:$B,0),MATCH('Final Data'!AE$1,'Adopt-a-Pet.com  December 1'!$1:$1,0))</f>
        <v>No</v>
      </c>
      <c r="AF12" t="str">
        <f>INDEX('Adopt-a-Pet.com  December 1'!$A$1:$AE$857,MATCH('Final Data'!$B12,'Adopt-a-Pet.com  December 1'!$B:$B,0),MATCH('Final Data'!AF$1,'Adopt-a-Pet.com  December 1'!$1:$1,0))</f>
        <v>Yes</v>
      </c>
      <c r="AG12" t="str">
        <f>INDEX('Adopt-a-Pet.com  December 1'!$A$1:$AE$857,MATCH('Final Data'!$B12,'Adopt-a-Pet.com  December 1'!$B:$B,0),MATCH('Final Data'!AG$1,'Adopt-a-Pet.com  December 1'!$1:$1,0))</f>
        <v>Yes</v>
      </c>
      <c r="AH12" t="str">
        <f>INDEX('Adopt-a-Pet.com  December 1'!$A$1:$AE$857,MATCH('Final Data'!$B12,'Adopt-a-Pet.com  December 1'!$B:$B,0),MATCH('Final Data'!AH$1,'Adopt-a-Pet.com  December 1'!$1:$1,0))</f>
        <v>Unknown</v>
      </c>
      <c r="AI12">
        <f>INDEX('Adopt-a-Pet.com  December 1'!$A$1:$AE$857,MATCH('Final Data'!$B12,'Adopt-a-Pet.com  December 1'!$B:$B,0),MATCH('Final Data'!AI$1,'Adopt-a-Pet.com  December 1'!$1:$1,0))</f>
        <v>0</v>
      </c>
    </row>
    <row r="13" spans="1:35" x14ac:dyDescent="0.2">
      <c r="A13">
        <v>45472762</v>
      </c>
      <c r="B13" t="s">
        <v>250</v>
      </c>
      <c r="C13" t="s">
        <v>251</v>
      </c>
      <c r="D13" t="s">
        <v>1101</v>
      </c>
      <c r="E13">
        <v>0</v>
      </c>
      <c r="F13" t="s">
        <v>3092</v>
      </c>
      <c r="I13">
        <v>101.9</v>
      </c>
      <c r="J13" s="54">
        <v>394</v>
      </c>
      <c r="K13" s="54">
        <v>844</v>
      </c>
      <c r="L13" s="55">
        <v>1228</v>
      </c>
      <c r="M13" s="54">
        <v>15</v>
      </c>
      <c r="N13" s="54">
        <v>44</v>
      </c>
      <c r="O13" s="54">
        <v>127</v>
      </c>
      <c r="P13" s="5">
        <v>3.7999999999999999E-2</v>
      </c>
      <c r="Q13" t="str">
        <f>INDEX('Adopt-a-Pet.com  December 1'!$A$1:$AE$857,MATCH('Final Data'!$B13,'Adopt-a-Pet.com  December 1'!$B:$B,0),MATCH('Final Data'!Q$1,'Adopt-a-Pet.com  December 1'!$1:$1,0))</f>
        <v>available</v>
      </c>
      <c r="R13">
        <f>INDEX('Adopt-a-Pet.com  December 1'!$A$1:$AE$857,MATCH('Final Data'!$B13,'Adopt-a-Pet.com  December 1'!$B:$B,0),MATCH('Final Data'!R$1,'Adopt-a-Pet.com  December 1'!$1:$1,0))</f>
        <v>45877</v>
      </c>
      <c r="S13">
        <f>INDEX('Adopt-a-Pet.com  December 1'!$A$1:$AE$857,MATCH('Final Data'!$B13,'Adopt-a-Pet.com  December 1'!$B:$B,0),MATCH('Final Data'!S$1,'Adopt-a-Pet.com  December 1'!$1:$1,0))</f>
        <v>0</v>
      </c>
      <c r="T13" t="str">
        <f>INDEX('Adopt-a-Pet.com  December 1'!$A$1:$AE$857,MATCH('Final Data'!$B13,'Adopt-a-Pet.com  December 1'!$B:$B,0),MATCH('Final Data'!T$1,'Adopt-a-Pet.com  December 1'!$1:$1,0))</f>
        <v>Treeing Walker Coonhound</v>
      </c>
      <c r="U13" t="str">
        <f>INDEX('Adopt-a-Pet.com  December 1'!$A$1:$AE$857,MATCH('Final Data'!$B13,'Adopt-a-Pet.com  December 1'!$B:$B,0),MATCH('Final Data'!U$1,'Adopt-a-Pet.com  December 1'!$1:$1,0))</f>
        <v>Foxhound</v>
      </c>
      <c r="V13" t="str">
        <f>INDEX('Adopt-a-Pet.com  December 1'!$A$1:$AE$857,MATCH('Final Data'!$B13,'Adopt-a-Pet.com  December 1'!$B:$B,0),MATCH('Final Data'!V$1,'Adopt-a-Pet.com  December 1'!$1:$1,0))</f>
        <v>Tricolor (Tan/Brown &amp; Black &amp; White)</v>
      </c>
      <c r="W13" t="str">
        <f>INDEX('Adopt-a-Pet.com  December 1'!$A$1:$AE$857,MATCH('Final Data'!$B13,'Adopt-a-Pet.com  December 1'!$B:$B,0),MATCH('Final Data'!W$1,'Adopt-a-Pet.com  December 1'!$1:$1,0))</f>
        <v>male</v>
      </c>
      <c r="X13" t="str">
        <f>INDEX('Adopt-a-Pet.com  December 1'!$A$1:$AE$857,MATCH('Final Data'!$B13,'Adopt-a-Pet.com  December 1'!$B:$B,0),MATCH('Final Data'!X$1,'Adopt-a-Pet.com  December 1'!$1:$1,0))</f>
        <v>adult</v>
      </c>
      <c r="Y13" t="str">
        <f>INDEX('Adopt-a-Pet.com  December 1'!$A$1:$AE$857,MATCH('Final Data'!$B13,'Adopt-a-Pet.com  December 1'!$B:$B,0),MATCH('Final Data'!Y$1,'Adopt-a-Pet.com  December 1'!$1:$1,0))</f>
        <v>Large 61-100 lbs (28-45 kg)</v>
      </c>
      <c r="Z13">
        <f>INDEX('Adopt-a-Pet.com  December 1'!$A$1:$AE$857,MATCH('Final Data'!$B13,'Adopt-a-Pet.com  December 1'!$B:$B,0),MATCH('Final Data'!Z$1,'Adopt-a-Pet.com  December 1'!$1:$1,0))</f>
        <v>0</v>
      </c>
      <c r="AA13" t="str">
        <f>INDEX('Adopt-a-Pet.com  December 1'!$A$1:$AE$857,MATCH('Final Data'!$B13,'Adopt-a-Pet.com  December 1'!$B:$B,0),MATCH('Final Data'!AA$1,'Adopt-a-Pet.com  December 1'!$1:$1,0))</f>
        <v>Yes</v>
      </c>
      <c r="AB13" t="str">
        <f>INDEX('Adopt-a-Pet.com  December 1'!$A$1:$AE$857,MATCH('Final Data'!$B13,'Adopt-a-Pet.com  December 1'!$B:$B,0),MATCH('Final Data'!AB$1,'Adopt-a-Pet.com  December 1'!$1:$1,0))</f>
        <v>Yes</v>
      </c>
      <c r="AC13" t="str">
        <f>INDEX('Adopt-a-Pet.com  December 1'!$A$1:$AE$857,MATCH('Final Data'!$B13,'Adopt-a-Pet.com  December 1'!$B:$B,0),MATCH('Final Data'!AC$1,'Adopt-a-Pet.com  December 1'!$1:$1,0))</f>
        <v>Yes</v>
      </c>
      <c r="AD13" t="str">
        <f>INDEX('Adopt-a-Pet.com  December 1'!$A$1:$AE$857,MATCH('Final Data'!$B13,'Adopt-a-Pet.com  December 1'!$B:$B,0),MATCH('Final Data'!AD$1,'Adopt-a-Pet.com  December 1'!$1:$1,0))</f>
        <v>No</v>
      </c>
      <c r="AE13" t="str">
        <f>INDEX('Adopt-a-Pet.com  December 1'!$A$1:$AE$857,MATCH('Final Data'!$B13,'Adopt-a-Pet.com  December 1'!$B:$B,0),MATCH('Final Data'!AE$1,'Adopt-a-Pet.com  December 1'!$1:$1,0))</f>
        <v>No</v>
      </c>
      <c r="AF13" t="str">
        <f>INDEX('Adopt-a-Pet.com  December 1'!$A$1:$AE$857,MATCH('Final Data'!$B13,'Adopt-a-Pet.com  December 1'!$B:$B,0),MATCH('Final Data'!AF$1,'Adopt-a-Pet.com  December 1'!$1:$1,0))</f>
        <v>Yes</v>
      </c>
      <c r="AG13" t="str">
        <f>INDEX('Adopt-a-Pet.com  December 1'!$A$1:$AE$857,MATCH('Final Data'!$B13,'Adopt-a-Pet.com  December 1'!$B:$B,0),MATCH('Final Data'!AG$1,'Adopt-a-Pet.com  December 1'!$1:$1,0))</f>
        <v>Yes</v>
      </c>
      <c r="AH13" t="str">
        <f>INDEX('Adopt-a-Pet.com  December 1'!$A$1:$AE$857,MATCH('Final Data'!$B13,'Adopt-a-Pet.com  December 1'!$B:$B,0),MATCH('Final Data'!AH$1,'Adopt-a-Pet.com  December 1'!$1:$1,0))</f>
        <v>Yes</v>
      </c>
      <c r="AI13">
        <f>INDEX('Adopt-a-Pet.com  December 1'!$A$1:$AE$857,MATCH('Final Data'!$B13,'Adopt-a-Pet.com  December 1'!$B:$B,0),MATCH('Final Data'!AI$1,'Adopt-a-Pet.com  December 1'!$1:$1,0))</f>
        <v>0</v>
      </c>
    </row>
    <row r="14" spans="1:35" x14ac:dyDescent="0.2">
      <c r="A14">
        <v>45472546</v>
      </c>
      <c r="B14" t="s">
        <v>258</v>
      </c>
      <c r="C14" t="s">
        <v>259</v>
      </c>
      <c r="D14" t="s">
        <v>1100</v>
      </c>
      <c r="E14">
        <v>1</v>
      </c>
      <c r="F14" t="s">
        <v>3092</v>
      </c>
      <c r="G14" t="s">
        <v>1732</v>
      </c>
      <c r="H14">
        <v>45950</v>
      </c>
      <c r="I14">
        <v>119.9</v>
      </c>
      <c r="J14" s="54">
        <v>455</v>
      </c>
      <c r="K14" s="55">
        <v>1123</v>
      </c>
      <c r="L14" s="55">
        <v>1625</v>
      </c>
      <c r="M14" s="54">
        <v>23</v>
      </c>
      <c r="N14" s="54">
        <v>63</v>
      </c>
      <c r="O14" s="54">
        <v>166</v>
      </c>
      <c r="P14" s="5">
        <v>5.0999999999999997E-2</v>
      </c>
      <c r="Q14" t="str">
        <f>INDEX('Adopt-a-Pet.com  December 1'!$A$1:$AE$857,MATCH('Final Data'!$B14,'Adopt-a-Pet.com  December 1'!$B:$B,0),MATCH('Final Data'!Q$1,'Adopt-a-Pet.com  December 1'!$1:$1,0))</f>
        <v>available</v>
      </c>
      <c r="R14">
        <f>INDEX('Adopt-a-Pet.com  December 1'!$A$1:$AE$857,MATCH('Final Data'!$B14,'Adopt-a-Pet.com  December 1'!$B:$B,0),MATCH('Final Data'!R$1,'Adopt-a-Pet.com  December 1'!$1:$1,0))</f>
        <v>45877</v>
      </c>
      <c r="S14">
        <f>INDEX('Adopt-a-Pet.com  December 1'!$A$1:$AE$857,MATCH('Final Data'!$B14,'Adopt-a-Pet.com  December 1'!$B:$B,0),MATCH('Final Data'!S$1,'Adopt-a-Pet.com  December 1'!$1:$1,0))</f>
        <v>0</v>
      </c>
      <c r="T14" t="str">
        <f>INDEX('Adopt-a-Pet.com  December 1'!$A$1:$AE$857,MATCH('Final Data'!$B14,'Adopt-a-Pet.com  December 1'!$B:$B,0),MATCH('Final Data'!T$1,'Adopt-a-Pet.com  December 1'!$1:$1,0))</f>
        <v>Rottweiler</v>
      </c>
      <c r="U14" t="str">
        <f>INDEX('Adopt-a-Pet.com  December 1'!$A$1:$AE$857,MATCH('Final Data'!$B14,'Adopt-a-Pet.com  December 1'!$B:$B,0),MATCH('Final Data'!U$1,'Adopt-a-Pet.com  December 1'!$1:$1,0))</f>
        <v>Cane Corso</v>
      </c>
      <c r="V14" t="str">
        <f>INDEX('Adopt-a-Pet.com  December 1'!$A$1:$AE$857,MATCH('Final Data'!$B14,'Adopt-a-Pet.com  December 1'!$B:$B,0),MATCH('Final Data'!V$1,'Adopt-a-Pet.com  December 1'!$1:$1,0))</f>
        <v>Gray/Silver/Salt &amp; Pepper - with White</v>
      </c>
      <c r="W14" t="str">
        <f>INDEX('Adopt-a-Pet.com  December 1'!$A$1:$AE$857,MATCH('Final Data'!$B14,'Adopt-a-Pet.com  December 1'!$B:$B,0),MATCH('Final Data'!W$1,'Adopt-a-Pet.com  December 1'!$1:$1,0))</f>
        <v>male</v>
      </c>
      <c r="X14" t="str">
        <f>INDEX('Adopt-a-Pet.com  December 1'!$A$1:$AE$857,MATCH('Final Data'!$B14,'Adopt-a-Pet.com  December 1'!$B:$B,0),MATCH('Final Data'!X$1,'Adopt-a-Pet.com  December 1'!$1:$1,0))</f>
        <v>adult</v>
      </c>
      <c r="Y14" t="str">
        <f>INDEX('Adopt-a-Pet.com  December 1'!$A$1:$AE$857,MATCH('Final Data'!$B14,'Adopt-a-Pet.com  December 1'!$B:$B,0),MATCH('Final Data'!Y$1,'Adopt-a-Pet.com  December 1'!$1:$1,0))</f>
        <v>Large 61-100 lbs (28-45 kg)</v>
      </c>
      <c r="Z14">
        <f>INDEX('Adopt-a-Pet.com  December 1'!$A$1:$AE$857,MATCH('Final Data'!$B14,'Adopt-a-Pet.com  December 1'!$B:$B,0),MATCH('Final Data'!Z$1,'Adopt-a-Pet.com  December 1'!$1:$1,0))</f>
        <v>0</v>
      </c>
      <c r="AA14" t="str">
        <f>INDEX('Adopt-a-Pet.com  December 1'!$A$1:$AE$857,MATCH('Final Data'!$B14,'Adopt-a-Pet.com  December 1'!$B:$B,0),MATCH('Final Data'!AA$1,'Adopt-a-Pet.com  December 1'!$1:$1,0))</f>
        <v>Yes</v>
      </c>
      <c r="AB14" t="str">
        <f>INDEX('Adopt-a-Pet.com  December 1'!$A$1:$AE$857,MATCH('Final Data'!$B14,'Adopt-a-Pet.com  December 1'!$B:$B,0),MATCH('Final Data'!AB$1,'Adopt-a-Pet.com  December 1'!$1:$1,0))</f>
        <v>Yes</v>
      </c>
      <c r="AC14" t="str">
        <f>INDEX('Adopt-a-Pet.com  December 1'!$A$1:$AE$857,MATCH('Final Data'!$B14,'Adopt-a-Pet.com  December 1'!$B:$B,0),MATCH('Final Data'!AC$1,'Adopt-a-Pet.com  December 1'!$1:$1,0))</f>
        <v>Yes</v>
      </c>
      <c r="AD14" t="str">
        <f>INDEX('Adopt-a-Pet.com  December 1'!$A$1:$AE$857,MATCH('Final Data'!$B14,'Adopt-a-Pet.com  December 1'!$B:$B,0),MATCH('Final Data'!AD$1,'Adopt-a-Pet.com  December 1'!$1:$1,0))</f>
        <v>No</v>
      </c>
      <c r="AE14" t="str">
        <f>INDEX('Adopt-a-Pet.com  December 1'!$A$1:$AE$857,MATCH('Final Data'!$B14,'Adopt-a-Pet.com  December 1'!$B:$B,0),MATCH('Final Data'!AE$1,'Adopt-a-Pet.com  December 1'!$1:$1,0))</f>
        <v>No</v>
      </c>
      <c r="AF14" t="str">
        <f>INDEX('Adopt-a-Pet.com  December 1'!$A$1:$AE$857,MATCH('Final Data'!$B14,'Adopt-a-Pet.com  December 1'!$B:$B,0),MATCH('Final Data'!AF$1,'Adopt-a-Pet.com  December 1'!$1:$1,0))</f>
        <v>Yes</v>
      </c>
      <c r="AG14" t="str">
        <f>INDEX('Adopt-a-Pet.com  December 1'!$A$1:$AE$857,MATCH('Final Data'!$B14,'Adopt-a-Pet.com  December 1'!$B:$B,0),MATCH('Final Data'!AG$1,'Adopt-a-Pet.com  December 1'!$1:$1,0))</f>
        <v>Yes</v>
      </c>
      <c r="AH14" t="str">
        <f>INDEX('Adopt-a-Pet.com  December 1'!$A$1:$AE$857,MATCH('Final Data'!$B14,'Adopt-a-Pet.com  December 1'!$B:$B,0),MATCH('Final Data'!AH$1,'Adopt-a-Pet.com  December 1'!$1:$1,0))</f>
        <v>Unknown</v>
      </c>
      <c r="AI14" t="str">
        <f>INDEX('Adopt-a-Pet.com  December 1'!$A$1:$AE$857,MATCH('Final Data'!$B14,'Adopt-a-Pet.com  December 1'!$B:$B,0),MATCH('Final Data'!AI$1,'Adopt-a-Pet.com  December 1'!$1:$1,0))</f>
        <v>Kirby is a gentle giant with a heart as big as his paws. This stunning gray-and-white Rottweiler/Cane Corso mix turns heads wherever he goes, but it‚Äôs his sweet, calm nature that truly stands out. Kirby is affectionate, well-mannered, and loves nothing more than being close to his people. Despite his impressive size, he‚Äôs gentle and kind‚Äîa big softie who just wants love and a comfy spot to rest. Whether he‚Äôs lounging at your feet or leaning in for pets, Kirby‚Äôs quiet presence brings warmth and peace to any home. If you‚Äôre looking for a loyal, loving companion with a heart of gold, Kirby is your guy.</v>
      </c>
    </row>
    <row r="15" spans="1:35" x14ac:dyDescent="0.2">
      <c r="A15">
        <v>45472971</v>
      </c>
      <c r="B15" t="s">
        <v>263</v>
      </c>
      <c r="C15" t="s">
        <v>264</v>
      </c>
      <c r="D15" t="s">
        <v>1101</v>
      </c>
      <c r="E15">
        <v>0</v>
      </c>
      <c r="F15" t="s">
        <v>2165</v>
      </c>
      <c r="I15">
        <v>95.8</v>
      </c>
      <c r="J15" s="54">
        <v>270</v>
      </c>
      <c r="K15" s="54">
        <v>667</v>
      </c>
      <c r="L15" s="55">
        <v>1085</v>
      </c>
      <c r="M15" s="54">
        <v>9</v>
      </c>
      <c r="N15" s="54">
        <v>51</v>
      </c>
      <c r="O15" s="54">
        <v>151</v>
      </c>
      <c r="P15" s="5">
        <v>3.3000000000000002E-2</v>
      </c>
      <c r="Q15" t="str">
        <f>INDEX('Adopt-a-Pet.com  December 1'!$A$1:$AE$857,MATCH('Final Data'!$B15,'Adopt-a-Pet.com  December 1'!$B:$B,0),MATCH('Final Data'!Q$1,'Adopt-a-Pet.com  December 1'!$1:$1,0))</f>
        <v>adopted</v>
      </c>
      <c r="R15">
        <f>INDEX('Adopt-a-Pet.com  December 1'!$A$1:$AE$857,MATCH('Final Data'!$B15,'Adopt-a-Pet.com  December 1'!$B:$B,0),MATCH('Final Data'!R$1,'Adopt-a-Pet.com  December 1'!$1:$1,0))</f>
        <v>45877</v>
      </c>
      <c r="S15">
        <f>INDEX('Adopt-a-Pet.com  December 1'!$A$1:$AE$857,MATCH('Final Data'!$B15,'Adopt-a-Pet.com  December 1'!$B:$B,0),MATCH('Final Data'!S$1,'Adopt-a-Pet.com  December 1'!$1:$1,0))</f>
        <v>45980</v>
      </c>
      <c r="T15" t="str">
        <f>INDEX('Adopt-a-Pet.com  December 1'!$A$1:$AE$857,MATCH('Final Data'!$B15,'Adopt-a-Pet.com  December 1'!$B:$B,0),MATCH('Final Data'!T$1,'Adopt-a-Pet.com  December 1'!$1:$1,0))</f>
        <v>Boxer</v>
      </c>
      <c r="U15" t="str">
        <f>INDEX('Adopt-a-Pet.com  December 1'!$A$1:$AE$857,MATCH('Final Data'!$B15,'Adopt-a-Pet.com  December 1'!$B:$B,0),MATCH('Final Data'!U$1,'Adopt-a-Pet.com  December 1'!$1:$1,0))</f>
        <v>American Pit Bull Terrier</v>
      </c>
      <c r="V15" t="str">
        <f>INDEX('Adopt-a-Pet.com  December 1'!$A$1:$AE$857,MATCH('Final Data'!$B15,'Adopt-a-Pet.com  December 1'!$B:$B,0),MATCH('Final Data'!V$1,'Adopt-a-Pet.com  December 1'!$1:$1,0))</f>
        <v>Brown/Chocolate - with White</v>
      </c>
      <c r="W15" t="str">
        <f>INDEX('Adopt-a-Pet.com  December 1'!$A$1:$AE$857,MATCH('Final Data'!$B15,'Adopt-a-Pet.com  December 1'!$B:$B,0),MATCH('Final Data'!W$1,'Adopt-a-Pet.com  December 1'!$1:$1,0))</f>
        <v>male</v>
      </c>
      <c r="X15" t="str">
        <f>INDEX('Adopt-a-Pet.com  December 1'!$A$1:$AE$857,MATCH('Final Data'!$B15,'Adopt-a-Pet.com  December 1'!$B:$B,0),MATCH('Final Data'!X$1,'Adopt-a-Pet.com  December 1'!$1:$1,0))</f>
        <v>adult</v>
      </c>
      <c r="Y15" t="str">
        <f>INDEX('Adopt-a-Pet.com  December 1'!$A$1:$AE$857,MATCH('Final Data'!$B15,'Adopt-a-Pet.com  December 1'!$B:$B,0),MATCH('Final Data'!Y$1,'Adopt-a-Pet.com  December 1'!$1:$1,0))</f>
        <v>Med. 26-60 lbs (12-27 kg)</v>
      </c>
      <c r="Z15">
        <f>INDEX('Adopt-a-Pet.com  December 1'!$A$1:$AE$857,MATCH('Final Data'!$B15,'Adopt-a-Pet.com  December 1'!$B:$B,0),MATCH('Final Data'!Z$1,'Adopt-a-Pet.com  December 1'!$1:$1,0))</f>
        <v>0</v>
      </c>
      <c r="AA15" t="str">
        <f>INDEX('Adopt-a-Pet.com  December 1'!$A$1:$AE$857,MATCH('Final Data'!$B15,'Adopt-a-Pet.com  December 1'!$B:$B,0),MATCH('Final Data'!AA$1,'Adopt-a-Pet.com  December 1'!$1:$1,0))</f>
        <v>Yes</v>
      </c>
      <c r="AB15" t="str">
        <f>INDEX('Adopt-a-Pet.com  December 1'!$A$1:$AE$857,MATCH('Final Data'!$B15,'Adopt-a-Pet.com  December 1'!$B:$B,0),MATCH('Final Data'!AB$1,'Adopt-a-Pet.com  December 1'!$1:$1,0))</f>
        <v>Yes</v>
      </c>
      <c r="AC15" t="str">
        <f>INDEX('Adopt-a-Pet.com  December 1'!$A$1:$AE$857,MATCH('Final Data'!$B15,'Adopt-a-Pet.com  December 1'!$B:$B,0),MATCH('Final Data'!AC$1,'Adopt-a-Pet.com  December 1'!$1:$1,0))</f>
        <v>Yes</v>
      </c>
      <c r="AD15" t="str">
        <f>INDEX('Adopt-a-Pet.com  December 1'!$A$1:$AE$857,MATCH('Final Data'!$B15,'Adopt-a-Pet.com  December 1'!$B:$B,0),MATCH('Final Data'!AD$1,'Adopt-a-Pet.com  December 1'!$1:$1,0))</f>
        <v>No</v>
      </c>
      <c r="AE15" t="str">
        <f>INDEX('Adopt-a-Pet.com  December 1'!$A$1:$AE$857,MATCH('Final Data'!$B15,'Adopt-a-Pet.com  December 1'!$B:$B,0),MATCH('Final Data'!AE$1,'Adopt-a-Pet.com  December 1'!$1:$1,0))</f>
        <v>No</v>
      </c>
      <c r="AF15" t="str">
        <f>INDEX('Adopt-a-Pet.com  December 1'!$A$1:$AE$857,MATCH('Final Data'!$B15,'Adopt-a-Pet.com  December 1'!$B:$B,0),MATCH('Final Data'!AF$1,'Adopt-a-Pet.com  December 1'!$1:$1,0))</f>
        <v>Yes</v>
      </c>
      <c r="AG15" t="str">
        <f>INDEX('Adopt-a-Pet.com  December 1'!$A$1:$AE$857,MATCH('Final Data'!$B15,'Adopt-a-Pet.com  December 1'!$B:$B,0),MATCH('Final Data'!AG$1,'Adopt-a-Pet.com  December 1'!$1:$1,0))</f>
        <v>Yes</v>
      </c>
      <c r="AH15" t="str">
        <f>INDEX('Adopt-a-Pet.com  December 1'!$A$1:$AE$857,MATCH('Final Data'!$B15,'Adopt-a-Pet.com  December 1'!$B:$B,0),MATCH('Final Data'!AH$1,'Adopt-a-Pet.com  December 1'!$1:$1,0))</f>
        <v>Unknown</v>
      </c>
      <c r="AI15">
        <f>INDEX('Adopt-a-Pet.com  December 1'!$A$1:$AE$857,MATCH('Final Data'!$B15,'Adopt-a-Pet.com  December 1'!$B:$B,0),MATCH('Final Data'!AI$1,'Adopt-a-Pet.com  December 1'!$1:$1,0))</f>
        <v>0</v>
      </c>
    </row>
    <row r="16" spans="1:35" x14ac:dyDescent="0.2">
      <c r="A16">
        <v>45472996</v>
      </c>
      <c r="B16" t="s">
        <v>269</v>
      </c>
      <c r="C16" t="s">
        <v>270</v>
      </c>
      <c r="D16" t="s">
        <v>1101</v>
      </c>
      <c r="E16">
        <v>1</v>
      </c>
      <c r="F16" t="s">
        <v>2165</v>
      </c>
      <c r="G16" t="s">
        <v>1753</v>
      </c>
      <c r="H16">
        <v>45950</v>
      </c>
      <c r="I16">
        <v>94.9</v>
      </c>
      <c r="J16" s="55">
        <v>1391</v>
      </c>
      <c r="K16" s="55">
        <v>3553</v>
      </c>
      <c r="L16" s="55">
        <v>3996</v>
      </c>
      <c r="M16" s="54">
        <v>30</v>
      </c>
      <c r="N16" s="54">
        <v>83</v>
      </c>
      <c r="O16" s="54">
        <v>198</v>
      </c>
      <c r="P16" s="5">
        <v>2.1999999999999999E-2</v>
      </c>
      <c r="Q16" t="str">
        <f>INDEX('Adopt-a-Pet.com  December 1'!$A$1:$AE$857,MATCH('Final Data'!$B16,'Adopt-a-Pet.com  December 1'!$B:$B,0),MATCH('Final Data'!Q$1,'Adopt-a-Pet.com  December 1'!$1:$1,0))</f>
        <v>adopted</v>
      </c>
      <c r="R16">
        <f>INDEX('Adopt-a-Pet.com  December 1'!$A$1:$AE$857,MATCH('Final Data'!$B16,'Adopt-a-Pet.com  December 1'!$B:$B,0),MATCH('Final Data'!R$1,'Adopt-a-Pet.com  December 1'!$1:$1,0))</f>
        <v>45877</v>
      </c>
      <c r="S16">
        <f>INDEX('Adopt-a-Pet.com  December 1'!$A$1:$AE$857,MATCH('Final Data'!$B16,'Adopt-a-Pet.com  December 1'!$B:$B,0),MATCH('Final Data'!S$1,'Adopt-a-Pet.com  December 1'!$1:$1,0))</f>
        <v>45974</v>
      </c>
      <c r="T16" t="str">
        <f>INDEX('Adopt-a-Pet.com  December 1'!$A$1:$AE$857,MATCH('Final Data'!$B16,'Adopt-a-Pet.com  December 1'!$B:$B,0),MATCH('Final Data'!T$1,'Adopt-a-Pet.com  December 1'!$1:$1,0))</f>
        <v>Pointer</v>
      </c>
      <c r="U16" t="str">
        <f>INDEX('Adopt-a-Pet.com  December 1'!$A$1:$AE$857,MATCH('Final Data'!$B16,'Adopt-a-Pet.com  December 1'!$B:$B,0),MATCH('Final Data'!U$1,'Adopt-a-Pet.com  December 1'!$1:$1,0))</f>
        <v>Labrador Retriever</v>
      </c>
      <c r="V16" t="str">
        <f>INDEX('Adopt-a-Pet.com  December 1'!$A$1:$AE$857,MATCH('Final Data'!$B16,'Adopt-a-Pet.com  December 1'!$B:$B,0),MATCH('Final Data'!V$1,'Adopt-a-Pet.com  December 1'!$1:$1,0))</f>
        <v>White - with Black</v>
      </c>
      <c r="W16" t="str">
        <f>INDEX('Adopt-a-Pet.com  December 1'!$A$1:$AE$857,MATCH('Final Data'!$B16,'Adopt-a-Pet.com  December 1'!$B:$B,0),MATCH('Final Data'!W$1,'Adopt-a-Pet.com  December 1'!$1:$1,0))</f>
        <v>male</v>
      </c>
      <c r="X16" t="str">
        <f>INDEX('Adopt-a-Pet.com  December 1'!$A$1:$AE$857,MATCH('Final Data'!$B16,'Adopt-a-Pet.com  December 1'!$B:$B,0),MATCH('Final Data'!X$1,'Adopt-a-Pet.com  December 1'!$1:$1,0))</f>
        <v>adult</v>
      </c>
      <c r="Y16" t="str">
        <f>INDEX('Adopt-a-Pet.com  December 1'!$A$1:$AE$857,MATCH('Final Data'!$B16,'Adopt-a-Pet.com  December 1'!$B:$B,0),MATCH('Final Data'!Y$1,'Adopt-a-Pet.com  December 1'!$1:$1,0))</f>
        <v>Med. 26-60 lbs (12-27 kg)</v>
      </c>
      <c r="Z16">
        <f>INDEX('Adopt-a-Pet.com  December 1'!$A$1:$AE$857,MATCH('Final Data'!$B16,'Adopt-a-Pet.com  December 1'!$B:$B,0),MATCH('Final Data'!Z$1,'Adopt-a-Pet.com  December 1'!$1:$1,0))</f>
        <v>0</v>
      </c>
      <c r="AA16" t="str">
        <f>INDEX('Adopt-a-Pet.com  December 1'!$A$1:$AE$857,MATCH('Final Data'!$B16,'Adopt-a-Pet.com  December 1'!$B:$B,0),MATCH('Final Data'!AA$1,'Adopt-a-Pet.com  December 1'!$1:$1,0))</f>
        <v>Yes</v>
      </c>
      <c r="AB16" t="str">
        <f>INDEX('Adopt-a-Pet.com  December 1'!$A$1:$AE$857,MATCH('Final Data'!$B16,'Adopt-a-Pet.com  December 1'!$B:$B,0),MATCH('Final Data'!AB$1,'Adopt-a-Pet.com  December 1'!$1:$1,0))</f>
        <v>Yes</v>
      </c>
      <c r="AC16" t="str">
        <f>INDEX('Adopt-a-Pet.com  December 1'!$A$1:$AE$857,MATCH('Final Data'!$B16,'Adopt-a-Pet.com  December 1'!$B:$B,0),MATCH('Final Data'!AC$1,'Adopt-a-Pet.com  December 1'!$1:$1,0))</f>
        <v>Yes</v>
      </c>
      <c r="AD16" t="str">
        <f>INDEX('Adopt-a-Pet.com  December 1'!$A$1:$AE$857,MATCH('Final Data'!$B16,'Adopt-a-Pet.com  December 1'!$B:$B,0),MATCH('Final Data'!AD$1,'Adopt-a-Pet.com  December 1'!$1:$1,0))</f>
        <v>No</v>
      </c>
      <c r="AE16" t="str">
        <f>INDEX('Adopt-a-Pet.com  December 1'!$A$1:$AE$857,MATCH('Final Data'!$B16,'Adopt-a-Pet.com  December 1'!$B:$B,0),MATCH('Final Data'!AE$1,'Adopt-a-Pet.com  December 1'!$1:$1,0))</f>
        <v>No</v>
      </c>
      <c r="AF16" t="str">
        <f>INDEX('Adopt-a-Pet.com  December 1'!$A$1:$AE$857,MATCH('Final Data'!$B16,'Adopt-a-Pet.com  December 1'!$B:$B,0),MATCH('Final Data'!AF$1,'Adopt-a-Pet.com  December 1'!$1:$1,0))</f>
        <v>Yes</v>
      </c>
      <c r="AG16" t="str">
        <f>INDEX('Adopt-a-Pet.com  December 1'!$A$1:$AE$857,MATCH('Final Data'!$B16,'Adopt-a-Pet.com  December 1'!$B:$B,0),MATCH('Final Data'!AG$1,'Adopt-a-Pet.com  December 1'!$1:$1,0))</f>
        <v>Yes</v>
      </c>
      <c r="AH16" t="str">
        <f>INDEX('Adopt-a-Pet.com  December 1'!$A$1:$AE$857,MATCH('Final Data'!$B16,'Adopt-a-Pet.com  December 1'!$B:$B,0),MATCH('Final Data'!AH$1,'Adopt-a-Pet.com  December 1'!$1:$1,0))</f>
        <v>Unknown</v>
      </c>
      <c r="AI16" t="str">
        <f>INDEX('Adopt-a-Pet.com  December 1'!$A$1:$AE$857,MATCH('Final Data'!$B16,'Adopt-a-Pet.com  December 1'!$B:$B,0),MATCH('Final Data'!AI$1,'Adopt-a-Pet.com  December 1'!$1:$1,0))</f>
        <v>Ralph is a lovable goofball with the biggest wiggle butt you‚Äôll ever meet! This sweet Pointer/Lab mix is gentle, friendly, and oh-so-cuddly. He can be a little shy with new people at first, but he warms up quickly‚Äîand when he does, you‚Äôll have a loyal friend for life. Ralph gets along great with other dogs and loves to play, but he‚Äôs just as happy relaxing by your side. Smart, funny, and full of heart, he‚Äôs the perfect blend of mellow and playful. If you‚Äôre looking for a gentle companion who‚Äôll make you smile every single day, Ralph is ready to wag his way home.</v>
      </c>
    </row>
    <row r="17" spans="1:35" x14ac:dyDescent="0.2">
      <c r="A17">
        <v>45472654</v>
      </c>
      <c r="B17" t="s">
        <v>272</v>
      </c>
      <c r="C17" t="s">
        <v>273</v>
      </c>
      <c r="D17" t="s">
        <v>1101</v>
      </c>
      <c r="E17">
        <v>1</v>
      </c>
      <c r="F17" t="s">
        <v>3092</v>
      </c>
      <c r="G17" t="s">
        <v>1754</v>
      </c>
      <c r="H17">
        <v>45950</v>
      </c>
      <c r="I17">
        <v>119.9</v>
      </c>
      <c r="J17" s="54">
        <v>241</v>
      </c>
      <c r="K17" s="54">
        <v>572</v>
      </c>
      <c r="L17" s="54">
        <v>943</v>
      </c>
      <c r="M17" s="54">
        <v>14</v>
      </c>
      <c r="N17" s="54">
        <v>77</v>
      </c>
      <c r="O17" s="54">
        <v>193</v>
      </c>
      <c r="P17" s="5">
        <v>5.8000000000000003E-2</v>
      </c>
      <c r="Q17" t="str">
        <f>INDEX('Adopt-a-Pet.com  December 1'!$A$1:$AE$857,MATCH('Final Data'!$B17,'Adopt-a-Pet.com  December 1'!$B:$B,0),MATCH('Final Data'!Q$1,'Adopt-a-Pet.com  December 1'!$1:$1,0))</f>
        <v>available</v>
      </c>
      <c r="R17">
        <f>INDEX('Adopt-a-Pet.com  December 1'!$A$1:$AE$857,MATCH('Final Data'!$B17,'Adopt-a-Pet.com  December 1'!$B:$B,0),MATCH('Final Data'!R$1,'Adopt-a-Pet.com  December 1'!$1:$1,0))</f>
        <v>45877</v>
      </c>
      <c r="S17">
        <f>INDEX('Adopt-a-Pet.com  December 1'!$A$1:$AE$857,MATCH('Final Data'!$B17,'Adopt-a-Pet.com  December 1'!$B:$B,0),MATCH('Final Data'!S$1,'Adopt-a-Pet.com  December 1'!$1:$1,0))</f>
        <v>0</v>
      </c>
      <c r="T17" t="str">
        <f>INDEX('Adopt-a-Pet.com  December 1'!$A$1:$AE$857,MATCH('Final Data'!$B17,'Adopt-a-Pet.com  December 1'!$B:$B,0),MATCH('Final Data'!T$1,'Adopt-a-Pet.com  December 1'!$1:$1,0))</f>
        <v>Labrador Retriever</v>
      </c>
      <c r="U17">
        <f>INDEX('Adopt-a-Pet.com  December 1'!$A$1:$AE$857,MATCH('Final Data'!$B17,'Adopt-a-Pet.com  December 1'!$B:$B,0),MATCH('Final Data'!U$1,'Adopt-a-Pet.com  December 1'!$1:$1,0))</f>
        <v>0</v>
      </c>
      <c r="V17" t="str">
        <f>INDEX('Adopt-a-Pet.com  December 1'!$A$1:$AE$857,MATCH('Final Data'!$B17,'Adopt-a-Pet.com  December 1'!$B:$B,0),MATCH('Final Data'!V$1,'Adopt-a-Pet.com  December 1'!$1:$1,0))</f>
        <v>Black</v>
      </c>
      <c r="W17" t="str">
        <f>INDEX('Adopt-a-Pet.com  December 1'!$A$1:$AE$857,MATCH('Final Data'!$B17,'Adopt-a-Pet.com  December 1'!$B:$B,0),MATCH('Final Data'!W$1,'Adopt-a-Pet.com  December 1'!$1:$1,0))</f>
        <v>male</v>
      </c>
      <c r="X17" t="str">
        <f>INDEX('Adopt-a-Pet.com  December 1'!$A$1:$AE$857,MATCH('Final Data'!$B17,'Adopt-a-Pet.com  December 1'!$B:$B,0),MATCH('Final Data'!X$1,'Adopt-a-Pet.com  December 1'!$1:$1,0))</f>
        <v>adult</v>
      </c>
      <c r="Y17" t="str">
        <f>INDEX('Adopt-a-Pet.com  December 1'!$A$1:$AE$857,MATCH('Final Data'!$B17,'Adopt-a-Pet.com  December 1'!$B:$B,0),MATCH('Final Data'!Y$1,'Adopt-a-Pet.com  December 1'!$1:$1,0))</f>
        <v>Large 61-100 lbs (28-45 kg)</v>
      </c>
      <c r="Z17">
        <f>INDEX('Adopt-a-Pet.com  December 1'!$A$1:$AE$857,MATCH('Final Data'!$B17,'Adopt-a-Pet.com  December 1'!$B:$B,0),MATCH('Final Data'!Z$1,'Adopt-a-Pet.com  December 1'!$1:$1,0))</f>
        <v>0</v>
      </c>
      <c r="AA17" t="str">
        <f>INDEX('Adopt-a-Pet.com  December 1'!$A$1:$AE$857,MATCH('Final Data'!$B17,'Adopt-a-Pet.com  December 1'!$B:$B,0),MATCH('Final Data'!AA$1,'Adopt-a-Pet.com  December 1'!$1:$1,0))</f>
        <v>Yes</v>
      </c>
      <c r="AB17" t="str">
        <f>INDEX('Adopt-a-Pet.com  December 1'!$A$1:$AE$857,MATCH('Final Data'!$B17,'Adopt-a-Pet.com  December 1'!$B:$B,0),MATCH('Final Data'!AB$1,'Adopt-a-Pet.com  December 1'!$1:$1,0))</f>
        <v>Yes</v>
      </c>
      <c r="AC17" t="str">
        <f>INDEX('Adopt-a-Pet.com  December 1'!$A$1:$AE$857,MATCH('Final Data'!$B17,'Adopt-a-Pet.com  December 1'!$B:$B,0),MATCH('Final Data'!AC$1,'Adopt-a-Pet.com  December 1'!$1:$1,0))</f>
        <v>Yes</v>
      </c>
      <c r="AD17" t="str">
        <f>INDEX('Adopt-a-Pet.com  December 1'!$A$1:$AE$857,MATCH('Final Data'!$B17,'Adopt-a-Pet.com  December 1'!$B:$B,0),MATCH('Final Data'!AD$1,'Adopt-a-Pet.com  December 1'!$1:$1,0))</f>
        <v>No</v>
      </c>
      <c r="AE17" t="str">
        <f>INDEX('Adopt-a-Pet.com  December 1'!$A$1:$AE$857,MATCH('Final Data'!$B17,'Adopt-a-Pet.com  December 1'!$B:$B,0),MATCH('Final Data'!AE$1,'Adopt-a-Pet.com  December 1'!$1:$1,0))</f>
        <v>No</v>
      </c>
      <c r="AF17" t="str">
        <f>INDEX('Adopt-a-Pet.com  December 1'!$A$1:$AE$857,MATCH('Final Data'!$B17,'Adopt-a-Pet.com  December 1'!$B:$B,0),MATCH('Final Data'!AF$1,'Adopt-a-Pet.com  December 1'!$1:$1,0))</f>
        <v>Yes</v>
      </c>
      <c r="AG17" t="str">
        <f>INDEX('Adopt-a-Pet.com  December 1'!$A$1:$AE$857,MATCH('Final Data'!$B17,'Adopt-a-Pet.com  December 1'!$B:$B,0),MATCH('Final Data'!AG$1,'Adopt-a-Pet.com  December 1'!$1:$1,0))</f>
        <v>Yes</v>
      </c>
      <c r="AH17" t="str">
        <f>INDEX('Adopt-a-Pet.com  December 1'!$A$1:$AE$857,MATCH('Final Data'!$B17,'Adopt-a-Pet.com  December 1'!$B:$B,0),MATCH('Final Data'!AH$1,'Adopt-a-Pet.com  December 1'!$1:$1,0))</f>
        <v>Unknown</v>
      </c>
      <c r="AI17" t="str">
        <f>INDEX('Adopt-a-Pet.com  December 1'!$A$1:$AE$857,MATCH('Final Data'!$B17,'Adopt-a-Pet.com  December 1'!$B:$B,0),MATCH('Final Data'!AI$1,'Adopt-a-Pet.com  December 1'!$1:$1,0))</f>
        <v>Twister is a fun-loving Lab with a heart as big as his splash! This handsome black boy is sweet, friendly, and always up for a good time‚Äîespecially if it involves water. Whether he‚Äôs splashing in a pool, playing fetch, or soaking up scratches, Twister‚Äôs joy is contagious. He‚Äôs great with other dogs and gentle with little kids, making him the perfect family companion. His playful energy is balanced by his loving, easygoing nature‚Äîhe just wants to be part of the fun and by your side. If you‚Äôre looking for a loyal, happy guy who can turn any day into an adventure, Twister is ready to dive right in.</v>
      </c>
    </row>
    <row r="18" spans="1:35" x14ac:dyDescent="0.2">
      <c r="A18">
        <v>45472979</v>
      </c>
      <c r="B18" t="s">
        <v>278</v>
      </c>
      <c r="C18" t="s">
        <v>279</v>
      </c>
      <c r="D18" t="s">
        <v>1100</v>
      </c>
      <c r="E18">
        <v>0</v>
      </c>
      <c r="F18" t="s">
        <v>3092</v>
      </c>
      <c r="I18">
        <v>97.9</v>
      </c>
      <c r="J18" s="55">
        <v>1517</v>
      </c>
      <c r="K18" s="55">
        <v>3938</v>
      </c>
      <c r="L18" s="55">
        <v>4587</v>
      </c>
      <c r="M18" s="54">
        <v>10</v>
      </c>
      <c r="N18" s="54">
        <v>54</v>
      </c>
      <c r="O18" s="54">
        <v>180</v>
      </c>
      <c r="P18" s="5">
        <v>7.0000000000000001E-3</v>
      </c>
      <c r="Q18" t="str">
        <f>INDEX('Adopt-a-Pet.com  December 1'!$A$1:$AE$857,MATCH('Final Data'!$B18,'Adopt-a-Pet.com  December 1'!$B:$B,0),MATCH('Final Data'!Q$1,'Adopt-a-Pet.com  December 1'!$1:$1,0))</f>
        <v>available</v>
      </c>
      <c r="R18">
        <f>INDEX('Adopt-a-Pet.com  December 1'!$A$1:$AE$857,MATCH('Final Data'!$B18,'Adopt-a-Pet.com  December 1'!$B:$B,0),MATCH('Final Data'!R$1,'Adopt-a-Pet.com  December 1'!$1:$1,0))</f>
        <v>45877</v>
      </c>
      <c r="S18">
        <f>INDEX('Adopt-a-Pet.com  December 1'!$A$1:$AE$857,MATCH('Final Data'!$B18,'Adopt-a-Pet.com  December 1'!$B:$B,0),MATCH('Final Data'!S$1,'Adopt-a-Pet.com  December 1'!$1:$1,0))</f>
        <v>0</v>
      </c>
      <c r="T18" t="str">
        <f>INDEX('Adopt-a-Pet.com  December 1'!$A$1:$AE$857,MATCH('Final Data'!$B18,'Adopt-a-Pet.com  December 1'!$B:$B,0),MATCH('Final Data'!T$1,'Adopt-a-Pet.com  December 1'!$1:$1,0))</f>
        <v>Rottweiler</v>
      </c>
      <c r="U18" t="str">
        <f>INDEX('Adopt-a-Pet.com  December 1'!$A$1:$AE$857,MATCH('Final Data'!$B18,'Adopt-a-Pet.com  December 1'!$B:$B,0),MATCH('Final Data'!U$1,'Adopt-a-Pet.com  December 1'!$1:$1,0))</f>
        <v>Labrador Retriever</v>
      </c>
      <c r="V18" t="str">
        <f>INDEX('Adopt-a-Pet.com  December 1'!$A$1:$AE$857,MATCH('Final Data'!$B18,'Adopt-a-Pet.com  December 1'!$B:$B,0),MATCH('Final Data'!V$1,'Adopt-a-Pet.com  December 1'!$1:$1,0))</f>
        <v>Black - with Tan, Yellow or Fawn</v>
      </c>
      <c r="W18" t="str">
        <f>INDEX('Adopt-a-Pet.com  December 1'!$A$1:$AE$857,MATCH('Final Data'!$B18,'Adopt-a-Pet.com  December 1'!$B:$B,0),MATCH('Final Data'!W$1,'Adopt-a-Pet.com  December 1'!$1:$1,0))</f>
        <v>female</v>
      </c>
      <c r="X18" t="str">
        <f>INDEX('Adopt-a-Pet.com  December 1'!$A$1:$AE$857,MATCH('Final Data'!$B18,'Adopt-a-Pet.com  December 1'!$B:$B,0),MATCH('Final Data'!X$1,'Adopt-a-Pet.com  December 1'!$1:$1,0))</f>
        <v>young</v>
      </c>
      <c r="Y18" t="str">
        <f>INDEX('Adopt-a-Pet.com  December 1'!$A$1:$AE$857,MATCH('Final Data'!$B18,'Adopt-a-Pet.com  December 1'!$B:$B,0),MATCH('Final Data'!Y$1,'Adopt-a-Pet.com  December 1'!$1:$1,0))</f>
        <v>Med. 26-60 lbs (12-27 kg)</v>
      </c>
      <c r="Z18">
        <f>INDEX('Adopt-a-Pet.com  December 1'!$A$1:$AE$857,MATCH('Final Data'!$B18,'Adopt-a-Pet.com  December 1'!$B:$B,0),MATCH('Final Data'!Z$1,'Adopt-a-Pet.com  December 1'!$1:$1,0))</f>
        <v>0</v>
      </c>
      <c r="AA18" t="str">
        <f>INDEX('Adopt-a-Pet.com  December 1'!$A$1:$AE$857,MATCH('Final Data'!$B18,'Adopt-a-Pet.com  December 1'!$B:$B,0),MATCH('Final Data'!AA$1,'Adopt-a-Pet.com  December 1'!$1:$1,0))</f>
        <v>Yes</v>
      </c>
      <c r="AB18" t="str">
        <f>INDEX('Adopt-a-Pet.com  December 1'!$A$1:$AE$857,MATCH('Final Data'!$B18,'Adopt-a-Pet.com  December 1'!$B:$B,0),MATCH('Final Data'!AB$1,'Adopt-a-Pet.com  December 1'!$1:$1,0))</f>
        <v>Yes</v>
      </c>
      <c r="AC18" t="str">
        <f>INDEX('Adopt-a-Pet.com  December 1'!$A$1:$AE$857,MATCH('Final Data'!$B18,'Adopt-a-Pet.com  December 1'!$B:$B,0),MATCH('Final Data'!AC$1,'Adopt-a-Pet.com  December 1'!$1:$1,0))</f>
        <v>Yes</v>
      </c>
      <c r="AD18" t="str">
        <f>INDEX('Adopt-a-Pet.com  December 1'!$A$1:$AE$857,MATCH('Final Data'!$B18,'Adopt-a-Pet.com  December 1'!$B:$B,0),MATCH('Final Data'!AD$1,'Adopt-a-Pet.com  December 1'!$1:$1,0))</f>
        <v>No</v>
      </c>
      <c r="AE18" t="str">
        <f>INDEX('Adopt-a-Pet.com  December 1'!$A$1:$AE$857,MATCH('Final Data'!$B18,'Adopt-a-Pet.com  December 1'!$B:$B,0),MATCH('Final Data'!AE$1,'Adopt-a-Pet.com  December 1'!$1:$1,0))</f>
        <v>No</v>
      </c>
      <c r="AF18" t="str">
        <f>INDEX('Adopt-a-Pet.com  December 1'!$A$1:$AE$857,MATCH('Final Data'!$B18,'Adopt-a-Pet.com  December 1'!$B:$B,0),MATCH('Final Data'!AF$1,'Adopt-a-Pet.com  December 1'!$1:$1,0))</f>
        <v>Yes</v>
      </c>
      <c r="AG18" t="str">
        <f>INDEX('Adopt-a-Pet.com  December 1'!$A$1:$AE$857,MATCH('Final Data'!$B18,'Adopt-a-Pet.com  December 1'!$B:$B,0),MATCH('Final Data'!AG$1,'Adopt-a-Pet.com  December 1'!$1:$1,0))</f>
        <v>Yes</v>
      </c>
      <c r="AH18" t="str">
        <f>INDEX('Adopt-a-Pet.com  December 1'!$A$1:$AE$857,MATCH('Final Data'!$B18,'Adopt-a-Pet.com  December 1'!$B:$B,0),MATCH('Final Data'!AH$1,'Adopt-a-Pet.com  December 1'!$1:$1,0))</f>
        <v>Unknown</v>
      </c>
      <c r="AI18">
        <f>INDEX('Adopt-a-Pet.com  December 1'!$A$1:$AE$857,MATCH('Final Data'!$B18,'Adopt-a-Pet.com  December 1'!$B:$B,0),MATCH('Final Data'!AI$1,'Adopt-a-Pet.com  December 1'!$1:$1,0))</f>
        <v>0</v>
      </c>
    </row>
    <row r="19" spans="1:35" x14ac:dyDescent="0.2">
      <c r="A19">
        <v>45606391</v>
      </c>
      <c r="B19" t="s">
        <v>287</v>
      </c>
      <c r="C19" t="s">
        <v>288</v>
      </c>
      <c r="D19" t="s">
        <v>1100</v>
      </c>
      <c r="E19">
        <v>0</v>
      </c>
      <c r="F19" t="s">
        <v>2165</v>
      </c>
      <c r="I19">
        <v>77</v>
      </c>
      <c r="J19" s="54">
        <v>316</v>
      </c>
      <c r="K19" s="54">
        <v>940</v>
      </c>
      <c r="L19" s="55">
        <v>1502</v>
      </c>
      <c r="M19" s="54">
        <v>22</v>
      </c>
      <c r="N19" s="54">
        <v>51</v>
      </c>
      <c r="O19" s="54">
        <v>124</v>
      </c>
      <c r="P19" s="5">
        <v>7.0000000000000007E-2</v>
      </c>
      <c r="Q19" t="str">
        <f>INDEX('Adopt-a-Pet.com  December 1'!$A$1:$AE$857,MATCH('Final Data'!$B19,'Adopt-a-Pet.com  December 1'!$B:$B,0),MATCH('Final Data'!Q$1,'Adopt-a-Pet.com  December 1'!$1:$1,0))</f>
        <v>adopted</v>
      </c>
      <c r="R19">
        <f>INDEX('Adopt-a-Pet.com  December 1'!$A$1:$AE$857,MATCH('Final Data'!$B19,'Adopt-a-Pet.com  December 1'!$B:$B,0),MATCH('Final Data'!R$1,'Adopt-a-Pet.com  December 1'!$1:$1,0))</f>
        <v>45890</v>
      </c>
      <c r="S19">
        <f>INDEX('Adopt-a-Pet.com  December 1'!$A$1:$AE$857,MATCH('Final Data'!$B19,'Adopt-a-Pet.com  December 1'!$B:$B,0),MATCH('Final Data'!S$1,'Adopt-a-Pet.com  December 1'!$1:$1,0))</f>
        <v>45963</v>
      </c>
      <c r="T19" t="str">
        <f>INDEX('Adopt-a-Pet.com  December 1'!$A$1:$AE$857,MATCH('Final Data'!$B19,'Adopt-a-Pet.com  December 1'!$B:$B,0),MATCH('Final Data'!T$1,'Adopt-a-Pet.com  December 1'!$1:$1,0))</f>
        <v>American Staffordshire Terrier</v>
      </c>
      <c r="U19" t="str">
        <f>INDEX('Adopt-a-Pet.com  December 1'!$A$1:$AE$857,MATCH('Final Data'!$B19,'Adopt-a-Pet.com  December 1'!$B:$B,0),MATCH('Final Data'!U$1,'Adopt-a-Pet.com  December 1'!$1:$1,0))</f>
        <v>Weimaraner</v>
      </c>
      <c r="V19" t="str">
        <f>INDEX('Adopt-a-Pet.com  December 1'!$A$1:$AE$857,MATCH('Final Data'!$B19,'Adopt-a-Pet.com  December 1'!$B:$B,0),MATCH('Final Data'!V$1,'Adopt-a-Pet.com  December 1'!$1:$1,0))</f>
        <v>Gray/Silver/Salt &amp; Pepper - with White</v>
      </c>
      <c r="W19" t="str">
        <f>INDEX('Adopt-a-Pet.com  December 1'!$A$1:$AE$857,MATCH('Final Data'!$B19,'Adopt-a-Pet.com  December 1'!$B:$B,0),MATCH('Final Data'!W$1,'Adopt-a-Pet.com  December 1'!$1:$1,0))</f>
        <v>male</v>
      </c>
      <c r="X19" t="str">
        <f>INDEX('Adopt-a-Pet.com  December 1'!$A$1:$AE$857,MATCH('Final Data'!$B19,'Adopt-a-Pet.com  December 1'!$B:$B,0),MATCH('Final Data'!X$1,'Adopt-a-Pet.com  December 1'!$1:$1,0))</f>
        <v>young</v>
      </c>
      <c r="Y19" t="str">
        <f>INDEX('Adopt-a-Pet.com  December 1'!$A$1:$AE$857,MATCH('Final Data'!$B19,'Adopt-a-Pet.com  December 1'!$B:$B,0),MATCH('Final Data'!Y$1,'Adopt-a-Pet.com  December 1'!$1:$1,0))</f>
        <v>Small 25 lbs (11 kg) or less</v>
      </c>
      <c r="Z19">
        <f>INDEX('Adopt-a-Pet.com  December 1'!$A$1:$AE$857,MATCH('Final Data'!$B19,'Adopt-a-Pet.com  December 1'!$B:$B,0),MATCH('Final Data'!Z$1,'Adopt-a-Pet.com  December 1'!$1:$1,0))</f>
        <v>0</v>
      </c>
      <c r="AA19" t="str">
        <f>INDEX('Adopt-a-Pet.com  December 1'!$A$1:$AE$857,MATCH('Final Data'!$B19,'Adopt-a-Pet.com  December 1'!$B:$B,0),MATCH('Final Data'!AA$1,'Adopt-a-Pet.com  December 1'!$1:$1,0))</f>
        <v>Yes</v>
      </c>
      <c r="AB19" t="str">
        <f>INDEX('Adopt-a-Pet.com  December 1'!$A$1:$AE$857,MATCH('Final Data'!$B19,'Adopt-a-Pet.com  December 1'!$B:$B,0),MATCH('Final Data'!AB$1,'Adopt-a-Pet.com  December 1'!$1:$1,0))</f>
        <v>Yes</v>
      </c>
      <c r="AC19" t="str">
        <f>INDEX('Adopt-a-Pet.com  December 1'!$A$1:$AE$857,MATCH('Final Data'!$B19,'Adopt-a-Pet.com  December 1'!$B:$B,0),MATCH('Final Data'!AC$1,'Adopt-a-Pet.com  December 1'!$1:$1,0))</f>
        <v>Yes</v>
      </c>
      <c r="AD19" t="str">
        <f>INDEX('Adopt-a-Pet.com  December 1'!$A$1:$AE$857,MATCH('Final Data'!$B19,'Adopt-a-Pet.com  December 1'!$B:$B,0),MATCH('Final Data'!AD$1,'Adopt-a-Pet.com  December 1'!$1:$1,0))</f>
        <v>No</v>
      </c>
      <c r="AE19" t="str">
        <f>INDEX('Adopt-a-Pet.com  December 1'!$A$1:$AE$857,MATCH('Final Data'!$B19,'Adopt-a-Pet.com  December 1'!$B:$B,0),MATCH('Final Data'!AE$1,'Adopt-a-Pet.com  December 1'!$1:$1,0))</f>
        <v>No</v>
      </c>
      <c r="AF19" t="str">
        <f>INDEX('Adopt-a-Pet.com  December 1'!$A$1:$AE$857,MATCH('Final Data'!$B19,'Adopt-a-Pet.com  December 1'!$B:$B,0),MATCH('Final Data'!AF$1,'Adopt-a-Pet.com  December 1'!$1:$1,0))</f>
        <v>Yes</v>
      </c>
      <c r="AG19" t="str">
        <f>INDEX('Adopt-a-Pet.com  December 1'!$A$1:$AE$857,MATCH('Final Data'!$B19,'Adopt-a-Pet.com  December 1'!$B:$B,0),MATCH('Final Data'!AG$1,'Adopt-a-Pet.com  December 1'!$1:$1,0))</f>
        <v>Yes</v>
      </c>
      <c r="AH19" t="str">
        <f>INDEX('Adopt-a-Pet.com  December 1'!$A$1:$AE$857,MATCH('Final Data'!$B19,'Adopt-a-Pet.com  December 1'!$B:$B,0),MATCH('Final Data'!AH$1,'Adopt-a-Pet.com  December 1'!$1:$1,0))</f>
        <v>Unknown</v>
      </c>
      <c r="AI19">
        <f>INDEX('Adopt-a-Pet.com  December 1'!$A$1:$AE$857,MATCH('Final Data'!$B19,'Adopt-a-Pet.com  December 1'!$B:$B,0),MATCH('Final Data'!AI$1,'Adopt-a-Pet.com  December 1'!$1:$1,0))</f>
        <v>0</v>
      </c>
    </row>
    <row r="20" spans="1:35" x14ac:dyDescent="0.2">
      <c r="A20">
        <v>45606729</v>
      </c>
      <c r="B20" t="s">
        <v>292</v>
      </c>
      <c r="C20" t="s">
        <v>1230</v>
      </c>
      <c r="D20" t="s">
        <v>1100</v>
      </c>
      <c r="E20">
        <v>1</v>
      </c>
      <c r="F20" t="s">
        <v>3092</v>
      </c>
      <c r="G20" t="s">
        <v>1742</v>
      </c>
      <c r="H20">
        <v>45950</v>
      </c>
      <c r="I20">
        <v>80</v>
      </c>
      <c r="J20" s="54">
        <v>433</v>
      </c>
      <c r="K20" s="54">
        <v>992</v>
      </c>
      <c r="L20" s="55">
        <v>1355</v>
      </c>
      <c r="M20" s="54">
        <v>9</v>
      </c>
      <c r="N20" s="54">
        <v>43</v>
      </c>
      <c r="O20" s="54">
        <v>92</v>
      </c>
      <c r="P20" s="5">
        <v>2.1000000000000001E-2</v>
      </c>
      <c r="Q20" t="str">
        <f>INDEX('Adopt-a-Pet.com  December 1'!$A$1:$AE$857,MATCH('Final Data'!$B20,'Adopt-a-Pet.com  December 1'!$B:$B,0),MATCH('Final Data'!Q$1,'Adopt-a-Pet.com  December 1'!$1:$1,0))</f>
        <v>available</v>
      </c>
      <c r="R20">
        <f>INDEX('Adopt-a-Pet.com  December 1'!$A$1:$AE$857,MATCH('Final Data'!$B20,'Adopt-a-Pet.com  December 1'!$B:$B,0),MATCH('Final Data'!R$1,'Adopt-a-Pet.com  December 1'!$1:$1,0))</f>
        <v>45890</v>
      </c>
      <c r="S20">
        <f>INDEX('Adopt-a-Pet.com  December 1'!$A$1:$AE$857,MATCH('Final Data'!$B20,'Adopt-a-Pet.com  December 1'!$B:$B,0),MATCH('Final Data'!S$1,'Adopt-a-Pet.com  December 1'!$1:$1,0))</f>
        <v>0</v>
      </c>
      <c r="T20" t="str">
        <f>INDEX('Adopt-a-Pet.com  December 1'!$A$1:$AE$857,MATCH('Final Data'!$B20,'Adopt-a-Pet.com  December 1'!$B:$B,0),MATCH('Final Data'!T$1,'Adopt-a-Pet.com  December 1'!$1:$1,0))</f>
        <v>American Staffordshire Terrier</v>
      </c>
      <c r="U20">
        <f>INDEX('Adopt-a-Pet.com  December 1'!$A$1:$AE$857,MATCH('Final Data'!$B20,'Adopt-a-Pet.com  December 1'!$B:$B,0),MATCH('Final Data'!U$1,'Adopt-a-Pet.com  December 1'!$1:$1,0))</f>
        <v>0</v>
      </c>
      <c r="V20" t="str">
        <f>INDEX('Adopt-a-Pet.com  December 1'!$A$1:$AE$857,MATCH('Final Data'!$B20,'Adopt-a-Pet.com  December 1'!$B:$B,0),MATCH('Final Data'!V$1,'Adopt-a-Pet.com  December 1'!$1:$1,0))</f>
        <v>Brown/Chocolate</v>
      </c>
      <c r="W20" t="str">
        <f>INDEX('Adopt-a-Pet.com  December 1'!$A$1:$AE$857,MATCH('Final Data'!$B20,'Adopt-a-Pet.com  December 1'!$B:$B,0),MATCH('Final Data'!W$1,'Adopt-a-Pet.com  December 1'!$1:$1,0))</f>
        <v>female</v>
      </c>
      <c r="X20" t="str">
        <f>INDEX('Adopt-a-Pet.com  December 1'!$A$1:$AE$857,MATCH('Final Data'!$B20,'Adopt-a-Pet.com  December 1'!$B:$B,0),MATCH('Final Data'!X$1,'Adopt-a-Pet.com  December 1'!$1:$1,0))</f>
        <v>young</v>
      </c>
      <c r="Y20" t="str">
        <f>INDEX('Adopt-a-Pet.com  December 1'!$A$1:$AE$857,MATCH('Final Data'!$B20,'Adopt-a-Pet.com  December 1'!$B:$B,0),MATCH('Final Data'!Y$1,'Adopt-a-Pet.com  December 1'!$1:$1,0))</f>
        <v>Med. 26-60 lbs (12-27 kg)</v>
      </c>
      <c r="Z20">
        <f>INDEX('Adopt-a-Pet.com  December 1'!$A$1:$AE$857,MATCH('Final Data'!$B20,'Adopt-a-Pet.com  December 1'!$B:$B,0),MATCH('Final Data'!Z$1,'Adopt-a-Pet.com  December 1'!$1:$1,0))</f>
        <v>0</v>
      </c>
      <c r="AA20" t="str">
        <f>INDEX('Adopt-a-Pet.com  December 1'!$A$1:$AE$857,MATCH('Final Data'!$B20,'Adopt-a-Pet.com  December 1'!$B:$B,0),MATCH('Final Data'!AA$1,'Adopt-a-Pet.com  December 1'!$1:$1,0))</f>
        <v>Yes</v>
      </c>
      <c r="AB20" t="str">
        <f>INDEX('Adopt-a-Pet.com  December 1'!$A$1:$AE$857,MATCH('Final Data'!$B20,'Adopt-a-Pet.com  December 1'!$B:$B,0),MATCH('Final Data'!AB$1,'Adopt-a-Pet.com  December 1'!$1:$1,0))</f>
        <v>Yes</v>
      </c>
      <c r="AC20" t="str">
        <f>INDEX('Adopt-a-Pet.com  December 1'!$A$1:$AE$857,MATCH('Final Data'!$B20,'Adopt-a-Pet.com  December 1'!$B:$B,0),MATCH('Final Data'!AC$1,'Adopt-a-Pet.com  December 1'!$1:$1,0))</f>
        <v>Yes</v>
      </c>
      <c r="AD20" t="str">
        <f>INDEX('Adopt-a-Pet.com  December 1'!$A$1:$AE$857,MATCH('Final Data'!$B20,'Adopt-a-Pet.com  December 1'!$B:$B,0),MATCH('Final Data'!AD$1,'Adopt-a-Pet.com  December 1'!$1:$1,0))</f>
        <v>No</v>
      </c>
      <c r="AE20" t="str">
        <f>INDEX('Adopt-a-Pet.com  December 1'!$A$1:$AE$857,MATCH('Final Data'!$B20,'Adopt-a-Pet.com  December 1'!$B:$B,0),MATCH('Final Data'!AE$1,'Adopt-a-Pet.com  December 1'!$1:$1,0))</f>
        <v>No</v>
      </c>
      <c r="AF20" t="str">
        <f>INDEX('Adopt-a-Pet.com  December 1'!$A$1:$AE$857,MATCH('Final Data'!$B20,'Adopt-a-Pet.com  December 1'!$B:$B,0),MATCH('Final Data'!AF$1,'Adopt-a-Pet.com  December 1'!$1:$1,0))</f>
        <v>Yes</v>
      </c>
      <c r="AG20" t="str">
        <f>INDEX('Adopt-a-Pet.com  December 1'!$A$1:$AE$857,MATCH('Final Data'!$B20,'Adopt-a-Pet.com  December 1'!$B:$B,0),MATCH('Final Data'!AG$1,'Adopt-a-Pet.com  December 1'!$1:$1,0))</f>
        <v>Yes</v>
      </c>
      <c r="AH20" t="str">
        <f>INDEX('Adopt-a-Pet.com  December 1'!$A$1:$AE$857,MATCH('Final Data'!$B20,'Adopt-a-Pet.com  December 1'!$B:$B,0),MATCH('Final Data'!AH$1,'Adopt-a-Pet.com  December 1'!$1:$1,0))</f>
        <v>Unknown</v>
      </c>
      <c r="AI20" t="str">
        <f>INDEX('Adopt-a-Pet.com  December 1'!$A$1:$AE$857,MATCH('Final Data'!$B20,'Adopt-a-Pet.com  December 1'!$B:$B,0),MATCH('Final Data'!AI$1,'Adopt-a-Pet.com  December 1'!$1:$1,0))</f>
        <v>Lotus is a burst of joy and energy wrapped in a shiny brown coat! This young Staffordshire Terrier is playful, smart, and full of personality. She loves to run, explore, and show off her goofy side, turning every outing into an adventure. Beneath her energetic spirit is a sweet, loving pup who adores being around people and learning new things. Lotus is eager to please and would thrive with someone who‚Äôs ready to keep up with her fun, active lifestyle. Whether it‚Äôs a game of fetch, a walk in the sunshine, or some well-earned cuddle time, Lotus is always all in. If you‚Äôre looking for a loyal best friend who‚Äôll brighten every day, Lotus is your girl!</v>
      </c>
    </row>
    <row r="21" spans="1:35" x14ac:dyDescent="0.2">
      <c r="A21">
        <v>45763896</v>
      </c>
      <c r="B21" t="s">
        <v>311</v>
      </c>
      <c r="C21" t="s">
        <v>312</v>
      </c>
      <c r="D21" t="s">
        <v>1101</v>
      </c>
      <c r="E21">
        <v>1</v>
      </c>
      <c r="F21" t="s">
        <v>3092</v>
      </c>
      <c r="J21" s="55">
        <v>1414</v>
      </c>
      <c r="K21" s="55">
        <v>3037</v>
      </c>
      <c r="L21" s="55">
        <v>3152</v>
      </c>
      <c r="M21" s="54">
        <v>7</v>
      </c>
      <c r="N21" s="54">
        <v>27</v>
      </c>
      <c r="O21" s="54">
        <v>64</v>
      </c>
      <c r="P21" s="5">
        <v>5.0000000000000001E-3</v>
      </c>
      <c r="Q21" t="str">
        <f>INDEX('Adopt-a-Pet.com  December 1'!$A$1:$AE$857,MATCH('Final Data'!$B21,'Adopt-a-Pet.com  December 1'!$B:$B,0),MATCH('Final Data'!Q$1,'Adopt-a-Pet.com  December 1'!$1:$1,0))</f>
        <v>available</v>
      </c>
      <c r="R21">
        <f>INDEX('Adopt-a-Pet.com  December 1'!$A$1:$AE$857,MATCH('Final Data'!$B21,'Adopt-a-Pet.com  December 1'!$B:$B,0),MATCH('Final Data'!R$1,'Adopt-a-Pet.com  December 1'!$1:$1,0))</f>
        <v>45905</v>
      </c>
      <c r="S21">
        <f>INDEX('Adopt-a-Pet.com  December 1'!$A$1:$AE$857,MATCH('Final Data'!$B21,'Adopt-a-Pet.com  December 1'!$B:$B,0),MATCH('Final Data'!S$1,'Adopt-a-Pet.com  December 1'!$1:$1,0))</f>
        <v>0</v>
      </c>
      <c r="T21" t="str">
        <f>INDEX('Adopt-a-Pet.com  December 1'!$A$1:$AE$857,MATCH('Final Data'!$B21,'Adopt-a-Pet.com  December 1'!$B:$B,0),MATCH('Final Data'!T$1,'Adopt-a-Pet.com  December 1'!$1:$1,0))</f>
        <v>Boxer</v>
      </c>
      <c r="U21" t="str">
        <f>INDEX('Adopt-a-Pet.com  December 1'!$A$1:$AE$857,MATCH('Final Data'!$B21,'Adopt-a-Pet.com  December 1'!$B:$B,0),MATCH('Final Data'!U$1,'Adopt-a-Pet.com  December 1'!$1:$1,0))</f>
        <v>American Bulldog</v>
      </c>
      <c r="V21" t="str">
        <f>INDEX('Adopt-a-Pet.com  December 1'!$A$1:$AE$857,MATCH('Final Data'!$B21,'Adopt-a-Pet.com  December 1'!$B:$B,0),MATCH('Final Data'!V$1,'Adopt-a-Pet.com  December 1'!$1:$1,0))</f>
        <v>Black</v>
      </c>
      <c r="W21" t="str">
        <f>INDEX('Adopt-a-Pet.com  December 1'!$A$1:$AE$857,MATCH('Final Data'!$B21,'Adopt-a-Pet.com  December 1'!$B:$B,0),MATCH('Final Data'!W$1,'Adopt-a-Pet.com  December 1'!$1:$1,0))</f>
        <v>male</v>
      </c>
      <c r="X21" t="str">
        <f>INDEX('Adopt-a-Pet.com  December 1'!$A$1:$AE$857,MATCH('Final Data'!$B21,'Adopt-a-Pet.com  December 1'!$B:$B,0),MATCH('Final Data'!X$1,'Adopt-a-Pet.com  December 1'!$1:$1,0))</f>
        <v>adult</v>
      </c>
      <c r="Y21" t="str">
        <f>INDEX('Adopt-a-Pet.com  December 1'!$A$1:$AE$857,MATCH('Final Data'!$B21,'Adopt-a-Pet.com  December 1'!$B:$B,0),MATCH('Final Data'!Y$1,'Adopt-a-Pet.com  December 1'!$1:$1,0))</f>
        <v>Med. 26-60 lbs (12-27 kg)</v>
      </c>
      <c r="Z21">
        <f>INDEX('Adopt-a-Pet.com  December 1'!$A$1:$AE$857,MATCH('Final Data'!$B21,'Adopt-a-Pet.com  December 1'!$B:$B,0),MATCH('Final Data'!Z$1,'Adopt-a-Pet.com  December 1'!$1:$1,0))</f>
        <v>0</v>
      </c>
      <c r="AA21" t="str">
        <f>INDEX('Adopt-a-Pet.com  December 1'!$A$1:$AE$857,MATCH('Final Data'!$B21,'Adopt-a-Pet.com  December 1'!$B:$B,0),MATCH('Final Data'!AA$1,'Adopt-a-Pet.com  December 1'!$1:$1,0))</f>
        <v>Yes</v>
      </c>
      <c r="AB21" t="str">
        <f>INDEX('Adopt-a-Pet.com  December 1'!$A$1:$AE$857,MATCH('Final Data'!$B21,'Adopt-a-Pet.com  December 1'!$B:$B,0),MATCH('Final Data'!AB$1,'Adopt-a-Pet.com  December 1'!$1:$1,0))</f>
        <v>Yes</v>
      </c>
      <c r="AC21" t="str">
        <f>INDEX('Adopt-a-Pet.com  December 1'!$A$1:$AE$857,MATCH('Final Data'!$B21,'Adopt-a-Pet.com  December 1'!$B:$B,0),MATCH('Final Data'!AC$1,'Adopt-a-Pet.com  December 1'!$1:$1,0))</f>
        <v>Yes</v>
      </c>
      <c r="AD21" t="str">
        <f>INDEX('Adopt-a-Pet.com  December 1'!$A$1:$AE$857,MATCH('Final Data'!$B21,'Adopt-a-Pet.com  December 1'!$B:$B,0),MATCH('Final Data'!AD$1,'Adopt-a-Pet.com  December 1'!$1:$1,0))</f>
        <v>No</v>
      </c>
      <c r="AE21" t="str">
        <f>INDEX('Adopt-a-Pet.com  December 1'!$A$1:$AE$857,MATCH('Final Data'!$B21,'Adopt-a-Pet.com  December 1'!$B:$B,0),MATCH('Final Data'!AE$1,'Adopt-a-Pet.com  December 1'!$1:$1,0))</f>
        <v>No</v>
      </c>
      <c r="AF21" t="str">
        <f>INDEX('Adopt-a-Pet.com  December 1'!$A$1:$AE$857,MATCH('Final Data'!$B21,'Adopt-a-Pet.com  December 1'!$B:$B,0),MATCH('Final Data'!AF$1,'Adopt-a-Pet.com  December 1'!$1:$1,0))</f>
        <v>Yes</v>
      </c>
      <c r="AG21" t="str">
        <f>INDEX('Adopt-a-Pet.com  December 1'!$A$1:$AE$857,MATCH('Final Data'!$B21,'Adopt-a-Pet.com  December 1'!$B:$B,0),MATCH('Final Data'!AG$1,'Adopt-a-Pet.com  December 1'!$1:$1,0))</f>
        <v>Yes</v>
      </c>
      <c r="AH21" t="str">
        <f>INDEX('Adopt-a-Pet.com  December 1'!$A$1:$AE$857,MATCH('Final Data'!$B21,'Adopt-a-Pet.com  December 1'!$B:$B,0),MATCH('Final Data'!AH$1,'Adopt-a-Pet.com  December 1'!$1:$1,0))</f>
        <v>Unknown</v>
      </c>
      <c r="AI21">
        <f>INDEX('Adopt-a-Pet.com  December 1'!$A$1:$AE$857,MATCH('Final Data'!$B21,'Adopt-a-Pet.com  December 1'!$B:$B,0),MATCH('Final Data'!AI$1,'Adopt-a-Pet.com  December 1'!$1:$1,0))</f>
        <v>0</v>
      </c>
    </row>
    <row r="22" spans="1:35" x14ac:dyDescent="0.2">
      <c r="A22">
        <v>45763997</v>
      </c>
      <c r="B22" t="s">
        <v>316</v>
      </c>
      <c r="C22" t="s">
        <v>317</v>
      </c>
      <c r="D22" t="s">
        <v>1101</v>
      </c>
      <c r="E22">
        <v>1</v>
      </c>
      <c r="F22" t="s">
        <v>3092</v>
      </c>
      <c r="G22" t="s">
        <v>2169</v>
      </c>
      <c r="H22">
        <v>45964</v>
      </c>
      <c r="I22">
        <v>93.4</v>
      </c>
      <c r="J22">
        <v>479</v>
      </c>
      <c r="K22">
        <v>1827</v>
      </c>
      <c r="L22">
        <v>2083</v>
      </c>
      <c r="M22">
        <v>9</v>
      </c>
      <c r="N22">
        <v>31</v>
      </c>
      <c r="O22">
        <v>88</v>
      </c>
      <c r="P22" s="5">
        <v>1.9E-2</v>
      </c>
      <c r="Q22" t="str">
        <f>INDEX('Adopt-a-Pet.com  December 1'!$A$1:$AE$857,MATCH('Final Data'!$B22,'Adopt-a-Pet.com  December 1'!$B:$B,0),MATCH('Final Data'!Q$1,'Adopt-a-Pet.com  December 1'!$1:$1,0))</f>
        <v>available</v>
      </c>
      <c r="R22">
        <f>INDEX('Adopt-a-Pet.com  December 1'!$A$1:$AE$857,MATCH('Final Data'!$B22,'Adopt-a-Pet.com  December 1'!$B:$B,0),MATCH('Final Data'!R$1,'Adopt-a-Pet.com  December 1'!$1:$1,0))</f>
        <v>45905</v>
      </c>
      <c r="S22">
        <f>INDEX('Adopt-a-Pet.com  December 1'!$A$1:$AE$857,MATCH('Final Data'!$B22,'Adopt-a-Pet.com  December 1'!$B:$B,0),MATCH('Final Data'!S$1,'Adopt-a-Pet.com  December 1'!$1:$1,0))</f>
        <v>0</v>
      </c>
      <c r="T22" t="str">
        <f>INDEX('Adopt-a-Pet.com  December 1'!$A$1:$AE$857,MATCH('Final Data'!$B22,'Adopt-a-Pet.com  December 1'!$B:$B,0),MATCH('Final Data'!T$1,'Adopt-a-Pet.com  December 1'!$1:$1,0))</f>
        <v>Hound (Unknown Type)</v>
      </c>
      <c r="U22" t="str">
        <f>INDEX('Adopt-a-Pet.com  December 1'!$A$1:$AE$857,MATCH('Final Data'!$B22,'Adopt-a-Pet.com  December 1'!$B:$B,0),MATCH('Final Data'!U$1,'Adopt-a-Pet.com  December 1'!$1:$1,0))</f>
        <v>American Eskimo Dog</v>
      </c>
      <c r="V22" t="str">
        <f>INDEX('Adopt-a-Pet.com  December 1'!$A$1:$AE$857,MATCH('Final Data'!$B22,'Adopt-a-Pet.com  December 1'!$B:$B,0),MATCH('Final Data'!V$1,'Adopt-a-Pet.com  December 1'!$1:$1,0))</f>
        <v>Tan/Yellow/Fawn - with White</v>
      </c>
      <c r="W22" t="str">
        <f>INDEX('Adopt-a-Pet.com  December 1'!$A$1:$AE$857,MATCH('Final Data'!$B22,'Adopt-a-Pet.com  December 1'!$B:$B,0),MATCH('Final Data'!W$1,'Adopt-a-Pet.com  December 1'!$1:$1,0))</f>
        <v>male</v>
      </c>
      <c r="X22" t="str">
        <f>INDEX('Adopt-a-Pet.com  December 1'!$A$1:$AE$857,MATCH('Final Data'!$B22,'Adopt-a-Pet.com  December 1'!$B:$B,0),MATCH('Final Data'!X$1,'Adopt-a-Pet.com  December 1'!$1:$1,0))</f>
        <v>young</v>
      </c>
      <c r="Y22" t="str">
        <f>INDEX('Adopt-a-Pet.com  December 1'!$A$1:$AE$857,MATCH('Final Data'!$B22,'Adopt-a-Pet.com  December 1'!$B:$B,0),MATCH('Final Data'!Y$1,'Adopt-a-Pet.com  December 1'!$1:$1,0))</f>
        <v>Med. 26-60 lbs (12-27 kg)</v>
      </c>
      <c r="Z22">
        <f>INDEX('Adopt-a-Pet.com  December 1'!$A$1:$AE$857,MATCH('Final Data'!$B22,'Adopt-a-Pet.com  December 1'!$B:$B,0),MATCH('Final Data'!Z$1,'Adopt-a-Pet.com  December 1'!$1:$1,0))</f>
        <v>0</v>
      </c>
      <c r="AA22" t="str">
        <f>INDEX('Adopt-a-Pet.com  December 1'!$A$1:$AE$857,MATCH('Final Data'!$B22,'Adopt-a-Pet.com  December 1'!$B:$B,0),MATCH('Final Data'!AA$1,'Adopt-a-Pet.com  December 1'!$1:$1,0))</f>
        <v>Yes</v>
      </c>
      <c r="AB22" t="str">
        <f>INDEX('Adopt-a-Pet.com  December 1'!$A$1:$AE$857,MATCH('Final Data'!$B22,'Adopt-a-Pet.com  December 1'!$B:$B,0),MATCH('Final Data'!AB$1,'Adopt-a-Pet.com  December 1'!$1:$1,0))</f>
        <v>Yes</v>
      </c>
      <c r="AC22" t="str">
        <f>INDEX('Adopt-a-Pet.com  December 1'!$A$1:$AE$857,MATCH('Final Data'!$B22,'Adopt-a-Pet.com  December 1'!$B:$B,0),MATCH('Final Data'!AC$1,'Adopt-a-Pet.com  December 1'!$1:$1,0))</f>
        <v>Yes</v>
      </c>
      <c r="AD22" t="str">
        <f>INDEX('Adopt-a-Pet.com  December 1'!$A$1:$AE$857,MATCH('Final Data'!$B22,'Adopt-a-Pet.com  December 1'!$B:$B,0),MATCH('Final Data'!AD$1,'Adopt-a-Pet.com  December 1'!$1:$1,0))</f>
        <v>No</v>
      </c>
      <c r="AE22" t="str">
        <f>INDEX('Adopt-a-Pet.com  December 1'!$A$1:$AE$857,MATCH('Final Data'!$B22,'Adopt-a-Pet.com  December 1'!$B:$B,0),MATCH('Final Data'!AE$1,'Adopt-a-Pet.com  December 1'!$1:$1,0))</f>
        <v>No</v>
      </c>
      <c r="AF22" t="str">
        <f>INDEX('Adopt-a-Pet.com  December 1'!$A$1:$AE$857,MATCH('Final Data'!$B22,'Adopt-a-Pet.com  December 1'!$B:$B,0),MATCH('Final Data'!AF$1,'Adopt-a-Pet.com  December 1'!$1:$1,0))</f>
        <v>Yes</v>
      </c>
      <c r="AG22" t="str">
        <f>INDEX('Adopt-a-Pet.com  December 1'!$A$1:$AE$857,MATCH('Final Data'!$B22,'Adopt-a-Pet.com  December 1'!$B:$B,0),MATCH('Final Data'!AG$1,'Adopt-a-Pet.com  December 1'!$1:$1,0))</f>
        <v>Yes</v>
      </c>
      <c r="AH22" t="str">
        <f>INDEX('Adopt-a-Pet.com  December 1'!$A$1:$AE$857,MATCH('Final Data'!$B22,'Adopt-a-Pet.com  December 1'!$B:$B,0),MATCH('Final Data'!AH$1,'Adopt-a-Pet.com  December 1'!$1:$1,0))</f>
        <v>Unknown</v>
      </c>
      <c r="AI22" t="str">
        <f>INDEX('Adopt-a-Pet.com  December 1'!$A$1:$AE$857,MATCH('Final Data'!$B22,'Adopt-a-Pet.com  December 1'!$B:$B,0),MATCH('Final Data'!AI$1,'Adopt-a-Pet.com  December 1'!$1:$1,0))</f>
        <v>Dingo is a sweet, gentle boy who‚Äôs great with both kids and other dogs! This handsome tan-and-white Hound/American Eskimo mix is thriving in his foster home and showing just how loving and easygoing he can be. Dingo enjoys calm walks, playtime with friends, and relaxing by your side when the day winds down. He‚Äôs friendly, affectionate, and has a soft spot for gentle attention‚Äîalways happy to be part of the family fun. With his kind eyes and loyal heart, Dingo is ready to bring warmth, companionship, and plenty of love to his forever home.</v>
      </c>
    </row>
    <row r="23" spans="1:35" x14ac:dyDescent="0.2">
      <c r="A23">
        <v>45764004</v>
      </c>
      <c r="B23" t="s">
        <v>321</v>
      </c>
      <c r="C23" t="s">
        <v>322</v>
      </c>
      <c r="D23" t="s">
        <v>1100</v>
      </c>
      <c r="E23">
        <v>0</v>
      </c>
      <c r="F23" t="s">
        <v>3092</v>
      </c>
      <c r="I23">
        <v>74.8</v>
      </c>
      <c r="J23" s="54">
        <v>233</v>
      </c>
      <c r="K23" s="54">
        <v>584</v>
      </c>
      <c r="L23" s="54">
        <v>714</v>
      </c>
      <c r="M23" s="54">
        <v>7</v>
      </c>
      <c r="N23" s="54">
        <v>37</v>
      </c>
      <c r="O23" s="54">
        <v>55</v>
      </c>
      <c r="P23" s="5">
        <v>0.03</v>
      </c>
      <c r="Q23" t="str">
        <f>INDEX('Adopt-a-Pet.com  December 1'!$A$1:$AE$857,MATCH('Final Data'!$B23,'Adopt-a-Pet.com  December 1'!$B:$B,0),MATCH('Final Data'!Q$1,'Adopt-a-Pet.com  December 1'!$1:$1,0))</f>
        <v>available</v>
      </c>
      <c r="R23">
        <f>INDEX('Adopt-a-Pet.com  December 1'!$A$1:$AE$857,MATCH('Final Data'!$B23,'Adopt-a-Pet.com  December 1'!$B:$B,0),MATCH('Final Data'!R$1,'Adopt-a-Pet.com  December 1'!$1:$1,0))</f>
        <v>45905</v>
      </c>
      <c r="S23">
        <f>INDEX('Adopt-a-Pet.com  December 1'!$A$1:$AE$857,MATCH('Final Data'!$B23,'Adopt-a-Pet.com  December 1'!$B:$B,0),MATCH('Final Data'!S$1,'Adopt-a-Pet.com  December 1'!$1:$1,0))</f>
        <v>0</v>
      </c>
      <c r="T23" t="str">
        <f>INDEX('Adopt-a-Pet.com  December 1'!$A$1:$AE$857,MATCH('Final Data'!$B23,'Adopt-a-Pet.com  December 1'!$B:$B,0),MATCH('Final Data'!T$1,'Adopt-a-Pet.com  December 1'!$1:$1,0))</f>
        <v>American Staffordshire Terrier</v>
      </c>
      <c r="U23" t="str">
        <f>INDEX('Adopt-a-Pet.com  December 1'!$A$1:$AE$857,MATCH('Final Data'!$B23,'Adopt-a-Pet.com  December 1'!$B:$B,0),MATCH('Final Data'!U$1,'Adopt-a-Pet.com  December 1'!$1:$1,0))</f>
        <v>American Pit Bull Terrier</v>
      </c>
      <c r="V23" t="str">
        <f>INDEX('Adopt-a-Pet.com  December 1'!$A$1:$AE$857,MATCH('Final Data'!$B23,'Adopt-a-Pet.com  December 1'!$B:$B,0),MATCH('Final Data'!V$1,'Adopt-a-Pet.com  December 1'!$1:$1,0))</f>
        <v>Brown/Chocolate - with White</v>
      </c>
      <c r="W23" t="str">
        <f>INDEX('Adopt-a-Pet.com  December 1'!$A$1:$AE$857,MATCH('Final Data'!$B23,'Adopt-a-Pet.com  December 1'!$B:$B,0),MATCH('Final Data'!W$1,'Adopt-a-Pet.com  December 1'!$1:$1,0))</f>
        <v>male</v>
      </c>
      <c r="X23" t="str">
        <f>INDEX('Adopt-a-Pet.com  December 1'!$A$1:$AE$857,MATCH('Final Data'!$B23,'Adopt-a-Pet.com  December 1'!$B:$B,0),MATCH('Final Data'!X$1,'Adopt-a-Pet.com  December 1'!$1:$1,0))</f>
        <v>adult</v>
      </c>
      <c r="Y23" t="str">
        <f>INDEX('Adopt-a-Pet.com  December 1'!$A$1:$AE$857,MATCH('Final Data'!$B23,'Adopt-a-Pet.com  December 1'!$B:$B,0),MATCH('Final Data'!Y$1,'Adopt-a-Pet.com  December 1'!$1:$1,0))</f>
        <v>Med. 26-60 lbs (12-27 kg)</v>
      </c>
      <c r="Z23">
        <f>INDEX('Adopt-a-Pet.com  December 1'!$A$1:$AE$857,MATCH('Final Data'!$B23,'Adopt-a-Pet.com  December 1'!$B:$B,0),MATCH('Final Data'!Z$1,'Adopt-a-Pet.com  December 1'!$1:$1,0))</f>
        <v>0</v>
      </c>
      <c r="AA23" t="str">
        <f>INDEX('Adopt-a-Pet.com  December 1'!$A$1:$AE$857,MATCH('Final Data'!$B23,'Adopt-a-Pet.com  December 1'!$B:$B,0),MATCH('Final Data'!AA$1,'Adopt-a-Pet.com  December 1'!$1:$1,0))</f>
        <v>Yes</v>
      </c>
      <c r="AB23" t="str">
        <f>INDEX('Adopt-a-Pet.com  December 1'!$A$1:$AE$857,MATCH('Final Data'!$B23,'Adopt-a-Pet.com  December 1'!$B:$B,0),MATCH('Final Data'!AB$1,'Adopt-a-Pet.com  December 1'!$1:$1,0))</f>
        <v>Yes</v>
      </c>
      <c r="AC23" t="str">
        <f>INDEX('Adopt-a-Pet.com  December 1'!$A$1:$AE$857,MATCH('Final Data'!$B23,'Adopt-a-Pet.com  December 1'!$B:$B,0),MATCH('Final Data'!AC$1,'Adopt-a-Pet.com  December 1'!$1:$1,0))</f>
        <v>Yes</v>
      </c>
      <c r="AD23" t="str">
        <f>INDEX('Adopt-a-Pet.com  December 1'!$A$1:$AE$857,MATCH('Final Data'!$B23,'Adopt-a-Pet.com  December 1'!$B:$B,0),MATCH('Final Data'!AD$1,'Adopt-a-Pet.com  December 1'!$1:$1,0))</f>
        <v>No</v>
      </c>
      <c r="AE23" t="str">
        <f>INDEX('Adopt-a-Pet.com  December 1'!$A$1:$AE$857,MATCH('Final Data'!$B23,'Adopt-a-Pet.com  December 1'!$B:$B,0),MATCH('Final Data'!AE$1,'Adopt-a-Pet.com  December 1'!$1:$1,0))</f>
        <v>No</v>
      </c>
      <c r="AF23" t="str">
        <f>INDEX('Adopt-a-Pet.com  December 1'!$A$1:$AE$857,MATCH('Final Data'!$B23,'Adopt-a-Pet.com  December 1'!$B:$B,0),MATCH('Final Data'!AF$1,'Adopt-a-Pet.com  December 1'!$1:$1,0))</f>
        <v>Yes</v>
      </c>
      <c r="AG23" t="str">
        <f>INDEX('Adopt-a-Pet.com  December 1'!$A$1:$AE$857,MATCH('Final Data'!$B23,'Adopt-a-Pet.com  December 1'!$B:$B,0),MATCH('Final Data'!AG$1,'Adopt-a-Pet.com  December 1'!$1:$1,0))</f>
        <v>Yes</v>
      </c>
      <c r="AH23" t="str">
        <f>INDEX('Adopt-a-Pet.com  December 1'!$A$1:$AE$857,MATCH('Final Data'!$B23,'Adopt-a-Pet.com  December 1'!$B:$B,0),MATCH('Final Data'!AH$1,'Adopt-a-Pet.com  December 1'!$1:$1,0))</f>
        <v>Yes</v>
      </c>
      <c r="AI23">
        <f>INDEX('Adopt-a-Pet.com  December 1'!$A$1:$AE$857,MATCH('Final Data'!$B23,'Adopt-a-Pet.com  December 1'!$B:$B,0),MATCH('Final Data'!AI$1,'Adopt-a-Pet.com  December 1'!$1:$1,0))</f>
        <v>0</v>
      </c>
    </row>
    <row r="24" spans="1:35" x14ac:dyDescent="0.2">
      <c r="A24">
        <v>45764020</v>
      </c>
      <c r="B24" t="s">
        <v>327</v>
      </c>
      <c r="C24" t="s">
        <v>328</v>
      </c>
      <c r="D24" t="s">
        <v>1101</v>
      </c>
      <c r="E24">
        <v>0</v>
      </c>
      <c r="F24" t="s">
        <v>3092</v>
      </c>
      <c r="I24">
        <v>61.9</v>
      </c>
      <c r="J24" s="54">
        <v>226</v>
      </c>
      <c r="K24" s="54">
        <v>531</v>
      </c>
      <c r="L24" s="54">
        <v>600</v>
      </c>
      <c r="M24" s="54">
        <v>21</v>
      </c>
      <c r="N24" s="54">
        <v>73</v>
      </c>
      <c r="O24" s="54">
        <v>118</v>
      </c>
      <c r="P24" s="5">
        <v>9.2999999999999999E-2</v>
      </c>
      <c r="Q24" t="str">
        <f>INDEX('Adopt-a-Pet.com  December 1'!$A$1:$AE$857,MATCH('Final Data'!$B24,'Adopt-a-Pet.com  December 1'!$B:$B,0),MATCH('Final Data'!Q$1,'Adopt-a-Pet.com  December 1'!$1:$1,0))</f>
        <v>available</v>
      </c>
      <c r="R24">
        <f>INDEX('Adopt-a-Pet.com  December 1'!$A$1:$AE$857,MATCH('Final Data'!$B24,'Adopt-a-Pet.com  December 1'!$B:$B,0),MATCH('Final Data'!R$1,'Adopt-a-Pet.com  December 1'!$1:$1,0))</f>
        <v>45905</v>
      </c>
      <c r="S24">
        <f>INDEX('Adopt-a-Pet.com  December 1'!$A$1:$AE$857,MATCH('Final Data'!$B24,'Adopt-a-Pet.com  December 1'!$B:$B,0),MATCH('Final Data'!S$1,'Adopt-a-Pet.com  December 1'!$1:$1,0))</f>
        <v>0</v>
      </c>
      <c r="T24" t="str">
        <f>INDEX('Adopt-a-Pet.com  December 1'!$A$1:$AE$857,MATCH('Final Data'!$B24,'Adopt-a-Pet.com  December 1'!$B:$B,0),MATCH('Final Data'!T$1,'Adopt-a-Pet.com  December 1'!$1:$1,0))</f>
        <v>Foxhound</v>
      </c>
      <c r="U24" t="str">
        <f>INDEX('Adopt-a-Pet.com  December 1'!$A$1:$AE$857,MATCH('Final Data'!$B24,'Adopt-a-Pet.com  December 1'!$B:$B,0),MATCH('Final Data'!U$1,'Adopt-a-Pet.com  December 1'!$1:$1,0))</f>
        <v>Treeing Walker Coonhound</v>
      </c>
      <c r="V24" t="str">
        <f>INDEX('Adopt-a-Pet.com  December 1'!$A$1:$AE$857,MATCH('Final Data'!$B24,'Adopt-a-Pet.com  December 1'!$B:$B,0),MATCH('Final Data'!V$1,'Adopt-a-Pet.com  December 1'!$1:$1,0))</f>
        <v>Tricolor (Tan/Brown &amp; Black &amp; White)</v>
      </c>
      <c r="W24" t="str">
        <f>INDEX('Adopt-a-Pet.com  December 1'!$A$1:$AE$857,MATCH('Final Data'!$B24,'Adopt-a-Pet.com  December 1'!$B:$B,0),MATCH('Final Data'!W$1,'Adopt-a-Pet.com  December 1'!$1:$1,0))</f>
        <v>male</v>
      </c>
      <c r="X24" t="str">
        <f>INDEX('Adopt-a-Pet.com  December 1'!$A$1:$AE$857,MATCH('Final Data'!$B24,'Adopt-a-Pet.com  December 1'!$B:$B,0),MATCH('Final Data'!X$1,'Adopt-a-Pet.com  December 1'!$1:$1,0))</f>
        <v>adult</v>
      </c>
      <c r="Y24" t="str">
        <f>INDEX('Adopt-a-Pet.com  December 1'!$A$1:$AE$857,MATCH('Final Data'!$B24,'Adopt-a-Pet.com  December 1'!$B:$B,0),MATCH('Final Data'!Y$1,'Adopt-a-Pet.com  December 1'!$1:$1,0))</f>
        <v>Med. 26-60 lbs (12-27 kg)</v>
      </c>
      <c r="Z24">
        <f>INDEX('Adopt-a-Pet.com  December 1'!$A$1:$AE$857,MATCH('Final Data'!$B24,'Adopt-a-Pet.com  December 1'!$B:$B,0),MATCH('Final Data'!Z$1,'Adopt-a-Pet.com  December 1'!$1:$1,0))</f>
        <v>0</v>
      </c>
      <c r="AA24" t="str">
        <f>INDEX('Adopt-a-Pet.com  December 1'!$A$1:$AE$857,MATCH('Final Data'!$B24,'Adopt-a-Pet.com  December 1'!$B:$B,0),MATCH('Final Data'!AA$1,'Adopt-a-Pet.com  December 1'!$1:$1,0))</f>
        <v>Yes</v>
      </c>
      <c r="AB24" t="str">
        <f>INDEX('Adopt-a-Pet.com  December 1'!$A$1:$AE$857,MATCH('Final Data'!$B24,'Adopt-a-Pet.com  December 1'!$B:$B,0),MATCH('Final Data'!AB$1,'Adopt-a-Pet.com  December 1'!$1:$1,0))</f>
        <v>Yes</v>
      </c>
      <c r="AC24" t="str">
        <f>INDEX('Adopt-a-Pet.com  December 1'!$A$1:$AE$857,MATCH('Final Data'!$B24,'Adopt-a-Pet.com  December 1'!$B:$B,0),MATCH('Final Data'!AC$1,'Adopt-a-Pet.com  December 1'!$1:$1,0))</f>
        <v>Yes</v>
      </c>
      <c r="AD24" t="str">
        <f>INDEX('Adopt-a-Pet.com  December 1'!$A$1:$AE$857,MATCH('Final Data'!$B24,'Adopt-a-Pet.com  December 1'!$B:$B,0),MATCH('Final Data'!AD$1,'Adopt-a-Pet.com  December 1'!$1:$1,0))</f>
        <v>No</v>
      </c>
      <c r="AE24" t="str">
        <f>INDEX('Adopt-a-Pet.com  December 1'!$A$1:$AE$857,MATCH('Final Data'!$B24,'Adopt-a-Pet.com  December 1'!$B:$B,0),MATCH('Final Data'!AE$1,'Adopt-a-Pet.com  December 1'!$1:$1,0))</f>
        <v>No</v>
      </c>
      <c r="AF24" t="str">
        <f>INDEX('Adopt-a-Pet.com  December 1'!$A$1:$AE$857,MATCH('Final Data'!$B24,'Adopt-a-Pet.com  December 1'!$B:$B,0),MATCH('Final Data'!AF$1,'Adopt-a-Pet.com  December 1'!$1:$1,0))</f>
        <v>Yes</v>
      </c>
      <c r="AG24" t="str">
        <f>INDEX('Adopt-a-Pet.com  December 1'!$A$1:$AE$857,MATCH('Final Data'!$B24,'Adopt-a-Pet.com  December 1'!$B:$B,0),MATCH('Final Data'!AG$1,'Adopt-a-Pet.com  December 1'!$1:$1,0))</f>
        <v>Yes</v>
      </c>
      <c r="AH24" t="str">
        <f>INDEX('Adopt-a-Pet.com  December 1'!$A$1:$AE$857,MATCH('Final Data'!$B24,'Adopt-a-Pet.com  December 1'!$B:$B,0),MATCH('Final Data'!AH$1,'Adopt-a-Pet.com  December 1'!$1:$1,0))</f>
        <v>Unknown</v>
      </c>
      <c r="AI24">
        <f>INDEX('Adopt-a-Pet.com  December 1'!$A$1:$AE$857,MATCH('Final Data'!$B24,'Adopt-a-Pet.com  December 1'!$B:$B,0),MATCH('Final Data'!AI$1,'Adopt-a-Pet.com  December 1'!$1:$1,0))</f>
        <v>0</v>
      </c>
    </row>
    <row r="25" spans="1:35" x14ac:dyDescent="0.2">
      <c r="A25">
        <v>45764028</v>
      </c>
      <c r="B25" t="s">
        <v>333</v>
      </c>
      <c r="C25" t="s">
        <v>334</v>
      </c>
      <c r="D25" t="s">
        <v>1101</v>
      </c>
      <c r="E25">
        <v>0</v>
      </c>
      <c r="F25" t="s">
        <v>3092</v>
      </c>
      <c r="I25">
        <v>59</v>
      </c>
      <c r="J25" s="54">
        <v>409</v>
      </c>
      <c r="K25" s="54">
        <v>942</v>
      </c>
      <c r="L25" s="55">
        <v>1061</v>
      </c>
      <c r="M25" s="54">
        <v>10</v>
      </c>
      <c r="N25" s="54">
        <v>52</v>
      </c>
      <c r="O25" s="54">
        <v>110</v>
      </c>
      <c r="P25" s="5">
        <v>2.4E-2</v>
      </c>
      <c r="Q25" t="str">
        <f>INDEX('Adopt-a-Pet.com  December 1'!$A$1:$AE$857,MATCH('Final Data'!$B25,'Adopt-a-Pet.com  December 1'!$B:$B,0),MATCH('Final Data'!Q$1,'Adopt-a-Pet.com  December 1'!$1:$1,0))</f>
        <v>available</v>
      </c>
      <c r="R25">
        <f>INDEX('Adopt-a-Pet.com  December 1'!$A$1:$AE$857,MATCH('Final Data'!$B25,'Adopt-a-Pet.com  December 1'!$B:$B,0),MATCH('Final Data'!R$1,'Adopt-a-Pet.com  December 1'!$1:$1,0))</f>
        <v>45905</v>
      </c>
      <c r="S25">
        <f>INDEX('Adopt-a-Pet.com  December 1'!$A$1:$AE$857,MATCH('Final Data'!$B25,'Adopt-a-Pet.com  December 1'!$B:$B,0),MATCH('Final Data'!S$1,'Adopt-a-Pet.com  December 1'!$1:$1,0))</f>
        <v>0</v>
      </c>
      <c r="T25" t="str">
        <f>INDEX('Adopt-a-Pet.com  December 1'!$A$1:$AE$857,MATCH('Final Data'!$B25,'Adopt-a-Pet.com  December 1'!$B:$B,0),MATCH('Final Data'!T$1,'Adopt-a-Pet.com  December 1'!$1:$1,0))</f>
        <v>Bull Terrier</v>
      </c>
      <c r="U25" t="str">
        <f>INDEX('Adopt-a-Pet.com  December 1'!$A$1:$AE$857,MATCH('Final Data'!$B25,'Adopt-a-Pet.com  December 1'!$B:$B,0),MATCH('Final Data'!U$1,'Adopt-a-Pet.com  December 1'!$1:$1,0))</f>
        <v>Carolina Dog</v>
      </c>
      <c r="V25" t="str">
        <f>INDEX('Adopt-a-Pet.com  December 1'!$A$1:$AE$857,MATCH('Final Data'!$B25,'Adopt-a-Pet.com  December 1'!$B:$B,0),MATCH('Final Data'!V$1,'Adopt-a-Pet.com  December 1'!$1:$1,0))</f>
        <v>White - with Tan, Yellow or Fawn</v>
      </c>
      <c r="W25" t="str">
        <f>INDEX('Adopt-a-Pet.com  December 1'!$A$1:$AE$857,MATCH('Final Data'!$B25,'Adopt-a-Pet.com  December 1'!$B:$B,0),MATCH('Final Data'!W$1,'Adopt-a-Pet.com  December 1'!$1:$1,0))</f>
        <v>male</v>
      </c>
      <c r="X25" t="str">
        <f>INDEX('Adopt-a-Pet.com  December 1'!$A$1:$AE$857,MATCH('Final Data'!$B25,'Adopt-a-Pet.com  December 1'!$B:$B,0),MATCH('Final Data'!X$1,'Adopt-a-Pet.com  December 1'!$1:$1,0))</f>
        <v>adult</v>
      </c>
      <c r="Y25" t="str">
        <f>INDEX('Adopt-a-Pet.com  December 1'!$A$1:$AE$857,MATCH('Final Data'!$B25,'Adopt-a-Pet.com  December 1'!$B:$B,0),MATCH('Final Data'!Y$1,'Adopt-a-Pet.com  December 1'!$1:$1,0))</f>
        <v>Med. 26-60 lbs (12-27 kg)</v>
      </c>
      <c r="Z25">
        <f>INDEX('Adopt-a-Pet.com  December 1'!$A$1:$AE$857,MATCH('Final Data'!$B25,'Adopt-a-Pet.com  December 1'!$B:$B,0),MATCH('Final Data'!Z$1,'Adopt-a-Pet.com  December 1'!$1:$1,0))</f>
        <v>0</v>
      </c>
      <c r="AA25" t="str">
        <f>INDEX('Adopt-a-Pet.com  December 1'!$A$1:$AE$857,MATCH('Final Data'!$B25,'Adopt-a-Pet.com  December 1'!$B:$B,0),MATCH('Final Data'!AA$1,'Adopt-a-Pet.com  December 1'!$1:$1,0))</f>
        <v>Yes</v>
      </c>
      <c r="AB25" t="str">
        <f>INDEX('Adopt-a-Pet.com  December 1'!$A$1:$AE$857,MATCH('Final Data'!$B25,'Adopt-a-Pet.com  December 1'!$B:$B,0),MATCH('Final Data'!AB$1,'Adopt-a-Pet.com  December 1'!$1:$1,0))</f>
        <v>Yes</v>
      </c>
      <c r="AC25" t="str">
        <f>INDEX('Adopt-a-Pet.com  December 1'!$A$1:$AE$857,MATCH('Final Data'!$B25,'Adopt-a-Pet.com  December 1'!$B:$B,0),MATCH('Final Data'!AC$1,'Adopt-a-Pet.com  December 1'!$1:$1,0))</f>
        <v>Yes</v>
      </c>
      <c r="AD25" t="str">
        <f>INDEX('Adopt-a-Pet.com  December 1'!$A$1:$AE$857,MATCH('Final Data'!$B25,'Adopt-a-Pet.com  December 1'!$B:$B,0),MATCH('Final Data'!AD$1,'Adopt-a-Pet.com  December 1'!$1:$1,0))</f>
        <v>No</v>
      </c>
      <c r="AE25" t="str">
        <f>INDEX('Adopt-a-Pet.com  December 1'!$A$1:$AE$857,MATCH('Final Data'!$B25,'Adopt-a-Pet.com  December 1'!$B:$B,0),MATCH('Final Data'!AE$1,'Adopt-a-Pet.com  December 1'!$1:$1,0))</f>
        <v>No</v>
      </c>
      <c r="AF25" t="str">
        <f>INDEX('Adopt-a-Pet.com  December 1'!$A$1:$AE$857,MATCH('Final Data'!$B25,'Adopt-a-Pet.com  December 1'!$B:$B,0),MATCH('Final Data'!AF$1,'Adopt-a-Pet.com  December 1'!$1:$1,0))</f>
        <v>Yes</v>
      </c>
      <c r="AG25" t="str">
        <f>INDEX('Adopt-a-Pet.com  December 1'!$A$1:$AE$857,MATCH('Final Data'!$B25,'Adopt-a-Pet.com  December 1'!$B:$B,0),MATCH('Final Data'!AG$1,'Adopt-a-Pet.com  December 1'!$1:$1,0))</f>
        <v>Yes</v>
      </c>
      <c r="AH25" t="str">
        <f>INDEX('Adopt-a-Pet.com  December 1'!$A$1:$AE$857,MATCH('Final Data'!$B25,'Adopt-a-Pet.com  December 1'!$B:$B,0),MATCH('Final Data'!AH$1,'Adopt-a-Pet.com  December 1'!$1:$1,0))</f>
        <v>Unknown</v>
      </c>
      <c r="AI25">
        <f>INDEX('Adopt-a-Pet.com  December 1'!$A$1:$AE$857,MATCH('Final Data'!$B25,'Adopt-a-Pet.com  December 1'!$B:$B,0),MATCH('Final Data'!AI$1,'Adopt-a-Pet.com  December 1'!$1:$1,0))</f>
        <v>0</v>
      </c>
    </row>
    <row r="26" spans="1:35" x14ac:dyDescent="0.2">
      <c r="A26">
        <v>45764063</v>
      </c>
      <c r="B26" t="s">
        <v>351</v>
      </c>
      <c r="C26" t="s">
        <v>1233</v>
      </c>
      <c r="D26" t="s">
        <v>1101</v>
      </c>
      <c r="E26">
        <v>0</v>
      </c>
      <c r="F26" t="s">
        <v>2165</v>
      </c>
      <c r="I26">
        <v>60</v>
      </c>
      <c r="J26" s="54">
        <v>257</v>
      </c>
      <c r="K26" s="54">
        <v>620</v>
      </c>
      <c r="L26" s="54">
        <v>700</v>
      </c>
      <c r="M26" s="54">
        <v>19</v>
      </c>
      <c r="N26" s="54">
        <v>94</v>
      </c>
      <c r="O26" s="54">
        <v>133</v>
      </c>
      <c r="P26" s="5">
        <v>7.3999999999999996E-2</v>
      </c>
      <c r="Q26" t="str">
        <f>INDEX('Adopt-a-Pet.com  December 1'!$A$1:$AE$857,MATCH('Final Data'!$B26,'Adopt-a-Pet.com  December 1'!$B:$B,0),MATCH('Final Data'!Q$1,'Adopt-a-Pet.com  December 1'!$1:$1,0))</f>
        <v>adopted</v>
      </c>
      <c r="R26">
        <f>INDEX('Adopt-a-Pet.com  December 1'!$A$1:$AE$857,MATCH('Final Data'!$B26,'Adopt-a-Pet.com  December 1'!$B:$B,0),MATCH('Final Data'!R$1,'Adopt-a-Pet.com  December 1'!$1:$1,0))</f>
        <v>45906</v>
      </c>
      <c r="S26">
        <f>INDEX('Adopt-a-Pet.com  December 1'!$A$1:$AE$857,MATCH('Final Data'!$B26,'Adopt-a-Pet.com  December 1'!$B:$B,0),MATCH('Final Data'!S$1,'Adopt-a-Pet.com  December 1'!$1:$1,0))</f>
        <v>45963</v>
      </c>
      <c r="T26" t="str">
        <f>INDEX('Adopt-a-Pet.com  December 1'!$A$1:$AE$857,MATCH('Final Data'!$B26,'Adopt-a-Pet.com  December 1'!$B:$B,0),MATCH('Final Data'!T$1,'Adopt-a-Pet.com  December 1'!$1:$1,0))</f>
        <v>Labrador Retriever</v>
      </c>
      <c r="U26" t="str">
        <f>INDEX('Adopt-a-Pet.com  December 1'!$A$1:$AE$857,MATCH('Final Data'!$B26,'Adopt-a-Pet.com  December 1'!$B:$B,0),MATCH('Final Data'!U$1,'Adopt-a-Pet.com  December 1'!$1:$1,0))</f>
        <v>Hound (Unknown Type)</v>
      </c>
      <c r="V26" t="str">
        <f>INDEX('Adopt-a-Pet.com  December 1'!$A$1:$AE$857,MATCH('Final Data'!$B26,'Adopt-a-Pet.com  December 1'!$B:$B,0),MATCH('Final Data'!V$1,'Adopt-a-Pet.com  December 1'!$1:$1,0))</f>
        <v>Tan/Yellow/Fawn - with White</v>
      </c>
      <c r="W26" t="str">
        <f>INDEX('Adopt-a-Pet.com  December 1'!$A$1:$AE$857,MATCH('Final Data'!$B26,'Adopt-a-Pet.com  December 1'!$B:$B,0),MATCH('Final Data'!W$1,'Adopt-a-Pet.com  December 1'!$1:$1,0))</f>
        <v>female</v>
      </c>
      <c r="X26" t="str">
        <f>INDEX('Adopt-a-Pet.com  December 1'!$A$1:$AE$857,MATCH('Final Data'!$B26,'Adopt-a-Pet.com  December 1'!$B:$B,0),MATCH('Final Data'!X$1,'Adopt-a-Pet.com  December 1'!$1:$1,0))</f>
        <v>adult</v>
      </c>
      <c r="Y26" t="str">
        <f>INDEX('Adopt-a-Pet.com  December 1'!$A$1:$AE$857,MATCH('Final Data'!$B26,'Adopt-a-Pet.com  December 1'!$B:$B,0),MATCH('Final Data'!Y$1,'Adopt-a-Pet.com  December 1'!$1:$1,0))</f>
        <v>Large 61-100 lbs (28-45 kg)</v>
      </c>
      <c r="Z26">
        <f>INDEX('Adopt-a-Pet.com  December 1'!$A$1:$AE$857,MATCH('Final Data'!$B26,'Adopt-a-Pet.com  December 1'!$B:$B,0),MATCH('Final Data'!Z$1,'Adopt-a-Pet.com  December 1'!$1:$1,0))</f>
        <v>0</v>
      </c>
      <c r="AA26" t="str">
        <f>INDEX('Adopt-a-Pet.com  December 1'!$A$1:$AE$857,MATCH('Final Data'!$B26,'Adopt-a-Pet.com  December 1'!$B:$B,0),MATCH('Final Data'!AA$1,'Adopt-a-Pet.com  December 1'!$1:$1,0))</f>
        <v>Yes</v>
      </c>
      <c r="AB26" t="str">
        <f>INDEX('Adopt-a-Pet.com  December 1'!$A$1:$AE$857,MATCH('Final Data'!$B26,'Adopt-a-Pet.com  December 1'!$B:$B,0),MATCH('Final Data'!AB$1,'Adopt-a-Pet.com  December 1'!$1:$1,0))</f>
        <v>Yes</v>
      </c>
      <c r="AC26" t="str">
        <f>INDEX('Adopt-a-Pet.com  December 1'!$A$1:$AE$857,MATCH('Final Data'!$B26,'Adopt-a-Pet.com  December 1'!$B:$B,0),MATCH('Final Data'!AC$1,'Adopt-a-Pet.com  December 1'!$1:$1,0))</f>
        <v>Yes</v>
      </c>
      <c r="AD26" t="str">
        <f>INDEX('Adopt-a-Pet.com  December 1'!$A$1:$AE$857,MATCH('Final Data'!$B26,'Adopt-a-Pet.com  December 1'!$B:$B,0),MATCH('Final Data'!AD$1,'Adopt-a-Pet.com  December 1'!$1:$1,0))</f>
        <v>No</v>
      </c>
      <c r="AE26" t="str">
        <f>INDEX('Adopt-a-Pet.com  December 1'!$A$1:$AE$857,MATCH('Final Data'!$B26,'Adopt-a-Pet.com  December 1'!$B:$B,0),MATCH('Final Data'!AE$1,'Adopt-a-Pet.com  December 1'!$1:$1,0))</f>
        <v>No</v>
      </c>
      <c r="AF26" t="str">
        <f>INDEX('Adopt-a-Pet.com  December 1'!$A$1:$AE$857,MATCH('Final Data'!$B26,'Adopt-a-Pet.com  December 1'!$B:$B,0),MATCH('Final Data'!AF$1,'Adopt-a-Pet.com  December 1'!$1:$1,0))</f>
        <v>Yes</v>
      </c>
      <c r="AG26" t="str">
        <f>INDEX('Adopt-a-Pet.com  December 1'!$A$1:$AE$857,MATCH('Final Data'!$B26,'Adopt-a-Pet.com  December 1'!$B:$B,0),MATCH('Final Data'!AG$1,'Adopt-a-Pet.com  December 1'!$1:$1,0))</f>
        <v>Yes</v>
      </c>
      <c r="AH26" t="str">
        <f>INDEX('Adopt-a-Pet.com  December 1'!$A$1:$AE$857,MATCH('Final Data'!$B26,'Adopt-a-Pet.com  December 1'!$B:$B,0),MATCH('Final Data'!AH$1,'Adopt-a-Pet.com  December 1'!$1:$1,0))</f>
        <v>Unknown</v>
      </c>
      <c r="AI26">
        <f>INDEX('Adopt-a-Pet.com  December 1'!$A$1:$AE$857,MATCH('Final Data'!$B26,'Adopt-a-Pet.com  December 1'!$B:$B,0),MATCH('Final Data'!AI$1,'Adopt-a-Pet.com  December 1'!$1:$1,0))</f>
        <v>0</v>
      </c>
    </row>
    <row r="27" spans="1:35" x14ac:dyDescent="0.2">
      <c r="A27">
        <v>45764075</v>
      </c>
      <c r="B27" t="s">
        <v>353</v>
      </c>
      <c r="C27" t="s">
        <v>354</v>
      </c>
      <c r="D27" t="s">
        <v>1100</v>
      </c>
      <c r="E27">
        <v>1</v>
      </c>
      <c r="F27" t="s">
        <v>2165</v>
      </c>
      <c r="G27" t="s">
        <v>1739</v>
      </c>
      <c r="H27">
        <v>45950</v>
      </c>
      <c r="I27">
        <v>61.9</v>
      </c>
      <c r="J27" s="54">
        <v>390</v>
      </c>
      <c r="K27" s="54">
        <v>888</v>
      </c>
      <c r="L27" s="54">
        <v>983</v>
      </c>
      <c r="M27" s="54">
        <v>3</v>
      </c>
      <c r="N27" s="54">
        <v>36</v>
      </c>
      <c r="O27" s="54">
        <v>81</v>
      </c>
      <c r="P27" s="5">
        <v>8.0000000000000002E-3</v>
      </c>
      <c r="Q27" t="str">
        <f>INDEX('Adopt-a-Pet.com  December 1'!$A$1:$AE$857,MATCH('Final Data'!$B27,'Adopt-a-Pet.com  December 1'!$B:$B,0),MATCH('Final Data'!Q$1,'Adopt-a-Pet.com  December 1'!$1:$1,0))</f>
        <v>adopted</v>
      </c>
      <c r="R27">
        <f>INDEX('Adopt-a-Pet.com  December 1'!$A$1:$AE$857,MATCH('Final Data'!$B27,'Adopt-a-Pet.com  December 1'!$B:$B,0),MATCH('Final Data'!R$1,'Adopt-a-Pet.com  December 1'!$1:$1,0))</f>
        <v>45906</v>
      </c>
      <c r="S27">
        <f>INDEX('Adopt-a-Pet.com  December 1'!$A$1:$AE$857,MATCH('Final Data'!$B27,'Adopt-a-Pet.com  December 1'!$B:$B,0),MATCH('Final Data'!S$1,'Adopt-a-Pet.com  December 1'!$1:$1,0))</f>
        <v>45963</v>
      </c>
      <c r="T27" t="str">
        <f>INDEX('Adopt-a-Pet.com  December 1'!$A$1:$AE$857,MATCH('Final Data'!$B27,'Adopt-a-Pet.com  December 1'!$B:$B,0),MATCH('Final Data'!T$1,'Adopt-a-Pet.com  December 1'!$1:$1,0))</f>
        <v>American Staffordshire Terrier</v>
      </c>
      <c r="U27" t="str">
        <f>INDEX('Adopt-a-Pet.com  December 1'!$A$1:$AE$857,MATCH('Final Data'!$B27,'Adopt-a-Pet.com  December 1'!$B:$B,0),MATCH('Final Data'!U$1,'Adopt-a-Pet.com  December 1'!$1:$1,0))</f>
        <v>American Pit Bull Terrier</v>
      </c>
      <c r="V27" t="str">
        <f>INDEX('Adopt-a-Pet.com  December 1'!$A$1:$AE$857,MATCH('Final Data'!$B27,'Adopt-a-Pet.com  December 1'!$B:$B,0),MATCH('Final Data'!V$1,'Adopt-a-Pet.com  December 1'!$1:$1,0))</f>
        <v>White - with Gray or Silver</v>
      </c>
      <c r="W27" t="str">
        <f>INDEX('Adopt-a-Pet.com  December 1'!$A$1:$AE$857,MATCH('Final Data'!$B27,'Adopt-a-Pet.com  December 1'!$B:$B,0),MATCH('Final Data'!W$1,'Adopt-a-Pet.com  December 1'!$1:$1,0))</f>
        <v>female</v>
      </c>
      <c r="X27" t="str">
        <f>INDEX('Adopt-a-Pet.com  December 1'!$A$1:$AE$857,MATCH('Final Data'!$B27,'Adopt-a-Pet.com  December 1'!$B:$B,0),MATCH('Final Data'!X$1,'Adopt-a-Pet.com  December 1'!$1:$1,0))</f>
        <v>adult</v>
      </c>
      <c r="Y27" t="str">
        <f>INDEX('Adopt-a-Pet.com  December 1'!$A$1:$AE$857,MATCH('Final Data'!$B27,'Adopt-a-Pet.com  December 1'!$B:$B,0),MATCH('Final Data'!Y$1,'Adopt-a-Pet.com  December 1'!$1:$1,0))</f>
        <v>Med. 26-60 lbs (12-27 kg)</v>
      </c>
      <c r="Z27">
        <f>INDEX('Adopt-a-Pet.com  December 1'!$A$1:$AE$857,MATCH('Final Data'!$B27,'Adopt-a-Pet.com  December 1'!$B:$B,0),MATCH('Final Data'!Z$1,'Adopt-a-Pet.com  December 1'!$1:$1,0))</f>
        <v>0</v>
      </c>
      <c r="AA27" t="str">
        <f>INDEX('Adopt-a-Pet.com  December 1'!$A$1:$AE$857,MATCH('Final Data'!$B27,'Adopt-a-Pet.com  December 1'!$B:$B,0),MATCH('Final Data'!AA$1,'Adopt-a-Pet.com  December 1'!$1:$1,0))</f>
        <v>Yes</v>
      </c>
      <c r="AB27" t="str">
        <f>INDEX('Adopt-a-Pet.com  December 1'!$A$1:$AE$857,MATCH('Final Data'!$B27,'Adopt-a-Pet.com  December 1'!$B:$B,0),MATCH('Final Data'!AB$1,'Adopt-a-Pet.com  December 1'!$1:$1,0))</f>
        <v>No</v>
      </c>
      <c r="AC27" t="str">
        <f>INDEX('Adopt-a-Pet.com  December 1'!$A$1:$AE$857,MATCH('Final Data'!$B27,'Adopt-a-Pet.com  December 1'!$B:$B,0),MATCH('Final Data'!AC$1,'Adopt-a-Pet.com  December 1'!$1:$1,0))</f>
        <v>Yes</v>
      </c>
      <c r="AD27" t="str">
        <f>INDEX('Adopt-a-Pet.com  December 1'!$A$1:$AE$857,MATCH('Final Data'!$B27,'Adopt-a-Pet.com  December 1'!$B:$B,0),MATCH('Final Data'!AD$1,'Adopt-a-Pet.com  December 1'!$1:$1,0))</f>
        <v>No</v>
      </c>
      <c r="AE27" t="str">
        <f>INDEX('Adopt-a-Pet.com  December 1'!$A$1:$AE$857,MATCH('Final Data'!$B27,'Adopt-a-Pet.com  December 1'!$B:$B,0),MATCH('Final Data'!AE$1,'Adopt-a-Pet.com  December 1'!$1:$1,0))</f>
        <v>No</v>
      </c>
      <c r="AF27" t="str">
        <f>INDEX('Adopt-a-Pet.com  December 1'!$A$1:$AE$857,MATCH('Final Data'!$B27,'Adopt-a-Pet.com  December 1'!$B:$B,0),MATCH('Final Data'!AF$1,'Adopt-a-Pet.com  December 1'!$1:$1,0))</f>
        <v>Yes</v>
      </c>
      <c r="AG27" t="str">
        <f>INDEX('Adopt-a-Pet.com  December 1'!$A$1:$AE$857,MATCH('Final Data'!$B27,'Adopt-a-Pet.com  December 1'!$B:$B,0),MATCH('Final Data'!AG$1,'Adopt-a-Pet.com  December 1'!$1:$1,0))</f>
        <v>Yes</v>
      </c>
      <c r="AH27" t="str">
        <f>INDEX('Adopt-a-Pet.com  December 1'!$A$1:$AE$857,MATCH('Final Data'!$B27,'Adopt-a-Pet.com  December 1'!$B:$B,0),MATCH('Final Data'!AH$1,'Adopt-a-Pet.com  December 1'!$1:$1,0))</f>
        <v>Unknown</v>
      </c>
      <c r="AI27" t="str">
        <f>INDEX('Adopt-a-Pet.com  December 1'!$A$1:$AE$857,MATCH('Final Data'!$B27,'Adopt-a-Pet.com  December 1'!$B:$B,0),MATCH('Final Data'!AI$1,'Adopt-a-Pet.com  December 1'!$1:$1,0))</f>
        <v>Roux is pure joy wrapped in fur! This beautiful white-and-gray Pittie mix greets every day‚Äîand every person‚Äîwith enthusiasm, spinning in happy circles when it‚Äôs time to play. She‚Äôs the perfect mix of playful and cuddly, always ready for a game of fetch or a snuggle on the couch. Roux‚Äôs curious nature makes her eager to explore, and her gentle personality wins over everyone she meets. She‚Äôs friendly with people, sweet to the core, and just wants to be part of the fun (and the love). If you‚Äôre looking for a loyal companion who can make your heart‚Äîand your tail‚Äîwag a little faster, Roux is your girl.</v>
      </c>
    </row>
    <row r="28" spans="1:35" x14ac:dyDescent="0.2">
      <c r="A28">
        <v>45764080</v>
      </c>
      <c r="B28" t="s">
        <v>355</v>
      </c>
      <c r="C28" t="s">
        <v>356</v>
      </c>
      <c r="D28" t="s">
        <v>1100</v>
      </c>
      <c r="E28">
        <v>0</v>
      </c>
      <c r="F28" t="s">
        <v>3092</v>
      </c>
      <c r="I28">
        <v>72.900000000000006</v>
      </c>
      <c r="J28" s="54">
        <v>233</v>
      </c>
      <c r="K28" s="54">
        <v>589</v>
      </c>
      <c r="L28" s="54">
        <v>684</v>
      </c>
      <c r="M28" s="54">
        <v>3</v>
      </c>
      <c r="N28" s="54">
        <v>18</v>
      </c>
      <c r="O28" s="54">
        <v>44</v>
      </c>
      <c r="P28" s="5">
        <v>1.2999999999999999E-2</v>
      </c>
      <c r="Q28" t="str">
        <f>INDEX('Adopt-a-Pet.com  December 1'!$A$1:$AE$857,MATCH('Final Data'!$B28,'Adopt-a-Pet.com  December 1'!$B:$B,0),MATCH('Final Data'!Q$1,'Adopt-a-Pet.com  December 1'!$1:$1,0))</f>
        <v>available</v>
      </c>
      <c r="R28">
        <f>INDEX('Adopt-a-Pet.com  December 1'!$A$1:$AE$857,MATCH('Final Data'!$B28,'Adopt-a-Pet.com  December 1'!$B:$B,0),MATCH('Final Data'!R$1,'Adopt-a-Pet.com  December 1'!$1:$1,0))</f>
        <v>45906</v>
      </c>
      <c r="S28">
        <f>INDEX('Adopt-a-Pet.com  December 1'!$A$1:$AE$857,MATCH('Final Data'!$B28,'Adopt-a-Pet.com  December 1'!$B:$B,0),MATCH('Final Data'!S$1,'Adopt-a-Pet.com  December 1'!$1:$1,0))</f>
        <v>0</v>
      </c>
      <c r="T28" t="str">
        <f>INDEX('Adopt-a-Pet.com  December 1'!$A$1:$AE$857,MATCH('Final Data'!$B28,'Adopt-a-Pet.com  December 1'!$B:$B,0),MATCH('Final Data'!T$1,'Adopt-a-Pet.com  December 1'!$1:$1,0))</f>
        <v>American Pit Bull Terrier</v>
      </c>
      <c r="U28" t="str">
        <f>INDEX('Adopt-a-Pet.com  December 1'!$A$1:$AE$857,MATCH('Final Data'!$B28,'Adopt-a-Pet.com  December 1'!$B:$B,0),MATCH('Final Data'!U$1,'Adopt-a-Pet.com  December 1'!$1:$1,0))</f>
        <v>American Staffordshire Terrier</v>
      </c>
      <c r="V28" t="str">
        <f>INDEX('Adopt-a-Pet.com  December 1'!$A$1:$AE$857,MATCH('Final Data'!$B28,'Adopt-a-Pet.com  December 1'!$B:$B,0),MATCH('Final Data'!V$1,'Adopt-a-Pet.com  December 1'!$1:$1,0))</f>
        <v>Red/Golden/Orange/Chestnut - with White</v>
      </c>
      <c r="W28" t="str">
        <f>INDEX('Adopt-a-Pet.com  December 1'!$A$1:$AE$857,MATCH('Final Data'!$B28,'Adopt-a-Pet.com  December 1'!$B:$B,0),MATCH('Final Data'!W$1,'Adopt-a-Pet.com  December 1'!$1:$1,0))</f>
        <v>female</v>
      </c>
      <c r="X28" t="str">
        <f>INDEX('Adopt-a-Pet.com  December 1'!$A$1:$AE$857,MATCH('Final Data'!$B28,'Adopt-a-Pet.com  December 1'!$B:$B,0),MATCH('Final Data'!X$1,'Adopt-a-Pet.com  December 1'!$1:$1,0))</f>
        <v>adult</v>
      </c>
      <c r="Y28" t="str">
        <f>INDEX('Adopt-a-Pet.com  December 1'!$A$1:$AE$857,MATCH('Final Data'!$B28,'Adopt-a-Pet.com  December 1'!$B:$B,0),MATCH('Final Data'!Y$1,'Adopt-a-Pet.com  December 1'!$1:$1,0))</f>
        <v>Med. 26-60 lbs (12-27 kg)</v>
      </c>
      <c r="Z28">
        <f>INDEX('Adopt-a-Pet.com  December 1'!$A$1:$AE$857,MATCH('Final Data'!$B28,'Adopt-a-Pet.com  December 1'!$B:$B,0),MATCH('Final Data'!Z$1,'Adopt-a-Pet.com  December 1'!$1:$1,0))</f>
        <v>0</v>
      </c>
      <c r="AA28" t="str">
        <f>INDEX('Adopt-a-Pet.com  December 1'!$A$1:$AE$857,MATCH('Final Data'!$B28,'Adopt-a-Pet.com  December 1'!$B:$B,0),MATCH('Final Data'!AA$1,'Adopt-a-Pet.com  December 1'!$1:$1,0))</f>
        <v>Yes</v>
      </c>
      <c r="AB28" t="str">
        <f>INDEX('Adopt-a-Pet.com  December 1'!$A$1:$AE$857,MATCH('Final Data'!$B28,'Adopt-a-Pet.com  December 1'!$B:$B,0),MATCH('Final Data'!AB$1,'Adopt-a-Pet.com  December 1'!$1:$1,0))</f>
        <v>Yes</v>
      </c>
      <c r="AC28" t="str">
        <f>INDEX('Adopt-a-Pet.com  December 1'!$A$1:$AE$857,MATCH('Final Data'!$B28,'Adopt-a-Pet.com  December 1'!$B:$B,0),MATCH('Final Data'!AC$1,'Adopt-a-Pet.com  December 1'!$1:$1,0))</f>
        <v>Yes</v>
      </c>
      <c r="AD28" t="str">
        <f>INDEX('Adopt-a-Pet.com  December 1'!$A$1:$AE$857,MATCH('Final Data'!$B28,'Adopt-a-Pet.com  December 1'!$B:$B,0),MATCH('Final Data'!AD$1,'Adopt-a-Pet.com  December 1'!$1:$1,0))</f>
        <v>No</v>
      </c>
      <c r="AE28" t="str">
        <f>INDEX('Adopt-a-Pet.com  December 1'!$A$1:$AE$857,MATCH('Final Data'!$B28,'Adopt-a-Pet.com  December 1'!$B:$B,0),MATCH('Final Data'!AE$1,'Adopt-a-Pet.com  December 1'!$1:$1,0))</f>
        <v>No</v>
      </c>
      <c r="AF28" t="str">
        <f>INDEX('Adopt-a-Pet.com  December 1'!$A$1:$AE$857,MATCH('Final Data'!$B28,'Adopt-a-Pet.com  December 1'!$B:$B,0),MATCH('Final Data'!AF$1,'Adopt-a-Pet.com  December 1'!$1:$1,0))</f>
        <v>Yes</v>
      </c>
      <c r="AG28" t="str">
        <f>INDEX('Adopt-a-Pet.com  December 1'!$A$1:$AE$857,MATCH('Final Data'!$B28,'Adopt-a-Pet.com  December 1'!$B:$B,0),MATCH('Final Data'!AG$1,'Adopt-a-Pet.com  December 1'!$1:$1,0))</f>
        <v>Yes</v>
      </c>
      <c r="AH28" t="str">
        <f>INDEX('Adopt-a-Pet.com  December 1'!$A$1:$AE$857,MATCH('Final Data'!$B28,'Adopt-a-Pet.com  December 1'!$B:$B,0),MATCH('Final Data'!AH$1,'Adopt-a-Pet.com  December 1'!$1:$1,0))</f>
        <v>Unknown</v>
      </c>
      <c r="AI28">
        <f>INDEX('Adopt-a-Pet.com  December 1'!$A$1:$AE$857,MATCH('Final Data'!$B28,'Adopt-a-Pet.com  December 1'!$B:$B,0),MATCH('Final Data'!AI$1,'Adopt-a-Pet.com  December 1'!$1:$1,0))</f>
        <v>0</v>
      </c>
    </row>
    <row r="29" spans="1:35" x14ac:dyDescent="0.2">
      <c r="A29">
        <v>45793976</v>
      </c>
      <c r="B29" t="s">
        <v>361</v>
      </c>
      <c r="C29" t="s">
        <v>362</v>
      </c>
      <c r="D29" t="s">
        <v>1100</v>
      </c>
      <c r="E29">
        <v>1</v>
      </c>
      <c r="F29" t="s">
        <v>2165</v>
      </c>
      <c r="G29" t="s">
        <v>1734</v>
      </c>
      <c r="H29">
        <v>45950</v>
      </c>
      <c r="I29">
        <v>77</v>
      </c>
      <c r="J29" s="54">
        <v>261</v>
      </c>
      <c r="K29" s="54">
        <v>659</v>
      </c>
      <c r="L29" s="54">
        <v>738</v>
      </c>
      <c r="M29" s="54">
        <v>16</v>
      </c>
      <c r="N29" s="54">
        <v>72</v>
      </c>
      <c r="O29" s="54">
        <v>141</v>
      </c>
      <c r="P29" s="5">
        <v>6.0999999999999999E-2</v>
      </c>
      <c r="Q29" t="str">
        <f>INDEX('Adopt-a-Pet.com  December 1'!$A$1:$AE$857,MATCH('Final Data'!$B29,'Adopt-a-Pet.com  December 1'!$B:$B,0),MATCH('Final Data'!Q$1,'Adopt-a-Pet.com  December 1'!$1:$1,0))</f>
        <v>adopted</v>
      </c>
      <c r="R29">
        <f>INDEX('Adopt-a-Pet.com  December 1'!$A$1:$AE$857,MATCH('Final Data'!$B29,'Adopt-a-Pet.com  December 1'!$B:$B,0),MATCH('Final Data'!R$1,'Adopt-a-Pet.com  December 1'!$1:$1,0))</f>
        <v>45909</v>
      </c>
      <c r="S29">
        <f>INDEX('Adopt-a-Pet.com  December 1'!$A$1:$AE$857,MATCH('Final Data'!$B29,'Adopt-a-Pet.com  December 1'!$B:$B,0),MATCH('Final Data'!S$1,'Adopt-a-Pet.com  December 1'!$1:$1,0))</f>
        <v>45974</v>
      </c>
      <c r="T29" t="str">
        <f>INDEX('Adopt-a-Pet.com  December 1'!$A$1:$AE$857,MATCH('Final Data'!$B29,'Adopt-a-Pet.com  December 1'!$B:$B,0),MATCH('Final Data'!T$1,'Adopt-a-Pet.com  December 1'!$1:$1,0))</f>
        <v>American Pit Bull Terrier</v>
      </c>
      <c r="U29" t="str">
        <f>INDEX('Adopt-a-Pet.com  December 1'!$A$1:$AE$857,MATCH('Final Data'!$B29,'Adopt-a-Pet.com  December 1'!$B:$B,0),MATCH('Final Data'!U$1,'Adopt-a-Pet.com  December 1'!$1:$1,0))</f>
        <v>Plott Hound</v>
      </c>
      <c r="V29" t="str">
        <f>INDEX('Adopt-a-Pet.com  December 1'!$A$1:$AE$857,MATCH('Final Data'!$B29,'Adopt-a-Pet.com  December 1'!$B:$B,0),MATCH('Final Data'!V$1,'Adopt-a-Pet.com  December 1'!$1:$1,0))</f>
        <v>Brindle</v>
      </c>
      <c r="W29" t="str">
        <f>INDEX('Adopt-a-Pet.com  December 1'!$A$1:$AE$857,MATCH('Final Data'!$B29,'Adopt-a-Pet.com  December 1'!$B:$B,0),MATCH('Final Data'!W$1,'Adopt-a-Pet.com  December 1'!$1:$1,0))</f>
        <v>male</v>
      </c>
      <c r="X29" t="str">
        <f>INDEX('Adopt-a-Pet.com  December 1'!$A$1:$AE$857,MATCH('Final Data'!$B29,'Adopt-a-Pet.com  December 1'!$B:$B,0),MATCH('Final Data'!X$1,'Adopt-a-Pet.com  December 1'!$1:$1,0))</f>
        <v>young</v>
      </c>
      <c r="Y29" t="str">
        <f>INDEX('Adopt-a-Pet.com  December 1'!$A$1:$AE$857,MATCH('Final Data'!$B29,'Adopt-a-Pet.com  December 1'!$B:$B,0),MATCH('Final Data'!Y$1,'Adopt-a-Pet.com  December 1'!$1:$1,0))</f>
        <v>Med. 26-60 lbs (12-27 kg)</v>
      </c>
      <c r="Z29">
        <f>INDEX('Adopt-a-Pet.com  December 1'!$A$1:$AE$857,MATCH('Final Data'!$B29,'Adopt-a-Pet.com  December 1'!$B:$B,0),MATCH('Final Data'!Z$1,'Adopt-a-Pet.com  December 1'!$1:$1,0))</f>
        <v>0</v>
      </c>
      <c r="AA29" t="str">
        <f>INDEX('Adopt-a-Pet.com  December 1'!$A$1:$AE$857,MATCH('Final Data'!$B29,'Adopt-a-Pet.com  December 1'!$B:$B,0),MATCH('Final Data'!AA$1,'Adopt-a-Pet.com  December 1'!$1:$1,0))</f>
        <v>Yes</v>
      </c>
      <c r="AB29" t="str">
        <f>INDEX('Adopt-a-Pet.com  December 1'!$A$1:$AE$857,MATCH('Final Data'!$B29,'Adopt-a-Pet.com  December 1'!$B:$B,0),MATCH('Final Data'!AB$1,'Adopt-a-Pet.com  December 1'!$1:$1,0))</f>
        <v>Yes</v>
      </c>
      <c r="AC29" t="str">
        <f>INDEX('Adopt-a-Pet.com  December 1'!$A$1:$AE$857,MATCH('Final Data'!$B29,'Adopt-a-Pet.com  December 1'!$B:$B,0),MATCH('Final Data'!AC$1,'Adopt-a-Pet.com  December 1'!$1:$1,0))</f>
        <v>Yes</v>
      </c>
      <c r="AD29" t="str">
        <f>INDEX('Adopt-a-Pet.com  December 1'!$A$1:$AE$857,MATCH('Final Data'!$B29,'Adopt-a-Pet.com  December 1'!$B:$B,0),MATCH('Final Data'!AD$1,'Adopt-a-Pet.com  December 1'!$1:$1,0))</f>
        <v>No</v>
      </c>
      <c r="AE29" t="str">
        <f>INDEX('Adopt-a-Pet.com  December 1'!$A$1:$AE$857,MATCH('Final Data'!$B29,'Adopt-a-Pet.com  December 1'!$B:$B,0),MATCH('Final Data'!AE$1,'Adopt-a-Pet.com  December 1'!$1:$1,0))</f>
        <v>No</v>
      </c>
      <c r="AF29" t="str">
        <f>INDEX('Adopt-a-Pet.com  December 1'!$A$1:$AE$857,MATCH('Final Data'!$B29,'Adopt-a-Pet.com  December 1'!$B:$B,0),MATCH('Final Data'!AF$1,'Adopt-a-Pet.com  December 1'!$1:$1,0))</f>
        <v>Yes</v>
      </c>
      <c r="AG29" t="str">
        <f>INDEX('Adopt-a-Pet.com  December 1'!$A$1:$AE$857,MATCH('Final Data'!$B29,'Adopt-a-Pet.com  December 1'!$B:$B,0),MATCH('Final Data'!AG$1,'Adopt-a-Pet.com  December 1'!$1:$1,0))</f>
        <v>Yes</v>
      </c>
      <c r="AH29" t="str">
        <f>INDEX('Adopt-a-Pet.com  December 1'!$A$1:$AE$857,MATCH('Final Data'!$B29,'Adopt-a-Pet.com  December 1'!$B:$B,0),MATCH('Final Data'!AH$1,'Adopt-a-Pet.com  December 1'!$1:$1,0))</f>
        <v>Unknown</v>
      </c>
      <c r="AI29" t="str">
        <f>INDEX('Adopt-a-Pet.com  December 1'!$A$1:$AE$857,MATCH('Final Data'!$B29,'Adopt-a-Pet.com  December 1'!$B:$B,0),MATCH('Final Data'!AI$1,'Adopt-a-Pet.com  December 1'!$1:$1,0))</f>
        <v>Deebo is a goofy, fun-loving ball of energy who‚Äôs always the life of the party! This brindle Pittie/Plott Hound mix is playful, curious, and full of personality. He loves romping around with his best pals, Mimir and Koko, and never turns down a chance to play or get a little rowdy. Deebo‚Äôs friendly spirit and endless enthusiasm make him a joy to be around‚Äîhe‚Äôs the kind of dog who keeps everyone smiling. Beneath all that spunk is a sweet, affectionate boy who just wants to be loved and part of the fun. If you‚Äôre looking for an energetic, happy companion who can turn any day into an adventure, Deebo is your guy!</v>
      </c>
    </row>
    <row r="30" spans="1:35" x14ac:dyDescent="0.2">
      <c r="A30">
        <v>45968241</v>
      </c>
      <c r="B30" t="s">
        <v>367</v>
      </c>
      <c r="C30" t="s">
        <v>368</v>
      </c>
      <c r="D30" t="s">
        <v>1101</v>
      </c>
      <c r="E30">
        <v>1</v>
      </c>
      <c r="F30" t="s">
        <v>2165</v>
      </c>
      <c r="G30" t="s">
        <v>1747</v>
      </c>
      <c r="H30">
        <v>45950</v>
      </c>
      <c r="I30">
        <v>56</v>
      </c>
      <c r="J30" s="54">
        <v>458</v>
      </c>
      <c r="K30" s="55">
        <v>1109</v>
      </c>
      <c r="L30" s="55">
        <v>1109</v>
      </c>
      <c r="M30" s="54">
        <v>72</v>
      </c>
      <c r="N30" s="54">
        <v>341</v>
      </c>
      <c r="O30" s="54">
        <v>341</v>
      </c>
      <c r="P30" s="5">
        <v>0.157</v>
      </c>
      <c r="Q30" t="str">
        <f>INDEX('Adopt-a-Pet.com  December 1'!$A$1:$AE$857,MATCH('Final Data'!$B30,'Adopt-a-Pet.com  December 1'!$B:$B,0),MATCH('Final Data'!Q$1,'Adopt-a-Pet.com  December 1'!$1:$1,0))</f>
        <v>adopted</v>
      </c>
      <c r="R30">
        <f>INDEX('Adopt-a-Pet.com  December 1'!$A$1:$AE$857,MATCH('Final Data'!$B30,'Adopt-a-Pet.com  December 1'!$B:$B,0),MATCH('Final Data'!R$1,'Adopt-a-Pet.com  December 1'!$1:$1,0))</f>
        <v>45927</v>
      </c>
      <c r="S30">
        <f>INDEX('Adopt-a-Pet.com  December 1'!$A$1:$AE$857,MATCH('Final Data'!$B30,'Adopt-a-Pet.com  December 1'!$B:$B,0),MATCH('Final Data'!S$1,'Adopt-a-Pet.com  December 1'!$1:$1,0))</f>
        <v>45978</v>
      </c>
      <c r="T30" t="str">
        <f>INDEX('Adopt-a-Pet.com  December 1'!$A$1:$AE$857,MATCH('Final Data'!$B30,'Adopt-a-Pet.com  December 1'!$B:$B,0),MATCH('Final Data'!T$1,'Adopt-a-Pet.com  December 1'!$1:$1,0))</f>
        <v>Australian Shepherd</v>
      </c>
      <c r="U30" t="str">
        <f>INDEX('Adopt-a-Pet.com  December 1'!$A$1:$AE$857,MATCH('Final Data'!$B30,'Adopt-a-Pet.com  December 1'!$B:$B,0),MATCH('Final Data'!U$1,'Adopt-a-Pet.com  December 1'!$1:$1,0))</f>
        <v>Golden Retriever</v>
      </c>
      <c r="V30" t="str">
        <f>INDEX('Adopt-a-Pet.com  December 1'!$A$1:$AE$857,MATCH('Final Data'!$B30,'Adopt-a-Pet.com  December 1'!$B:$B,0),MATCH('Final Data'!V$1,'Adopt-a-Pet.com  December 1'!$1:$1,0))</f>
        <v>Tan/Yellow/Fawn</v>
      </c>
      <c r="W30" t="str">
        <f>INDEX('Adopt-a-Pet.com  December 1'!$A$1:$AE$857,MATCH('Final Data'!$B30,'Adopt-a-Pet.com  December 1'!$B:$B,0),MATCH('Final Data'!W$1,'Adopt-a-Pet.com  December 1'!$1:$1,0))</f>
        <v>male</v>
      </c>
      <c r="X30" t="str">
        <f>INDEX('Adopt-a-Pet.com  December 1'!$A$1:$AE$857,MATCH('Final Data'!$B30,'Adopt-a-Pet.com  December 1'!$B:$B,0),MATCH('Final Data'!X$1,'Adopt-a-Pet.com  December 1'!$1:$1,0))</f>
        <v>young</v>
      </c>
      <c r="Y30" t="str">
        <f>INDEX('Adopt-a-Pet.com  December 1'!$A$1:$AE$857,MATCH('Final Data'!$B30,'Adopt-a-Pet.com  December 1'!$B:$B,0),MATCH('Final Data'!Y$1,'Adopt-a-Pet.com  December 1'!$1:$1,0))</f>
        <v>Med. 26-60 lbs (12-27 kg)</v>
      </c>
      <c r="Z30">
        <f>INDEX('Adopt-a-Pet.com  December 1'!$A$1:$AE$857,MATCH('Final Data'!$B30,'Adopt-a-Pet.com  December 1'!$B:$B,0),MATCH('Final Data'!Z$1,'Adopt-a-Pet.com  December 1'!$1:$1,0))</f>
        <v>0</v>
      </c>
      <c r="AA30" t="str">
        <f>INDEX('Adopt-a-Pet.com  December 1'!$A$1:$AE$857,MATCH('Final Data'!$B30,'Adopt-a-Pet.com  December 1'!$B:$B,0),MATCH('Final Data'!AA$1,'Adopt-a-Pet.com  December 1'!$1:$1,0))</f>
        <v>Yes</v>
      </c>
      <c r="AB30" t="str">
        <f>INDEX('Adopt-a-Pet.com  December 1'!$A$1:$AE$857,MATCH('Final Data'!$B30,'Adopt-a-Pet.com  December 1'!$B:$B,0),MATCH('Final Data'!AB$1,'Adopt-a-Pet.com  December 1'!$1:$1,0))</f>
        <v>Yes</v>
      </c>
      <c r="AC30" t="str">
        <f>INDEX('Adopt-a-Pet.com  December 1'!$A$1:$AE$857,MATCH('Final Data'!$B30,'Adopt-a-Pet.com  December 1'!$B:$B,0),MATCH('Final Data'!AC$1,'Adopt-a-Pet.com  December 1'!$1:$1,0))</f>
        <v>Yes</v>
      </c>
      <c r="AD30" t="str">
        <f>INDEX('Adopt-a-Pet.com  December 1'!$A$1:$AE$857,MATCH('Final Data'!$B30,'Adopt-a-Pet.com  December 1'!$B:$B,0),MATCH('Final Data'!AD$1,'Adopt-a-Pet.com  December 1'!$1:$1,0))</f>
        <v>No</v>
      </c>
      <c r="AE30" t="str">
        <f>INDEX('Adopt-a-Pet.com  December 1'!$A$1:$AE$857,MATCH('Final Data'!$B30,'Adopt-a-Pet.com  December 1'!$B:$B,0),MATCH('Final Data'!AE$1,'Adopt-a-Pet.com  December 1'!$1:$1,0))</f>
        <v>No</v>
      </c>
      <c r="AF30" t="str">
        <f>INDEX('Adopt-a-Pet.com  December 1'!$A$1:$AE$857,MATCH('Final Data'!$B30,'Adopt-a-Pet.com  December 1'!$B:$B,0),MATCH('Final Data'!AF$1,'Adopt-a-Pet.com  December 1'!$1:$1,0))</f>
        <v>Yes</v>
      </c>
      <c r="AG30" t="str">
        <f>INDEX('Adopt-a-Pet.com  December 1'!$A$1:$AE$857,MATCH('Final Data'!$B30,'Adopt-a-Pet.com  December 1'!$B:$B,0),MATCH('Final Data'!AG$1,'Adopt-a-Pet.com  December 1'!$1:$1,0))</f>
        <v>Yes</v>
      </c>
      <c r="AH30" t="str">
        <f>INDEX('Adopt-a-Pet.com  December 1'!$A$1:$AE$857,MATCH('Final Data'!$B30,'Adopt-a-Pet.com  December 1'!$B:$B,0),MATCH('Final Data'!AH$1,'Adopt-a-Pet.com  December 1'!$1:$1,0))</f>
        <v>Unknown</v>
      </c>
      <c r="AI30" t="str">
        <f>INDEX('Adopt-a-Pet.com  December 1'!$A$1:$AE$857,MATCH('Final Data'!$B30,'Adopt-a-Pet.com  December 1'!$B:$B,0),MATCH('Final Data'!AI$1,'Adopt-a-Pet.com  December 1'!$1:$1,0))</f>
        <v>Captain Crunch is as sweet and goofy as his name suggests! This young Aussie/Golden mix has a heart of gold and energy to match. He could spend hours outside chasing toys or basking in the sunshine‚Äîgive him a ball, and he‚Äôs in heaven. Playful yet independent, Captain Crunch loves exploring his surroundings but always comes back for affection and a smile that could melt the Grinch‚Äôs heart. He‚Äôs curious about the world, gentle with people, and happiest when he‚Äôs part of the fun. If you‚Äôre looking for a friendly, easygoing companion who‚Äôs ready for life‚Äôs adventures (and a good game of fetch), Captain Crunch is your guy!</v>
      </c>
    </row>
    <row r="31" spans="1:35" x14ac:dyDescent="0.2">
      <c r="A31">
        <v>45970439</v>
      </c>
      <c r="B31" t="s">
        <v>370</v>
      </c>
      <c r="C31" t="s">
        <v>371</v>
      </c>
      <c r="D31" t="s">
        <v>1101</v>
      </c>
      <c r="E31">
        <v>1</v>
      </c>
      <c r="F31" t="s">
        <v>3092</v>
      </c>
      <c r="G31" t="s">
        <v>1733</v>
      </c>
      <c r="H31">
        <v>45950</v>
      </c>
      <c r="I31">
        <v>55</v>
      </c>
      <c r="J31" s="54">
        <v>284</v>
      </c>
      <c r="K31" s="54">
        <v>630</v>
      </c>
      <c r="L31" s="54">
        <v>630</v>
      </c>
      <c r="M31" s="54">
        <v>15</v>
      </c>
      <c r="N31" s="54">
        <v>60</v>
      </c>
      <c r="O31" s="54">
        <v>60</v>
      </c>
      <c r="P31" s="5">
        <v>5.2999999999999999E-2</v>
      </c>
      <c r="Q31" t="str">
        <f>INDEX('Adopt-a-Pet.com  December 1'!$A$1:$AE$857,MATCH('Final Data'!$B31,'Adopt-a-Pet.com  December 1'!$B:$B,0),MATCH('Final Data'!Q$1,'Adopt-a-Pet.com  December 1'!$1:$1,0))</f>
        <v>available</v>
      </c>
      <c r="R31">
        <f>INDEX('Adopt-a-Pet.com  December 1'!$A$1:$AE$857,MATCH('Final Data'!$B31,'Adopt-a-Pet.com  December 1'!$B:$B,0),MATCH('Final Data'!R$1,'Adopt-a-Pet.com  December 1'!$1:$1,0))</f>
        <v>45927</v>
      </c>
      <c r="S31">
        <f>INDEX('Adopt-a-Pet.com  December 1'!$A$1:$AE$857,MATCH('Final Data'!$B31,'Adopt-a-Pet.com  December 1'!$B:$B,0),MATCH('Final Data'!S$1,'Adopt-a-Pet.com  December 1'!$1:$1,0))</f>
        <v>0</v>
      </c>
      <c r="T31" t="str">
        <f>INDEX('Adopt-a-Pet.com  December 1'!$A$1:$AE$857,MATCH('Final Data'!$B31,'Adopt-a-Pet.com  December 1'!$B:$B,0),MATCH('Final Data'!T$1,'Adopt-a-Pet.com  December 1'!$1:$1,0))</f>
        <v>Black Mouth Cur</v>
      </c>
      <c r="U31" t="str">
        <f>INDEX('Adopt-a-Pet.com  December 1'!$A$1:$AE$857,MATCH('Final Data'!$B31,'Adopt-a-Pet.com  December 1'!$B:$B,0),MATCH('Final Data'!U$1,'Adopt-a-Pet.com  December 1'!$1:$1,0))</f>
        <v>American Staffordshire Terrier</v>
      </c>
      <c r="V31" t="str">
        <f>INDEX('Adopt-a-Pet.com  December 1'!$A$1:$AE$857,MATCH('Final Data'!$B31,'Adopt-a-Pet.com  December 1'!$B:$B,0),MATCH('Final Data'!V$1,'Adopt-a-Pet.com  December 1'!$1:$1,0))</f>
        <v>Tan/Yellow/Fawn - with Black</v>
      </c>
      <c r="W31" t="str">
        <f>INDEX('Adopt-a-Pet.com  December 1'!$A$1:$AE$857,MATCH('Final Data'!$B31,'Adopt-a-Pet.com  December 1'!$B:$B,0),MATCH('Final Data'!W$1,'Adopt-a-Pet.com  December 1'!$1:$1,0))</f>
        <v>male</v>
      </c>
      <c r="X31" t="str">
        <f>INDEX('Adopt-a-Pet.com  December 1'!$A$1:$AE$857,MATCH('Final Data'!$B31,'Adopt-a-Pet.com  December 1'!$B:$B,0),MATCH('Final Data'!X$1,'Adopt-a-Pet.com  December 1'!$1:$1,0))</f>
        <v>young</v>
      </c>
      <c r="Y31" t="str">
        <f>INDEX('Adopt-a-Pet.com  December 1'!$A$1:$AE$857,MATCH('Final Data'!$B31,'Adopt-a-Pet.com  December 1'!$B:$B,0),MATCH('Final Data'!Y$1,'Adopt-a-Pet.com  December 1'!$1:$1,0))</f>
        <v>Med. 26-60 lbs (12-27 kg)</v>
      </c>
      <c r="Z31">
        <f>INDEX('Adopt-a-Pet.com  December 1'!$A$1:$AE$857,MATCH('Final Data'!$B31,'Adopt-a-Pet.com  December 1'!$B:$B,0),MATCH('Final Data'!Z$1,'Adopt-a-Pet.com  December 1'!$1:$1,0))</f>
        <v>0</v>
      </c>
      <c r="AA31" t="str">
        <f>INDEX('Adopt-a-Pet.com  December 1'!$A$1:$AE$857,MATCH('Final Data'!$B31,'Adopt-a-Pet.com  December 1'!$B:$B,0),MATCH('Final Data'!AA$1,'Adopt-a-Pet.com  December 1'!$1:$1,0))</f>
        <v>Yes</v>
      </c>
      <c r="AB31" t="str">
        <f>INDEX('Adopt-a-Pet.com  December 1'!$A$1:$AE$857,MATCH('Final Data'!$B31,'Adopt-a-Pet.com  December 1'!$B:$B,0),MATCH('Final Data'!AB$1,'Adopt-a-Pet.com  December 1'!$1:$1,0))</f>
        <v>Yes</v>
      </c>
      <c r="AC31" t="str">
        <f>INDEX('Adopt-a-Pet.com  December 1'!$A$1:$AE$857,MATCH('Final Data'!$B31,'Adopt-a-Pet.com  December 1'!$B:$B,0),MATCH('Final Data'!AC$1,'Adopt-a-Pet.com  December 1'!$1:$1,0))</f>
        <v>Yes</v>
      </c>
      <c r="AD31" t="str">
        <f>INDEX('Adopt-a-Pet.com  December 1'!$A$1:$AE$857,MATCH('Final Data'!$B31,'Adopt-a-Pet.com  December 1'!$B:$B,0),MATCH('Final Data'!AD$1,'Adopt-a-Pet.com  December 1'!$1:$1,0))</f>
        <v>No</v>
      </c>
      <c r="AE31" t="str">
        <f>INDEX('Adopt-a-Pet.com  December 1'!$A$1:$AE$857,MATCH('Final Data'!$B31,'Adopt-a-Pet.com  December 1'!$B:$B,0),MATCH('Final Data'!AE$1,'Adopt-a-Pet.com  December 1'!$1:$1,0))</f>
        <v>No</v>
      </c>
      <c r="AF31" t="str">
        <f>INDEX('Adopt-a-Pet.com  December 1'!$A$1:$AE$857,MATCH('Final Data'!$B31,'Adopt-a-Pet.com  December 1'!$B:$B,0),MATCH('Final Data'!AF$1,'Adopt-a-Pet.com  December 1'!$1:$1,0))</f>
        <v>Yes</v>
      </c>
      <c r="AG31" t="str">
        <f>INDEX('Adopt-a-Pet.com  December 1'!$A$1:$AE$857,MATCH('Final Data'!$B31,'Adopt-a-Pet.com  December 1'!$B:$B,0),MATCH('Final Data'!AG$1,'Adopt-a-Pet.com  December 1'!$1:$1,0))</f>
        <v>Yes</v>
      </c>
      <c r="AH31" t="str">
        <f>INDEX('Adopt-a-Pet.com  December 1'!$A$1:$AE$857,MATCH('Final Data'!$B31,'Adopt-a-Pet.com  December 1'!$B:$B,0),MATCH('Final Data'!AH$1,'Adopt-a-Pet.com  December 1'!$1:$1,0))</f>
        <v>Unknown</v>
      </c>
      <c r="AI31" t="str">
        <f>INDEX('Adopt-a-Pet.com  December 1'!$A$1:$AE$857,MATCH('Final Data'!$B31,'Adopt-a-Pet.com  December 1'!$B:$B,0),MATCH('Final Data'!AI$1,'Adopt-a-Pet.com  December 1'!$1:$1,0))</f>
        <v>Cheech is a happy, playful pup who‚Äôs always ready for adventure! This tan-and-black Black Mouth Cur/Staffy mix is bursting with energy and joy. He loves walks, playtime, and exploring the world around him‚Äîhis tail never stops wagging when he‚Äôs out and about. Cheech‚Äôs friendly, social nature makes him a hit with everyone he meets, and his sweet personality shines through in everything he does. He‚Äôs the perfect mix of fun and affection, always ready for a game or a good cuddle after a busy day. If you‚Äôre looking for a loyal, energetic companion who‚Äôll keep you smiling and moving, Cheech is your guy!</v>
      </c>
    </row>
    <row r="32" spans="1:35" x14ac:dyDescent="0.2">
      <c r="A32">
        <v>45968065</v>
      </c>
      <c r="B32" t="s">
        <v>377</v>
      </c>
      <c r="C32" t="s">
        <v>378</v>
      </c>
      <c r="D32" t="s">
        <v>1100</v>
      </c>
      <c r="E32">
        <v>1</v>
      </c>
      <c r="F32" t="s">
        <v>3075</v>
      </c>
      <c r="G32" t="s">
        <v>1735</v>
      </c>
      <c r="H32">
        <v>45950</v>
      </c>
      <c r="I32">
        <v>62.1</v>
      </c>
      <c r="J32" s="54">
        <v>432</v>
      </c>
      <c r="K32" s="54">
        <v>972</v>
      </c>
      <c r="L32" s="54">
        <v>972</v>
      </c>
      <c r="M32" s="54">
        <v>6</v>
      </c>
      <c r="N32" s="54">
        <v>64</v>
      </c>
      <c r="O32" s="54">
        <v>64</v>
      </c>
      <c r="P32" s="5">
        <v>1.4E-2</v>
      </c>
      <c r="Q32" t="str">
        <f>INDEX('Adopt-a-Pet.com  December 1'!$A$1:$AE$857,MATCH('Final Data'!$B32,'Adopt-a-Pet.com  December 1'!$B:$B,0),MATCH('Final Data'!Q$1,'Adopt-a-Pet.com  December 1'!$1:$1,0))</f>
        <v>adopted</v>
      </c>
      <c r="R32">
        <f>INDEX('Adopt-a-Pet.com  December 1'!$A$1:$AE$857,MATCH('Final Data'!$B32,'Adopt-a-Pet.com  December 1'!$B:$B,0),MATCH('Final Data'!R$1,'Adopt-a-Pet.com  December 1'!$1:$1,0))</f>
        <v>45927</v>
      </c>
      <c r="S32">
        <f>INDEX('Adopt-a-Pet.com  December 1'!$A$1:$AE$857,MATCH('Final Data'!$B32,'Adopt-a-Pet.com  December 1'!$B:$B,0),MATCH('Final Data'!S$1,'Adopt-a-Pet.com  December 1'!$1:$1,0))</f>
        <v>45980</v>
      </c>
      <c r="T32" t="str">
        <f>INDEX('Adopt-a-Pet.com  December 1'!$A$1:$AE$857,MATCH('Final Data'!$B32,'Adopt-a-Pet.com  December 1'!$B:$B,0),MATCH('Final Data'!T$1,'Adopt-a-Pet.com  December 1'!$1:$1,0))</f>
        <v>American Pit Bull Terrier</v>
      </c>
      <c r="U32" t="str">
        <f>INDEX('Adopt-a-Pet.com  December 1'!$A$1:$AE$857,MATCH('Final Data'!$B32,'Adopt-a-Pet.com  December 1'!$B:$B,0),MATCH('Final Data'!U$1,'Adopt-a-Pet.com  December 1'!$1:$1,0))</f>
        <v>Labrador Retriever</v>
      </c>
      <c r="V32" t="str">
        <f>INDEX('Adopt-a-Pet.com  December 1'!$A$1:$AE$857,MATCH('Final Data'!$B32,'Adopt-a-Pet.com  December 1'!$B:$B,0),MATCH('Final Data'!V$1,'Adopt-a-Pet.com  December 1'!$1:$1,0))</f>
        <v>White - with Tan, Yellow or Fawn</v>
      </c>
      <c r="W32" t="str">
        <f>INDEX('Adopt-a-Pet.com  December 1'!$A$1:$AE$857,MATCH('Final Data'!$B32,'Adopt-a-Pet.com  December 1'!$B:$B,0),MATCH('Final Data'!W$1,'Adopt-a-Pet.com  December 1'!$1:$1,0))</f>
        <v>female</v>
      </c>
      <c r="X32" t="str">
        <f>INDEX('Adopt-a-Pet.com  December 1'!$A$1:$AE$857,MATCH('Final Data'!$B32,'Adopt-a-Pet.com  December 1'!$B:$B,0),MATCH('Final Data'!X$1,'Adopt-a-Pet.com  December 1'!$1:$1,0))</f>
        <v>young</v>
      </c>
      <c r="Y32" t="str">
        <f>INDEX('Adopt-a-Pet.com  December 1'!$A$1:$AE$857,MATCH('Final Data'!$B32,'Adopt-a-Pet.com  December 1'!$B:$B,0),MATCH('Final Data'!Y$1,'Adopt-a-Pet.com  December 1'!$1:$1,0))</f>
        <v>Med. 26-60 lbs (12-27 kg)</v>
      </c>
      <c r="Z32">
        <f>INDEX('Adopt-a-Pet.com  December 1'!$A$1:$AE$857,MATCH('Final Data'!$B32,'Adopt-a-Pet.com  December 1'!$B:$B,0),MATCH('Final Data'!Z$1,'Adopt-a-Pet.com  December 1'!$1:$1,0))</f>
        <v>0</v>
      </c>
      <c r="AA32" t="str">
        <f>INDEX('Adopt-a-Pet.com  December 1'!$A$1:$AE$857,MATCH('Final Data'!$B32,'Adopt-a-Pet.com  December 1'!$B:$B,0),MATCH('Final Data'!AA$1,'Adopt-a-Pet.com  December 1'!$1:$1,0))</f>
        <v>Yes</v>
      </c>
      <c r="AB32" t="str">
        <f>INDEX('Adopt-a-Pet.com  December 1'!$A$1:$AE$857,MATCH('Final Data'!$B32,'Adopt-a-Pet.com  December 1'!$B:$B,0),MATCH('Final Data'!AB$1,'Adopt-a-Pet.com  December 1'!$1:$1,0))</f>
        <v>Yes</v>
      </c>
      <c r="AC32" t="str">
        <f>INDEX('Adopt-a-Pet.com  December 1'!$A$1:$AE$857,MATCH('Final Data'!$B32,'Adopt-a-Pet.com  December 1'!$B:$B,0),MATCH('Final Data'!AC$1,'Adopt-a-Pet.com  December 1'!$1:$1,0))</f>
        <v>Yes</v>
      </c>
      <c r="AD32" t="str">
        <f>INDEX('Adopt-a-Pet.com  December 1'!$A$1:$AE$857,MATCH('Final Data'!$B32,'Adopt-a-Pet.com  December 1'!$B:$B,0),MATCH('Final Data'!AD$1,'Adopt-a-Pet.com  December 1'!$1:$1,0))</f>
        <v>No</v>
      </c>
      <c r="AE32" t="str">
        <f>INDEX('Adopt-a-Pet.com  December 1'!$A$1:$AE$857,MATCH('Final Data'!$B32,'Adopt-a-Pet.com  December 1'!$B:$B,0),MATCH('Final Data'!AE$1,'Adopt-a-Pet.com  December 1'!$1:$1,0))</f>
        <v>No</v>
      </c>
      <c r="AF32" t="str">
        <f>INDEX('Adopt-a-Pet.com  December 1'!$A$1:$AE$857,MATCH('Final Data'!$B32,'Adopt-a-Pet.com  December 1'!$B:$B,0),MATCH('Final Data'!AF$1,'Adopt-a-Pet.com  December 1'!$1:$1,0))</f>
        <v>Yes</v>
      </c>
      <c r="AG32" t="str">
        <f>INDEX('Adopt-a-Pet.com  December 1'!$A$1:$AE$857,MATCH('Final Data'!$B32,'Adopt-a-Pet.com  December 1'!$B:$B,0),MATCH('Final Data'!AG$1,'Adopt-a-Pet.com  December 1'!$1:$1,0))</f>
        <v>Yes</v>
      </c>
      <c r="AH32" t="str">
        <f>INDEX('Adopt-a-Pet.com  December 1'!$A$1:$AE$857,MATCH('Final Data'!$B32,'Adopt-a-Pet.com  December 1'!$B:$B,0),MATCH('Final Data'!AH$1,'Adopt-a-Pet.com  December 1'!$1:$1,0))</f>
        <v>Unknown</v>
      </c>
      <c r="AI32" t="str">
        <f>INDEX('Adopt-a-Pet.com  December 1'!$A$1:$AE$857,MATCH('Final Data'!$B32,'Adopt-a-Pet.com  December 1'!$B:$B,0),MATCH('Final Data'!AI$1,'Adopt-a-Pet.com  December 1'!$1:$1,0))</f>
        <v>Claudia is as beautiful as she is sweet‚Äîa playful, puppy-hearted girl who‚Äôs full of love! This white-and-tan Pittie/Lab mix is gentle, cuddly, and always ready to brighten your day. She adores playtime, whether it‚Äôs romping around the yard or chasing her favorite toy, but she‚Äôs just as happy curling up close for snuggles. Claudia has that irresistible mix of youthful energy and soft affection that makes her the perfect companion for both fun adventures and cozy nights in. If you‚Äôre looking for a loving, playful pup who brings joy wherever she goes, Claudia is ready to steal your heart.</v>
      </c>
    </row>
    <row r="33" spans="1:35" x14ac:dyDescent="0.2">
      <c r="A33">
        <v>45970275</v>
      </c>
      <c r="B33" t="s">
        <v>383</v>
      </c>
      <c r="C33" t="s">
        <v>384</v>
      </c>
      <c r="D33" t="s">
        <v>1101</v>
      </c>
      <c r="E33">
        <v>0</v>
      </c>
      <c r="F33" t="s">
        <v>2168</v>
      </c>
      <c r="I33">
        <v>37.9</v>
      </c>
      <c r="J33" s="54">
        <v>500</v>
      </c>
      <c r="K33" s="55">
        <v>1100</v>
      </c>
      <c r="L33" s="55">
        <v>1100</v>
      </c>
      <c r="M33" s="54">
        <v>25</v>
      </c>
      <c r="N33" s="54">
        <v>154</v>
      </c>
      <c r="O33" s="54">
        <v>154</v>
      </c>
      <c r="P33" s="5">
        <v>0.05</v>
      </c>
      <c r="Q33" t="str">
        <f>INDEX('Adopt-a-Pet.com  December 1'!$A$1:$AE$857,MATCH('Final Data'!$B33,'Adopt-a-Pet.com  December 1'!$B:$B,0),MATCH('Final Data'!Q$1,'Adopt-a-Pet.com  December 1'!$1:$1,0))</f>
        <v>adopted</v>
      </c>
      <c r="R33">
        <f>INDEX('Adopt-a-Pet.com  December 1'!$A$1:$AE$857,MATCH('Final Data'!$B33,'Adopt-a-Pet.com  December 1'!$B:$B,0),MATCH('Final Data'!R$1,'Adopt-a-Pet.com  December 1'!$1:$1,0))</f>
        <v>45927</v>
      </c>
      <c r="S33">
        <f>INDEX('Adopt-a-Pet.com  December 1'!$A$1:$AE$857,MATCH('Final Data'!$B33,'Adopt-a-Pet.com  December 1'!$B:$B,0),MATCH('Final Data'!S$1,'Adopt-a-Pet.com  December 1'!$1:$1,0))</f>
        <v>45963</v>
      </c>
      <c r="T33" t="str">
        <f>INDEX('Adopt-a-Pet.com  December 1'!$A$1:$AE$857,MATCH('Final Data'!$B33,'Adopt-a-Pet.com  December 1'!$B:$B,0),MATCH('Final Data'!T$1,'Adopt-a-Pet.com  December 1'!$1:$1,0))</f>
        <v>Black Mouth Cur</v>
      </c>
      <c r="U33" t="str">
        <f>INDEX('Adopt-a-Pet.com  December 1'!$A$1:$AE$857,MATCH('Final Data'!$B33,'Adopt-a-Pet.com  December 1'!$B:$B,0),MATCH('Final Data'!U$1,'Adopt-a-Pet.com  December 1'!$1:$1,0))</f>
        <v>Rhodesian Ridgeback</v>
      </c>
      <c r="V33" t="str">
        <f>INDEX('Adopt-a-Pet.com  December 1'!$A$1:$AE$857,MATCH('Final Data'!$B33,'Adopt-a-Pet.com  December 1'!$B:$B,0),MATCH('Final Data'!V$1,'Adopt-a-Pet.com  December 1'!$1:$1,0))</f>
        <v>Tan/Yellow/Fawn - with Black</v>
      </c>
      <c r="W33" t="str">
        <f>INDEX('Adopt-a-Pet.com  December 1'!$A$1:$AE$857,MATCH('Final Data'!$B33,'Adopt-a-Pet.com  December 1'!$B:$B,0),MATCH('Final Data'!W$1,'Adopt-a-Pet.com  December 1'!$1:$1,0))</f>
        <v>male</v>
      </c>
      <c r="X33" t="str">
        <f>INDEX('Adopt-a-Pet.com  December 1'!$A$1:$AE$857,MATCH('Final Data'!$B33,'Adopt-a-Pet.com  December 1'!$B:$B,0),MATCH('Final Data'!X$1,'Adopt-a-Pet.com  December 1'!$1:$1,0))</f>
        <v>puppy</v>
      </c>
      <c r="Y33" t="str">
        <f>INDEX('Adopt-a-Pet.com  December 1'!$A$1:$AE$857,MATCH('Final Data'!$B33,'Adopt-a-Pet.com  December 1'!$B:$B,0),MATCH('Final Data'!Y$1,'Adopt-a-Pet.com  December 1'!$1:$1,0))</f>
        <v>Med. 26-60 lbs (12-27 kg)</v>
      </c>
      <c r="Z33">
        <f>INDEX('Adopt-a-Pet.com  December 1'!$A$1:$AE$857,MATCH('Final Data'!$B33,'Adopt-a-Pet.com  December 1'!$B:$B,0),MATCH('Final Data'!Z$1,'Adopt-a-Pet.com  December 1'!$1:$1,0))</f>
        <v>0</v>
      </c>
      <c r="AA33" t="str">
        <f>INDEX('Adopt-a-Pet.com  December 1'!$A$1:$AE$857,MATCH('Final Data'!$B33,'Adopt-a-Pet.com  December 1'!$B:$B,0),MATCH('Final Data'!AA$1,'Adopt-a-Pet.com  December 1'!$1:$1,0))</f>
        <v>Yes</v>
      </c>
      <c r="AB33" t="str">
        <f>INDEX('Adopt-a-Pet.com  December 1'!$A$1:$AE$857,MATCH('Final Data'!$B33,'Adopt-a-Pet.com  December 1'!$B:$B,0),MATCH('Final Data'!AB$1,'Adopt-a-Pet.com  December 1'!$1:$1,0))</f>
        <v>Yes</v>
      </c>
      <c r="AC33" t="str">
        <f>INDEX('Adopt-a-Pet.com  December 1'!$A$1:$AE$857,MATCH('Final Data'!$B33,'Adopt-a-Pet.com  December 1'!$B:$B,0),MATCH('Final Data'!AC$1,'Adopt-a-Pet.com  December 1'!$1:$1,0))</f>
        <v>Yes</v>
      </c>
      <c r="AD33" t="str">
        <f>INDEX('Adopt-a-Pet.com  December 1'!$A$1:$AE$857,MATCH('Final Data'!$B33,'Adopt-a-Pet.com  December 1'!$B:$B,0),MATCH('Final Data'!AD$1,'Adopt-a-Pet.com  December 1'!$1:$1,0))</f>
        <v>No</v>
      </c>
      <c r="AE33" t="str">
        <f>INDEX('Adopt-a-Pet.com  December 1'!$A$1:$AE$857,MATCH('Final Data'!$B33,'Adopt-a-Pet.com  December 1'!$B:$B,0),MATCH('Final Data'!AE$1,'Adopt-a-Pet.com  December 1'!$1:$1,0))</f>
        <v>No</v>
      </c>
      <c r="AF33" t="str">
        <f>INDEX('Adopt-a-Pet.com  December 1'!$A$1:$AE$857,MATCH('Final Data'!$B33,'Adopt-a-Pet.com  December 1'!$B:$B,0),MATCH('Final Data'!AF$1,'Adopt-a-Pet.com  December 1'!$1:$1,0))</f>
        <v>Yes</v>
      </c>
      <c r="AG33" t="str">
        <f>INDEX('Adopt-a-Pet.com  December 1'!$A$1:$AE$857,MATCH('Final Data'!$B33,'Adopt-a-Pet.com  December 1'!$B:$B,0),MATCH('Final Data'!AG$1,'Adopt-a-Pet.com  December 1'!$1:$1,0))</f>
        <v>Yes</v>
      </c>
      <c r="AH33" t="str">
        <f>INDEX('Adopt-a-Pet.com  December 1'!$A$1:$AE$857,MATCH('Final Data'!$B33,'Adopt-a-Pet.com  December 1'!$B:$B,0),MATCH('Final Data'!AH$1,'Adopt-a-Pet.com  December 1'!$1:$1,0))</f>
        <v>Yes</v>
      </c>
      <c r="AI33">
        <f>INDEX('Adopt-a-Pet.com  December 1'!$A$1:$AE$857,MATCH('Final Data'!$B33,'Adopt-a-Pet.com  December 1'!$B:$B,0),MATCH('Final Data'!AI$1,'Adopt-a-Pet.com  December 1'!$1:$1,0))</f>
        <v>0</v>
      </c>
    </row>
    <row r="34" spans="1:35" x14ac:dyDescent="0.2">
      <c r="A34">
        <v>45968028</v>
      </c>
      <c r="B34" t="s">
        <v>387</v>
      </c>
      <c r="C34" t="s">
        <v>388</v>
      </c>
      <c r="D34" t="s">
        <v>1101</v>
      </c>
      <c r="E34">
        <v>0</v>
      </c>
      <c r="F34" t="s">
        <v>3092</v>
      </c>
      <c r="I34">
        <v>94.9</v>
      </c>
      <c r="J34" s="54">
        <v>230</v>
      </c>
      <c r="K34" s="54">
        <v>478</v>
      </c>
      <c r="L34" s="54">
        <v>478</v>
      </c>
      <c r="M34" s="54">
        <v>2</v>
      </c>
      <c r="N34" s="54">
        <v>24</v>
      </c>
      <c r="O34" s="54">
        <v>24</v>
      </c>
      <c r="P34" s="5">
        <v>8.9999999999999993E-3</v>
      </c>
      <c r="Q34" t="str">
        <f>INDEX('Adopt-a-Pet.com  December 1'!$A$1:$AE$857,MATCH('Final Data'!$B34,'Adopt-a-Pet.com  December 1'!$B:$B,0),MATCH('Final Data'!Q$1,'Adopt-a-Pet.com  December 1'!$1:$1,0))</f>
        <v>available</v>
      </c>
      <c r="R34">
        <f>INDEX('Adopt-a-Pet.com  December 1'!$A$1:$AE$857,MATCH('Final Data'!$B34,'Adopt-a-Pet.com  December 1'!$B:$B,0),MATCH('Final Data'!R$1,'Adopt-a-Pet.com  December 1'!$1:$1,0))</f>
        <v>45927</v>
      </c>
      <c r="S34">
        <f>INDEX('Adopt-a-Pet.com  December 1'!$A$1:$AE$857,MATCH('Final Data'!$B34,'Adopt-a-Pet.com  December 1'!$B:$B,0),MATCH('Final Data'!S$1,'Adopt-a-Pet.com  December 1'!$1:$1,0))</f>
        <v>0</v>
      </c>
      <c r="T34" t="str">
        <f>INDEX('Adopt-a-Pet.com  December 1'!$A$1:$AE$857,MATCH('Final Data'!$B34,'Adopt-a-Pet.com  December 1'!$B:$B,0),MATCH('Final Data'!T$1,'Adopt-a-Pet.com  December 1'!$1:$1,0))</f>
        <v>Shepherd (Unknown Type)</v>
      </c>
      <c r="U34">
        <f>INDEX('Adopt-a-Pet.com  December 1'!$A$1:$AE$857,MATCH('Final Data'!$B34,'Adopt-a-Pet.com  December 1'!$B:$B,0),MATCH('Final Data'!U$1,'Adopt-a-Pet.com  December 1'!$1:$1,0))</f>
        <v>0</v>
      </c>
      <c r="V34" t="str">
        <f>INDEX('Adopt-a-Pet.com  December 1'!$A$1:$AE$857,MATCH('Final Data'!$B34,'Adopt-a-Pet.com  December 1'!$B:$B,0),MATCH('Final Data'!V$1,'Adopt-a-Pet.com  December 1'!$1:$1,0))</f>
        <v>Black - with Tan, Yellow or Fawn</v>
      </c>
      <c r="W34" t="str">
        <f>INDEX('Adopt-a-Pet.com  December 1'!$A$1:$AE$857,MATCH('Final Data'!$B34,'Adopt-a-Pet.com  December 1'!$B:$B,0),MATCH('Final Data'!W$1,'Adopt-a-Pet.com  December 1'!$1:$1,0))</f>
        <v>female</v>
      </c>
      <c r="X34" t="str">
        <f>INDEX('Adopt-a-Pet.com  December 1'!$A$1:$AE$857,MATCH('Final Data'!$B34,'Adopt-a-Pet.com  December 1'!$B:$B,0),MATCH('Final Data'!X$1,'Adopt-a-Pet.com  December 1'!$1:$1,0))</f>
        <v>adult</v>
      </c>
      <c r="Y34" t="str">
        <f>INDEX('Adopt-a-Pet.com  December 1'!$A$1:$AE$857,MATCH('Final Data'!$B34,'Adopt-a-Pet.com  December 1'!$B:$B,0),MATCH('Final Data'!Y$1,'Adopt-a-Pet.com  December 1'!$1:$1,0))</f>
        <v>Med. 26-60 lbs (12-27 kg)</v>
      </c>
      <c r="Z34">
        <f>INDEX('Adopt-a-Pet.com  December 1'!$A$1:$AE$857,MATCH('Final Data'!$B34,'Adopt-a-Pet.com  December 1'!$B:$B,0),MATCH('Final Data'!Z$1,'Adopt-a-Pet.com  December 1'!$1:$1,0))</f>
        <v>0</v>
      </c>
      <c r="AA34" t="str">
        <f>INDEX('Adopt-a-Pet.com  December 1'!$A$1:$AE$857,MATCH('Final Data'!$B34,'Adopt-a-Pet.com  December 1'!$B:$B,0),MATCH('Final Data'!AA$1,'Adopt-a-Pet.com  December 1'!$1:$1,0))</f>
        <v>Yes</v>
      </c>
      <c r="AB34" t="str">
        <f>INDEX('Adopt-a-Pet.com  December 1'!$A$1:$AE$857,MATCH('Final Data'!$B34,'Adopt-a-Pet.com  December 1'!$B:$B,0),MATCH('Final Data'!AB$1,'Adopt-a-Pet.com  December 1'!$1:$1,0))</f>
        <v>No</v>
      </c>
      <c r="AC34" t="str">
        <f>INDEX('Adopt-a-Pet.com  December 1'!$A$1:$AE$857,MATCH('Final Data'!$B34,'Adopt-a-Pet.com  December 1'!$B:$B,0),MATCH('Final Data'!AC$1,'Adopt-a-Pet.com  December 1'!$1:$1,0))</f>
        <v>Yes</v>
      </c>
      <c r="AD34" t="str">
        <f>INDEX('Adopt-a-Pet.com  December 1'!$A$1:$AE$857,MATCH('Final Data'!$B34,'Adopt-a-Pet.com  December 1'!$B:$B,0),MATCH('Final Data'!AD$1,'Adopt-a-Pet.com  December 1'!$1:$1,0))</f>
        <v>No</v>
      </c>
      <c r="AE34" t="str">
        <f>INDEX('Adopt-a-Pet.com  December 1'!$A$1:$AE$857,MATCH('Final Data'!$B34,'Adopt-a-Pet.com  December 1'!$B:$B,0),MATCH('Final Data'!AE$1,'Adopt-a-Pet.com  December 1'!$1:$1,0))</f>
        <v>No</v>
      </c>
      <c r="AF34" t="str">
        <f>INDEX('Adopt-a-Pet.com  December 1'!$A$1:$AE$857,MATCH('Final Data'!$B34,'Adopt-a-Pet.com  December 1'!$B:$B,0),MATCH('Final Data'!AF$1,'Adopt-a-Pet.com  December 1'!$1:$1,0))</f>
        <v>Yes</v>
      </c>
      <c r="AG34" t="str">
        <f>INDEX('Adopt-a-Pet.com  December 1'!$A$1:$AE$857,MATCH('Final Data'!$B34,'Adopt-a-Pet.com  December 1'!$B:$B,0),MATCH('Final Data'!AG$1,'Adopt-a-Pet.com  December 1'!$1:$1,0))</f>
        <v>Yes</v>
      </c>
      <c r="AH34" t="str">
        <f>INDEX('Adopt-a-Pet.com  December 1'!$A$1:$AE$857,MATCH('Final Data'!$B34,'Adopt-a-Pet.com  December 1'!$B:$B,0),MATCH('Final Data'!AH$1,'Adopt-a-Pet.com  December 1'!$1:$1,0))</f>
        <v>Unknown</v>
      </c>
      <c r="AI34">
        <f>INDEX('Adopt-a-Pet.com  December 1'!$A$1:$AE$857,MATCH('Final Data'!$B34,'Adopt-a-Pet.com  December 1'!$B:$B,0),MATCH('Final Data'!AI$1,'Adopt-a-Pet.com  December 1'!$1:$1,0))</f>
        <v>0</v>
      </c>
    </row>
    <row r="35" spans="1:35" x14ac:dyDescent="0.2">
      <c r="A35">
        <v>45969286</v>
      </c>
      <c r="B35" t="s">
        <v>395</v>
      </c>
      <c r="C35" t="s">
        <v>396</v>
      </c>
      <c r="D35" t="s">
        <v>1101</v>
      </c>
      <c r="E35">
        <v>0</v>
      </c>
      <c r="F35" t="s">
        <v>3092</v>
      </c>
      <c r="I35">
        <v>27</v>
      </c>
      <c r="J35" s="54">
        <v>247</v>
      </c>
      <c r="K35" s="54">
        <v>521</v>
      </c>
      <c r="L35" s="54">
        <v>521</v>
      </c>
      <c r="M35" s="54">
        <v>12</v>
      </c>
      <c r="N35" s="54">
        <v>101</v>
      </c>
      <c r="O35" s="54">
        <v>101</v>
      </c>
      <c r="P35" s="5">
        <v>4.9000000000000002E-2</v>
      </c>
      <c r="Q35" t="str">
        <f>INDEX('Adopt-a-Pet.com  December 1'!$A$1:$AE$857,MATCH('Final Data'!$B35,'Adopt-a-Pet.com  December 1'!$B:$B,0),MATCH('Final Data'!Q$1,'Adopt-a-Pet.com  December 1'!$1:$1,0))</f>
        <v>available</v>
      </c>
      <c r="R35">
        <f>INDEX('Adopt-a-Pet.com  December 1'!$A$1:$AE$857,MATCH('Final Data'!$B35,'Adopt-a-Pet.com  December 1'!$B:$B,0),MATCH('Final Data'!R$1,'Adopt-a-Pet.com  December 1'!$1:$1,0))</f>
        <v>45927</v>
      </c>
      <c r="S35">
        <f>INDEX('Adopt-a-Pet.com  December 1'!$A$1:$AE$857,MATCH('Final Data'!$B35,'Adopt-a-Pet.com  December 1'!$B:$B,0),MATCH('Final Data'!S$1,'Adopt-a-Pet.com  December 1'!$1:$1,0))</f>
        <v>0</v>
      </c>
      <c r="T35" t="str">
        <f>INDEX('Adopt-a-Pet.com  December 1'!$A$1:$AE$857,MATCH('Final Data'!$B35,'Adopt-a-Pet.com  December 1'!$B:$B,0),MATCH('Final Data'!T$1,'Adopt-a-Pet.com  December 1'!$1:$1,0))</f>
        <v>Australian Cattle Dog</v>
      </c>
      <c r="U35" t="str">
        <f>INDEX('Adopt-a-Pet.com  December 1'!$A$1:$AE$857,MATCH('Final Data'!$B35,'Adopt-a-Pet.com  December 1'!$B:$B,0),MATCH('Final Data'!U$1,'Adopt-a-Pet.com  December 1'!$1:$1,0))</f>
        <v>Blue Heeler</v>
      </c>
      <c r="V35" t="str">
        <f>INDEX('Adopt-a-Pet.com  December 1'!$A$1:$AE$857,MATCH('Final Data'!$B35,'Adopt-a-Pet.com  December 1'!$B:$B,0),MATCH('Final Data'!V$1,'Adopt-a-Pet.com  December 1'!$1:$1,0))</f>
        <v>Red/Golden/Orange/Chestnut - with White</v>
      </c>
      <c r="W35" t="str">
        <f>INDEX('Adopt-a-Pet.com  December 1'!$A$1:$AE$857,MATCH('Final Data'!$B35,'Adopt-a-Pet.com  December 1'!$B:$B,0),MATCH('Final Data'!W$1,'Adopt-a-Pet.com  December 1'!$1:$1,0))</f>
        <v>male</v>
      </c>
      <c r="X35" t="str">
        <f>INDEX('Adopt-a-Pet.com  December 1'!$A$1:$AE$857,MATCH('Final Data'!$B35,'Adopt-a-Pet.com  December 1'!$B:$B,0),MATCH('Final Data'!X$1,'Adopt-a-Pet.com  December 1'!$1:$1,0))</f>
        <v>adult</v>
      </c>
      <c r="Y35" t="str">
        <f>INDEX('Adopt-a-Pet.com  December 1'!$A$1:$AE$857,MATCH('Final Data'!$B35,'Adopt-a-Pet.com  December 1'!$B:$B,0),MATCH('Final Data'!Y$1,'Adopt-a-Pet.com  December 1'!$1:$1,0))</f>
        <v>Med. 26-60 lbs (12-27 kg)</v>
      </c>
      <c r="Z35">
        <f>INDEX('Adopt-a-Pet.com  December 1'!$A$1:$AE$857,MATCH('Final Data'!$B35,'Adopt-a-Pet.com  December 1'!$B:$B,0),MATCH('Final Data'!Z$1,'Adopt-a-Pet.com  December 1'!$1:$1,0))</f>
        <v>0</v>
      </c>
      <c r="AA35" t="str">
        <f>INDEX('Adopt-a-Pet.com  December 1'!$A$1:$AE$857,MATCH('Final Data'!$B35,'Adopt-a-Pet.com  December 1'!$B:$B,0),MATCH('Final Data'!AA$1,'Adopt-a-Pet.com  December 1'!$1:$1,0))</f>
        <v>Yes</v>
      </c>
      <c r="AB35" t="str">
        <f>INDEX('Adopt-a-Pet.com  December 1'!$A$1:$AE$857,MATCH('Final Data'!$B35,'Adopt-a-Pet.com  December 1'!$B:$B,0),MATCH('Final Data'!AB$1,'Adopt-a-Pet.com  December 1'!$1:$1,0))</f>
        <v>Yes</v>
      </c>
      <c r="AC35" t="str">
        <f>INDEX('Adopt-a-Pet.com  December 1'!$A$1:$AE$857,MATCH('Final Data'!$B35,'Adopt-a-Pet.com  December 1'!$B:$B,0),MATCH('Final Data'!AC$1,'Adopt-a-Pet.com  December 1'!$1:$1,0))</f>
        <v>Yes</v>
      </c>
      <c r="AD35" t="str">
        <f>INDEX('Adopt-a-Pet.com  December 1'!$A$1:$AE$857,MATCH('Final Data'!$B35,'Adopt-a-Pet.com  December 1'!$B:$B,0),MATCH('Final Data'!AD$1,'Adopt-a-Pet.com  December 1'!$1:$1,0))</f>
        <v>No</v>
      </c>
      <c r="AE35" t="str">
        <f>INDEX('Adopt-a-Pet.com  December 1'!$A$1:$AE$857,MATCH('Final Data'!$B35,'Adopt-a-Pet.com  December 1'!$B:$B,0),MATCH('Final Data'!AE$1,'Adopt-a-Pet.com  December 1'!$1:$1,0))</f>
        <v>No</v>
      </c>
      <c r="AF35" t="str">
        <f>INDEX('Adopt-a-Pet.com  December 1'!$A$1:$AE$857,MATCH('Final Data'!$B35,'Adopt-a-Pet.com  December 1'!$B:$B,0),MATCH('Final Data'!AF$1,'Adopt-a-Pet.com  December 1'!$1:$1,0))</f>
        <v>Yes</v>
      </c>
      <c r="AG35" t="str">
        <f>INDEX('Adopt-a-Pet.com  December 1'!$A$1:$AE$857,MATCH('Final Data'!$B35,'Adopt-a-Pet.com  December 1'!$B:$B,0),MATCH('Final Data'!AG$1,'Adopt-a-Pet.com  December 1'!$1:$1,0))</f>
        <v>Yes</v>
      </c>
      <c r="AH35" t="str">
        <f>INDEX('Adopt-a-Pet.com  December 1'!$A$1:$AE$857,MATCH('Final Data'!$B35,'Adopt-a-Pet.com  December 1'!$B:$B,0),MATCH('Final Data'!AH$1,'Adopt-a-Pet.com  December 1'!$1:$1,0))</f>
        <v>Unknown</v>
      </c>
      <c r="AI35">
        <f>INDEX('Adopt-a-Pet.com  December 1'!$A$1:$AE$857,MATCH('Final Data'!$B35,'Adopt-a-Pet.com  December 1'!$B:$B,0),MATCH('Final Data'!AI$1,'Adopt-a-Pet.com  December 1'!$1:$1,0))</f>
        <v>0</v>
      </c>
    </row>
    <row r="36" spans="1:35" x14ac:dyDescent="0.2">
      <c r="A36">
        <v>45969536</v>
      </c>
      <c r="B36" t="s">
        <v>400</v>
      </c>
      <c r="C36" t="s">
        <v>1083</v>
      </c>
      <c r="D36" t="s">
        <v>1101</v>
      </c>
      <c r="E36">
        <v>1</v>
      </c>
      <c r="F36" t="s">
        <v>2165</v>
      </c>
      <c r="G36" t="s">
        <v>1741</v>
      </c>
      <c r="H36">
        <v>45950</v>
      </c>
      <c r="I36">
        <v>52.1</v>
      </c>
      <c r="J36" s="54">
        <v>240</v>
      </c>
      <c r="K36" s="54">
        <v>533</v>
      </c>
      <c r="L36" s="54">
        <v>533</v>
      </c>
      <c r="M36" s="54">
        <v>5</v>
      </c>
      <c r="N36" s="54">
        <v>55</v>
      </c>
      <c r="O36" s="54">
        <v>55</v>
      </c>
      <c r="P36" s="5">
        <v>2.1000000000000001E-2</v>
      </c>
      <c r="Q36" t="str">
        <f>INDEX('Adopt-a-Pet.com  December 1'!$A$1:$AE$857,MATCH('Final Data'!$B36,'Adopt-a-Pet.com  December 1'!$B:$B,0),MATCH('Final Data'!Q$1,'Adopt-a-Pet.com  December 1'!$1:$1,0))</f>
        <v>adopted</v>
      </c>
      <c r="R36">
        <f>INDEX('Adopt-a-Pet.com  December 1'!$A$1:$AE$857,MATCH('Final Data'!$B36,'Adopt-a-Pet.com  December 1'!$B:$B,0),MATCH('Final Data'!R$1,'Adopt-a-Pet.com  December 1'!$1:$1,0))</f>
        <v>45927</v>
      </c>
      <c r="S36">
        <f>INDEX('Adopt-a-Pet.com  December 1'!$A$1:$AE$857,MATCH('Final Data'!$B36,'Adopt-a-Pet.com  December 1'!$B:$B,0),MATCH('Final Data'!S$1,'Adopt-a-Pet.com  December 1'!$1:$1,0))</f>
        <v>45963</v>
      </c>
      <c r="T36" t="str">
        <f>INDEX('Adopt-a-Pet.com  December 1'!$A$1:$AE$857,MATCH('Final Data'!$B36,'Adopt-a-Pet.com  December 1'!$B:$B,0),MATCH('Final Data'!T$1,'Adopt-a-Pet.com  December 1'!$1:$1,0))</f>
        <v>American Bulldog</v>
      </c>
      <c r="U36" t="str">
        <f>INDEX('Adopt-a-Pet.com  December 1'!$A$1:$AE$857,MATCH('Final Data'!$B36,'Adopt-a-Pet.com  December 1'!$B:$B,0),MATCH('Final Data'!U$1,'Adopt-a-Pet.com  December 1'!$1:$1,0))</f>
        <v>American Staffordshire Terrier</v>
      </c>
      <c r="V36" t="str">
        <f>INDEX('Adopt-a-Pet.com  December 1'!$A$1:$AE$857,MATCH('Final Data'!$B36,'Adopt-a-Pet.com  December 1'!$B:$B,0),MATCH('Final Data'!V$1,'Adopt-a-Pet.com  December 1'!$1:$1,0))</f>
        <v>Black - with White</v>
      </c>
      <c r="W36" t="str">
        <f>INDEX('Adopt-a-Pet.com  December 1'!$A$1:$AE$857,MATCH('Final Data'!$B36,'Adopt-a-Pet.com  December 1'!$B:$B,0),MATCH('Final Data'!W$1,'Adopt-a-Pet.com  December 1'!$1:$1,0))</f>
        <v>female</v>
      </c>
      <c r="X36" t="str">
        <f>INDEX('Adopt-a-Pet.com  December 1'!$A$1:$AE$857,MATCH('Final Data'!$B36,'Adopt-a-Pet.com  December 1'!$B:$B,0),MATCH('Final Data'!X$1,'Adopt-a-Pet.com  December 1'!$1:$1,0))</f>
        <v>adult</v>
      </c>
      <c r="Y36" t="str">
        <f>INDEX('Adopt-a-Pet.com  December 1'!$A$1:$AE$857,MATCH('Final Data'!$B36,'Adopt-a-Pet.com  December 1'!$B:$B,0),MATCH('Final Data'!Y$1,'Adopt-a-Pet.com  December 1'!$1:$1,0))</f>
        <v>Med. 26-60 lbs (12-27 kg)</v>
      </c>
      <c r="Z36">
        <f>INDEX('Adopt-a-Pet.com  December 1'!$A$1:$AE$857,MATCH('Final Data'!$B36,'Adopt-a-Pet.com  December 1'!$B:$B,0),MATCH('Final Data'!Z$1,'Adopt-a-Pet.com  December 1'!$1:$1,0))</f>
        <v>0</v>
      </c>
      <c r="AA36" t="str">
        <f>INDEX('Adopt-a-Pet.com  December 1'!$A$1:$AE$857,MATCH('Final Data'!$B36,'Adopt-a-Pet.com  December 1'!$B:$B,0),MATCH('Final Data'!AA$1,'Adopt-a-Pet.com  December 1'!$1:$1,0))</f>
        <v>Yes</v>
      </c>
      <c r="AB36" t="str">
        <f>INDEX('Adopt-a-Pet.com  December 1'!$A$1:$AE$857,MATCH('Final Data'!$B36,'Adopt-a-Pet.com  December 1'!$B:$B,0),MATCH('Final Data'!AB$1,'Adopt-a-Pet.com  December 1'!$1:$1,0))</f>
        <v>No</v>
      </c>
      <c r="AC36" t="str">
        <f>INDEX('Adopt-a-Pet.com  December 1'!$A$1:$AE$857,MATCH('Final Data'!$B36,'Adopt-a-Pet.com  December 1'!$B:$B,0),MATCH('Final Data'!AC$1,'Adopt-a-Pet.com  December 1'!$1:$1,0))</f>
        <v>Yes</v>
      </c>
      <c r="AD36" t="str">
        <f>INDEX('Adopt-a-Pet.com  December 1'!$A$1:$AE$857,MATCH('Final Data'!$B36,'Adopt-a-Pet.com  December 1'!$B:$B,0),MATCH('Final Data'!AD$1,'Adopt-a-Pet.com  December 1'!$1:$1,0))</f>
        <v>No</v>
      </c>
      <c r="AE36" t="str">
        <f>INDEX('Adopt-a-Pet.com  December 1'!$A$1:$AE$857,MATCH('Final Data'!$B36,'Adopt-a-Pet.com  December 1'!$B:$B,0),MATCH('Final Data'!AE$1,'Adopt-a-Pet.com  December 1'!$1:$1,0))</f>
        <v>No</v>
      </c>
      <c r="AF36" t="str">
        <f>INDEX('Adopt-a-Pet.com  December 1'!$A$1:$AE$857,MATCH('Final Data'!$B36,'Adopt-a-Pet.com  December 1'!$B:$B,0),MATCH('Final Data'!AF$1,'Adopt-a-Pet.com  December 1'!$1:$1,0))</f>
        <v>Yes</v>
      </c>
      <c r="AG36" t="str">
        <f>INDEX('Adopt-a-Pet.com  December 1'!$A$1:$AE$857,MATCH('Final Data'!$B36,'Adopt-a-Pet.com  December 1'!$B:$B,0),MATCH('Final Data'!AG$1,'Adopt-a-Pet.com  December 1'!$1:$1,0))</f>
        <v>Yes</v>
      </c>
      <c r="AH36" t="str">
        <f>INDEX('Adopt-a-Pet.com  December 1'!$A$1:$AE$857,MATCH('Final Data'!$B36,'Adopt-a-Pet.com  December 1'!$B:$B,0),MATCH('Final Data'!AH$1,'Adopt-a-Pet.com  December 1'!$1:$1,0))</f>
        <v>Unknown</v>
      </c>
      <c r="AI36" t="str">
        <f>INDEX('Adopt-a-Pet.com  December 1'!$A$1:$AE$857,MATCH('Final Data'!$B36,'Adopt-a-Pet.com  December 1'!$B:$B,0),MATCH('Final Data'!AI$1,'Adopt-a-Pet.com  December 1'!$1:$1,0))</f>
        <v>Madre is the definition of calm and caring. This beautiful black-and-white American Bulldog/Staffy mix has a gentle, maternal nature that shines through in everything she does. She‚Äôs patient and nurturing with smaller dogs and puppies, often taking them under her paw. Though mellow and easygoing, Madre still enjoys her playful moments‚Äîespecially when she knows she‚Äôs made her people smile. She‚Äôs sweet, loyal, and full of quiet affection, making her the perfect companion for anyone looking for a loving, steady presence in their home. If you‚Äôre searching for a gentle soul who brings peace (and a few happy tail wags) wherever she goes, Madre is the one for you.</v>
      </c>
    </row>
    <row r="37" spans="1:35" x14ac:dyDescent="0.2">
      <c r="A37">
        <v>45970242</v>
      </c>
      <c r="B37" t="s">
        <v>401</v>
      </c>
      <c r="C37" t="s">
        <v>402</v>
      </c>
      <c r="D37" t="s">
        <v>1101</v>
      </c>
      <c r="E37">
        <v>1</v>
      </c>
      <c r="F37" t="s">
        <v>2168</v>
      </c>
      <c r="J37" s="54">
        <v>500</v>
      </c>
      <c r="K37" s="55">
        <v>1094</v>
      </c>
      <c r="L37" s="55">
        <v>1094</v>
      </c>
      <c r="M37" s="54">
        <v>13</v>
      </c>
      <c r="N37" s="54">
        <v>101</v>
      </c>
      <c r="O37" s="54">
        <v>101</v>
      </c>
      <c r="P37" s="5">
        <v>2.5999999999999999E-2</v>
      </c>
      <c r="Q37" t="str">
        <f>INDEX('Adopt-a-Pet.com  December 1'!$A$1:$AE$857,MATCH('Final Data'!$B37,'Adopt-a-Pet.com  December 1'!$B:$B,0),MATCH('Final Data'!Q$1,'Adopt-a-Pet.com  December 1'!$1:$1,0))</f>
        <v>adopted</v>
      </c>
      <c r="R37">
        <f>INDEX('Adopt-a-Pet.com  December 1'!$A$1:$AE$857,MATCH('Final Data'!$B37,'Adopt-a-Pet.com  December 1'!$B:$B,0),MATCH('Final Data'!R$1,'Adopt-a-Pet.com  December 1'!$1:$1,0))</f>
        <v>45927</v>
      </c>
      <c r="S37">
        <f>INDEX('Adopt-a-Pet.com  December 1'!$A$1:$AE$857,MATCH('Final Data'!$B37,'Adopt-a-Pet.com  December 1'!$B:$B,0),MATCH('Final Data'!S$1,'Adopt-a-Pet.com  December 1'!$1:$1,0))</f>
        <v>45963</v>
      </c>
      <c r="T37" t="str">
        <f>INDEX('Adopt-a-Pet.com  December 1'!$A$1:$AE$857,MATCH('Final Data'!$B37,'Adopt-a-Pet.com  December 1'!$B:$B,0),MATCH('Final Data'!T$1,'Adopt-a-Pet.com  December 1'!$1:$1,0))</f>
        <v>Black Mouth Cur</v>
      </c>
      <c r="U37" t="str">
        <f>INDEX('Adopt-a-Pet.com  December 1'!$A$1:$AE$857,MATCH('Final Data'!$B37,'Adopt-a-Pet.com  December 1'!$B:$B,0),MATCH('Final Data'!U$1,'Adopt-a-Pet.com  December 1'!$1:$1,0))</f>
        <v>Rhodesian Ridgeback</v>
      </c>
      <c r="V37" t="str">
        <f>INDEX('Adopt-a-Pet.com  December 1'!$A$1:$AE$857,MATCH('Final Data'!$B37,'Adopt-a-Pet.com  December 1'!$B:$B,0),MATCH('Final Data'!V$1,'Adopt-a-Pet.com  December 1'!$1:$1,0))</f>
        <v>Tan/Yellow/Fawn - with Black</v>
      </c>
      <c r="W37" t="str">
        <f>INDEX('Adopt-a-Pet.com  December 1'!$A$1:$AE$857,MATCH('Final Data'!$B37,'Adopt-a-Pet.com  December 1'!$B:$B,0),MATCH('Final Data'!W$1,'Adopt-a-Pet.com  December 1'!$1:$1,0))</f>
        <v>male</v>
      </c>
      <c r="X37" t="str">
        <f>INDEX('Adopt-a-Pet.com  December 1'!$A$1:$AE$857,MATCH('Final Data'!$B37,'Adopt-a-Pet.com  December 1'!$B:$B,0),MATCH('Final Data'!X$1,'Adopt-a-Pet.com  December 1'!$1:$1,0))</f>
        <v>puppy</v>
      </c>
      <c r="Y37" t="str">
        <f>INDEX('Adopt-a-Pet.com  December 1'!$A$1:$AE$857,MATCH('Final Data'!$B37,'Adopt-a-Pet.com  December 1'!$B:$B,0),MATCH('Final Data'!Y$1,'Adopt-a-Pet.com  December 1'!$1:$1,0))</f>
        <v>Med. 26-60 lbs (12-27 kg)</v>
      </c>
      <c r="Z37">
        <f>INDEX('Adopt-a-Pet.com  December 1'!$A$1:$AE$857,MATCH('Final Data'!$B37,'Adopt-a-Pet.com  December 1'!$B:$B,0),MATCH('Final Data'!Z$1,'Adopt-a-Pet.com  December 1'!$1:$1,0))</f>
        <v>0</v>
      </c>
      <c r="AA37" t="str">
        <f>INDEX('Adopt-a-Pet.com  December 1'!$A$1:$AE$857,MATCH('Final Data'!$B37,'Adopt-a-Pet.com  December 1'!$B:$B,0),MATCH('Final Data'!AA$1,'Adopt-a-Pet.com  December 1'!$1:$1,0))</f>
        <v>Yes</v>
      </c>
      <c r="AB37" t="str">
        <f>INDEX('Adopt-a-Pet.com  December 1'!$A$1:$AE$857,MATCH('Final Data'!$B37,'Adopt-a-Pet.com  December 1'!$B:$B,0),MATCH('Final Data'!AB$1,'Adopt-a-Pet.com  December 1'!$1:$1,0))</f>
        <v>Yes</v>
      </c>
      <c r="AC37" t="str">
        <f>INDEX('Adopt-a-Pet.com  December 1'!$A$1:$AE$857,MATCH('Final Data'!$B37,'Adopt-a-Pet.com  December 1'!$B:$B,0),MATCH('Final Data'!AC$1,'Adopt-a-Pet.com  December 1'!$1:$1,0))</f>
        <v>Yes</v>
      </c>
      <c r="AD37" t="str">
        <f>INDEX('Adopt-a-Pet.com  December 1'!$A$1:$AE$857,MATCH('Final Data'!$B37,'Adopt-a-Pet.com  December 1'!$B:$B,0),MATCH('Final Data'!AD$1,'Adopt-a-Pet.com  December 1'!$1:$1,0))</f>
        <v>No</v>
      </c>
      <c r="AE37" t="str">
        <f>INDEX('Adopt-a-Pet.com  December 1'!$A$1:$AE$857,MATCH('Final Data'!$B37,'Adopt-a-Pet.com  December 1'!$B:$B,0),MATCH('Final Data'!AE$1,'Adopt-a-Pet.com  December 1'!$1:$1,0))</f>
        <v>No</v>
      </c>
      <c r="AF37" t="str">
        <f>INDEX('Adopt-a-Pet.com  December 1'!$A$1:$AE$857,MATCH('Final Data'!$B37,'Adopt-a-Pet.com  December 1'!$B:$B,0),MATCH('Final Data'!AF$1,'Adopt-a-Pet.com  December 1'!$1:$1,0))</f>
        <v>Yes</v>
      </c>
      <c r="AG37" t="str">
        <f>INDEX('Adopt-a-Pet.com  December 1'!$A$1:$AE$857,MATCH('Final Data'!$B37,'Adopt-a-Pet.com  December 1'!$B:$B,0),MATCH('Final Data'!AG$1,'Adopt-a-Pet.com  December 1'!$1:$1,0))</f>
        <v>Yes</v>
      </c>
      <c r="AH37" t="str">
        <f>INDEX('Adopt-a-Pet.com  December 1'!$A$1:$AE$857,MATCH('Final Data'!$B37,'Adopt-a-Pet.com  December 1'!$B:$B,0),MATCH('Final Data'!AH$1,'Adopt-a-Pet.com  December 1'!$1:$1,0))</f>
        <v>Yes</v>
      </c>
      <c r="AI37">
        <f>INDEX('Adopt-a-Pet.com  December 1'!$A$1:$AE$857,MATCH('Final Data'!$B37,'Adopt-a-Pet.com  December 1'!$B:$B,0),MATCH('Final Data'!AI$1,'Adopt-a-Pet.com  December 1'!$1:$1,0))</f>
        <v>0</v>
      </c>
    </row>
    <row r="38" spans="1:35" x14ac:dyDescent="0.2">
      <c r="A38">
        <v>45969485</v>
      </c>
      <c r="B38" t="s">
        <v>403</v>
      </c>
      <c r="C38" t="s">
        <v>1234</v>
      </c>
      <c r="D38" t="s">
        <v>1100</v>
      </c>
      <c r="E38">
        <v>1</v>
      </c>
      <c r="F38" t="s">
        <v>3092</v>
      </c>
      <c r="J38" s="54">
        <v>448</v>
      </c>
      <c r="K38" s="55">
        <v>1075</v>
      </c>
      <c r="L38" s="55">
        <v>1075</v>
      </c>
      <c r="M38" s="54">
        <v>18</v>
      </c>
      <c r="N38" s="54">
        <v>69</v>
      </c>
      <c r="O38" s="54">
        <v>69</v>
      </c>
      <c r="P38" s="5">
        <v>0.04</v>
      </c>
      <c r="Q38" t="str">
        <f>INDEX('Adopt-a-Pet.com  December 1'!$A$1:$AE$857,MATCH('Final Data'!$B38,'Adopt-a-Pet.com  December 1'!$B:$B,0),MATCH('Final Data'!Q$1,'Adopt-a-Pet.com  December 1'!$1:$1,0))</f>
        <v>available</v>
      </c>
      <c r="R38">
        <f>INDEX('Adopt-a-Pet.com  December 1'!$A$1:$AE$857,MATCH('Final Data'!$B38,'Adopt-a-Pet.com  December 1'!$B:$B,0),MATCH('Final Data'!R$1,'Adopt-a-Pet.com  December 1'!$1:$1,0))</f>
        <v>45927</v>
      </c>
      <c r="S38">
        <f>INDEX('Adopt-a-Pet.com  December 1'!$A$1:$AE$857,MATCH('Final Data'!$B38,'Adopt-a-Pet.com  December 1'!$B:$B,0),MATCH('Final Data'!S$1,'Adopt-a-Pet.com  December 1'!$1:$1,0))</f>
        <v>0</v>
      </c>
      <c r="T38" t="str">
        <f>INDEX('Adopt-a-Pet.com  December 1'!$A$1:$AE$857,MATCH('Final Data'!$B38,'Adopt-a-Pet.com  December 1'!$B:$B,0),MATCH('Final Data'!T$1,'Adopt-a-Pet.com  December 1'!$1:$1,0))</f>
        <v>American Pit Bull Terrier</v>
      </c>
      <c r="U38" t="str">
        <f>INDEX('Adopt-a-Pet.com  December 1'!$A$1:$AE$857,MATCH('Final Data'!$B38,'Adopt-a-Pet.com  December 1'!$B:$B,0),MATCH('Final Data'!U$1,'Adopt-a-Pet.com  December 1'!$1:$1,0))</f>
        <v>American Staffordshire Terrier</v>
      </c>
      <c r="V38" t="str">
        <f>INDEX('Adopt-a-Pet.com  December 1'!$A$1:$AE$857,MATCH('Final Data'!$B38,'Adopt-a-Pet.com  December 1'!$B:$B,0),MATCH('Final Data'!V$1,'Adopt-a-Pet.com  December 1'!$1:$1,0))</f>
        <v>White</v>
      </c>
      <c r="W38" t="str">
        <f>INDEX('Adopt-a-Pet.com  December 1'!$A$1:$AE$857,MATCH('Final Data'!$B38,'Adopt-a-Pet.com  December 1'!$B:$B,0),MATCH('Final Data'!W$1,'Adopt-a-Pet.com  December 1'!$1:$1,0))</f>
        <v>female</v>
      </c>
      <c r="X38" t="str">
        <f>INDEX('Adopt-a-Pet.com  December 1'!$A$1:$AE$857,MATCH('Final Data'!$B38,'Adopt-a-Pet.com  December 1'!$B:$B,0),MATCH('Final Data'!X$1,'Adopt-a-Pet.com  December 1'!$1:$1,0))</f>
        <v>young</v>
      </c>
      <c r="Y38" t="str">
        <f>INDEX('Adopt-a-Pet.com  December 1'!$A$1:$AE$857,MATCH('Final Data'!$B38,'Adopt-a-Pet.com  December 1'!$B:$B,0),MATCH('Final Data'!Y$1,'Adopt-a-Pet.com  December 1'!$1:$1,0))</f>
        <v>Med. 26-60 lbs (12-27 kg)</v>
      </c>
      <c r="Z38">
        <f>INDEX('Adopt-a-Pet.com  December 1'!$A$1:$AE$857,MATCH('Final Data'!$B38,'Adopt-a-Pet.com  December 1'!$B:$B,0),MATCH('Final Data'!Z$1,'Adopt-a-Pet.com  December 1'!$1:$1,0))</f>
        <v>0</v>
      </c>
      <c r="AA38" t="str">
        <f>INDEX('Adopt-a-Pet.com  December 1'!$A$1:$AE$857,MATCH('Final Data'!$B38,'Adopt-a-Pet.com  December 1'!$B:$B,0),MATCH('Final Data'!AA$1,'Adopt-a-Pet.com  December 1'!$1:$1,0))</f>
        <v>Yes</v>
      </c>
      <c r="AB38" t="str">
        <f>INDEX('Adopt-a-Pet.com  December 1'!$A$1:$AE$857,MATCH('Final Data'!$B38,'Adopt-a-Pet.com  December 1'!$B:$B,0),MATCH('Final Data'!AB$1,'Adopt-a-Pet.com  December 1'!$1:$1,0))</f>
        <v>Yes</v>
      </c>
      <c r="AC38" t="str">
        <f>INDEX('Adopt-a-Pet.com  December 1'!$A$1:$AE$857,MATCH('Final Data'!$B38,'Adopt-a-Pet.com  December 1'!$B:$B,0),MATCH('Final Data'!AC$1,'Adopt-a-Pet.com  December 1'!$1:$1,0))</f>
        <v>Yes</v>
      </c>
      <c r="AD38" t="str">
        <f>INDEX('Adopt-a-Pet.com  December 1'!$A$1:$AE$857,MATCH('Final Data'!$B38,'Adopt-a-Pet.com  December 1'!$B:$B,0),MATCH('Final Data'!AD$1,'Adopt-a-Pet.com  December 1'!$1:$1,0))</f>
        <v>No</v>
      </c>
      <c r="AE38" t="str">
        <f>INDEX('Adopt-a-Pet.com  December 1'!$A$1:$AE$857,MATCH('Final Data'!$B38,'Adopt-a-Pet.com  December 1'!$B:$B,0),MATCH('Final Data'!AE$1,'Adopt-a-Pet.com  December 1'!$1:$1,0))</f>
        <v>No</v>
      </c>
      <c r="AF38" t="str">
        <f>INDEX('Adopt-a-Pet.com  December 1'!$A$1:$AE$857,MATCH('Final Data'!$B38,'Adopt-a-Pet.com  December 1'!$B:$B,0),MATCH('Final Data'!AF$1,'Adopt-a-Pet.com  December 1'!$1:$1,0))</f>
        <v>Yes</v>
      </c>
      <c r="AG38" t="str">
        <f>INDEX('Adopt-a-Pet.com  December 1'!$A$1:$AE$857,MATCH('Final Data'!$B38,'Adopt-a-Pet.com  December 1'!$B:$B,0),MATCH('Final Data'!AG$1,'Adopt-a-Pet.com  December 1'!$1:$1,0))</f>
        <v>Yes</v>
      </c>
      <c r="AH38" t="str">
        <f>INDEX('Adopt-a-Pet.com  December 1'!$A$1:$AE$857,MATCH('Final Data'!$B38,'Adopt-a-Pet.com  December 1'!$B:$B,0),MATCH('Final Data'!AH$1,'Adopt-a-Pet.com  December 1'!$1:$1,0))</f>
        <v>Yes</v>
      </c>
      <c r="AI38">
        <f>INDEX('Adopt-a-Pet.com  December 1'!$A$1:$AE$857,MATCH('Final Data'!$B38,'Adopt-a-Pet.com  December 1'!$B:$B,0),MATCH('Final Data'!AI$1,'Adopt-a-Pet.com  December 1'!$1:$1,0))</f>
        <v>0</v>
      </c>
    </row>
    <row r="39" spans="1:35" x14ac:dyDescent="0.2">
      <c r="A39">
        <v>45968036</v>
      </c>
      <c r="B39" t="s">
        <v>406</v>
      </c>
      <c r="C39" t="s">
        <v>407</v>
      </c>
      <c r="D39" t="s">
        <v>1101</v>
      </c>
      <c r="E39">
        <v>0</v>
      </c>
      <c r="F39" t="s">
        <v>3092</v>
      </c>
      <c r="I39">
        <v>94.8</v>
      </c>
      <c r="J39" s="54">
        <v>197</v>
      </c>
      <c r="K39" s="54">
        <v>409</v>
      </c>
      <c r="L39" s="54">
        <v>409</v>
      </c>
      <c r="M39" s="54">
        <v>11</v>
      </c>
      <c r="N39" s="54">
        <v>47</v>
      </c>
      <c r="O39" s="54">
        <v>47</v>
      </c>
      <c r="P39" s="5">
        <v>5.6000000000000001E-2</v>
      </c>
      <c r="Q39" t="str">
        <f>INDEX('Adopt-a-Pet.com  December 1'!$A$1:$AE$857,MATCH('Final Data'!$B39,'Adopt-a-Pet.com  December 1'!$B:$B,0),MATCH('Final Data'!Q$1,'Adopt-a-Pet.com  December 1'!$1:$1,0))</f>
        <v>available</v>
      </c>
      <c r="R39">
        <f>INDEX('Adopt-a-Pet.com  December 1'!$A$1:$AE$857,MATCH('Final Data'!$B39,'Adopt-a-Pet.com  December 1'!$B:$B,0),MATCH('Final Data'!R$1,'Adopt-a-Pet.com  December 1'!$1:$1,0))</f>
        <v>45927</v>
      </c>
      <c r="S39">
        <f>INDEX('Adopt-a-Pet.com  December 1'!$A$1:$AE$857,MATCH('Final Data'!$B39,'Adopt-a-Pet.com  December 1'!$B:$B,0),MATCH('Final Data'!S$1,'Adopt-a-Pet.com  December 1'!$1:$1,0))</f>
        <v>0</v>
      </c>
      <c r="T39" t="str">
        <f>INDEX('Adopt-a-Pet.com  December 1'!$A$1:$AE$857,MATCH('Final Data'!$B39,'Adopt-a-Pet.com  December 1'!$B:$B,0),MATCH('Final Data'!T$1,'Adopt-a-Pet.com  December 1'!$1:$1,0))</f>
        <v>Shepherd (Unknown Type)</v>
      </c>
      <c r="U39" t="str">
        <f>INDEX('Adopt-a-Pet.com  December 1'!$A$1:$AE$857,MATCH('Final Data'!$B39,'Adopt-a-Pet.com  December 1'!$B:$B,0),MATCH('Final Data'!U$1,'Adopt-a-Pet.com  December 1'!$1:$1,0))</f>
        <v>Rottweiler</v>
      </c>
      <c r="V39" t="str">
        <f>INDEX('Adopt-a-Pet.com  December 1'!$A$1:$AE$857,MATCH('Final Data'!$B39,'Adopt-a-Pet.com  December 1'!$B:$B,0),MATCH('Final Data'!V$1,'Adopt-a-Pet.com  December 1'!$1:$1,0))</f>
        <v>Black - with Tan, Yellow or Fawn</v>
      </c>
      <c r="W39" t="str">
        <f>INDEX('Adopt-a-Pet.com  December 1'!$A$1:$AE$857,MATCH('Final Data'!$B39,'Adopt-a-Pet.com  December 1'!$B:$B,0),MATCH('Final Data'!W$1,'Adopt-a-Pet.com  December 1'!$1:$1,0))</f>
        <v>male</v>
      </c>
      <c r="X39" t="str">
        <f>INDEX('Adopt-a-Pet.com  December 1'!$A$1:$AE$857,MATCH('Final Data'!$B39,'Adopt-a-Pet.com  December 1'!$B:$B,0),MATCH('Final Data'!X$1,'Adopt-a-Pet.com  December 1'!$1:$1,0))</f>
        <v>adult</v>
      </c>
      <c r="Y39" t="str">
        <f>INDEX('Adopt-a-Pet.com  December 1'!$A$1:$AE$857,MATCH('Final Data'!$B39,'Adopt-a-Pet.com  December 1'!$B:$B,0),MATCH('Final Data'!Y$1,'Adopt-a-Pet.com  December 1'!$1:$1,0))</f>
        <v>Large 61-100 lbs (28-45 kg)</v>
      </c>
      <c r="Z39">
        <f>INDEX('Adopt-a-Pet.com  December 1'!$A$1:$AE$857,MATCH('Final Data'!$B39,'Adopt-a-Pet.com  December 1'!$B:$B,0),MATCH('Final Data'!Z$1,'Adopt-a-Pet.com  December 1'!$1:$1,0))</f>
        <v>0</v>
      </c>
      <c r="AA39" t="str">
        <f>INDEX('Adopt-a-Pet.com  December 1'!$A$1:$AE$857,MATCH('Final Data'!$B39,'Adopt-a-Pet.com  December 1'!$B:$B,0),MATCH('Final Data'!AA$1,'Adopt-a-Pet.com  December 1'!$1:$1,0))</f>
        <v>Yes</v>
      </c>
      <c r="AB39" t="str">
        <f>INDEX('Adopt-a-Pet.com  December 1'!$A$1:$AE$857,MATCH('Final Data'!$B39,'Adopt-a-Pet.com  December 1'!$B:$B,0),MATCH('Final Data'!AB$1,'Adopt-a-Pet.com  December 1'!$1:$1,0))</f>
        <v>Yes</v>
      </c>
      <c r="AC39" t="str">
        <f>INDEX('Adopt-a-Pet.com  December 1'!$A$1:$AE$857,MATCH('Final Data'!$B39,'Adopt-a-Pet.com  December 1'!$B:$B,0),MATCH('Final Data'!AC$1,'Adopt-a-Pet.com  December 1'!$1:$1,0))</f>
        <v>Yes</v>
      </c>
      <c r="AD39" t="str">
        <f>INDEX('Adopt-a-Pet.com  December 1'!$A$1:$AE$857,MATCH('Final Data'!$B39,'Adopt-a-Pet.com  December 1'!$B:$B,0),MATCH('Final Data'!AD$1,'Adopt-a-Pet.com  December 1'!$1:$1,0))</f>
        <v>No</v>
      </c>
      <c r="AE39" t="str">
        <f>INDEX('Adopt-a-Pet.com  December 1'!$A$1:$AE$857,MATCH('Final Data'!$B39,'Adopt-a-Pet.com  December 1'!$B:$B,0),MATCH('Final Data'!AE$1,'Adopt-a-Pet.com  December 1'!$1:$1,0))</f>
        <v>No</v>
      </c>
      <c r="AF39" t="str">
        <f>INDEX('Adopt-a-Pet.com  December 1'!$A$1:$AE$857,MATCH('Final Data'!$B39,'Adopt-a-Pet.com  December 1'!$B:$B,0),MATCH('Final Data'!AF$1,'Adopt-a-Pet.com  December 1'!$1:$1,0))</f>
        <v>Yes</v>
      </c>
      <c r="AG39" t="str">
        <f>INDEX('Adopt-a-Pet.com  December 1'!$A$1:$AE$857,MATCH('Final Data'!$B39,'Adopt-a-Pet.com  December 1'!$B:$B,0),MATCH('Final Data'!AG$1,'Adopt-a-Pet.com  December 1'!$1:$1,0))</f>
        <v>Yes</v>
      </c>
      <c r="AH39" t="str">
        <f>INDEX('Adopt-a-Pet.com  December 1'!$A$1:$AE$857,MATCH('Final Data'!$B39,'Adopt-a-Pet.com  December 1'!$B:$B,0),MATCH('Final Data'!AH$1,'Adopt-a-Pet.com  December 1'!$1:$1,0))</f>
        <v>Unknown</v>
      </c>
      <c r="AI39">
        <f>INDEX('Adopt-a-Pet.com  December 1'!$A$1:$AE$857,MATCH('Final Data'!$B39,'Adopt-a-Pet.com  December 1'!$B:$B,0),MATCH('Final Data'!AI$1,'Adopt-a-Pet.com  December 1'!$1:$1,0))</f>
        <v>0</v>
      </c>
    </row>
    <row r="40" spans="1:35" x14ac:dyDescent="0.2">
      <c r="A40">
        <v>45969340</v>
      </c>
      <c r="B40" t="s">
        <v>412</v>
      </c>
      <c r="C40" t="s">
        <v>1235</v>
      </c>
      <c r="D40" t="s">
        <v>1100</v>
      </c>
      <c r="E40">
        <v>0</v>
      </c>
      <c r="F40" t="s">
        <v>2165</v>
      </c>
      <c r="I40">
        <v>53.9</v>
      </c>
      <c r="J40" s="54">
        <v>294</v>
      </c>
      <c r="K40" s="54">
        <v>831</v>
      </c>
      <c r="L40" s="54">
        <v>831</v>
      </c>
      <c r="M40" s="54">
        <v>12</v>
      </c>
      <c r="N40" s="54">
        <v>77</v>
      </c>
      <c r="O40" s="54">
        <v>77</v>
      </c>
      <c r="P40" s="5">
        <v>4.1000000000000002E-2</v>
      </c>
      <c r="Q40" t="str">
        <f>INDEX('Adopt-a-Pet.com  December 1'!$A$1:$AE$857,MATCH('Final Data'!$B40,'Adopt-a-Pet.com  December 1'!$B:$B,0),MATCH('Final Data'!Q$1,'Adopt-a-Pet.com  December 1'!$1:$1,0))</f>
        <v>adopted</v>
      </c>
      <c r="R40">
        <f>INDEX('Adopt-a-Pet.com  December 1'!$A$1:$AE$857,MATCH('Final Data'!$B40,'Adopt-a-Pet.com  December 1'!$B:$B,0),MATCH('Final Data'!R$1,'Adopt-a-Pet.com  December 1'!$1:$1,0))</f>
        <v>45927</v>
      </c>
      <c r="S40">
        <f>INDEX('Adopt-a-Pet.com  December 1'!$A$1:$AE$857,MATCH('Final Data'!$B40,'Adopt-a-Pet.com  December 1'!$B:$B,0),MATCH('Final Data'!S$1,'Adopt-a-Pet.com  December 1'!$1:$1,0))</f>
        <v>45963</v>
      </c>
      <c r="T40" t="str">
        <f>INDEX('Adopt-a-Pet.com  December 1'!$A$1:$AE$857,MATCH('Final Data'!$B40,'Adopt-a-Pet.com  December 1'!$B:$B,0),MATCH('Final Data'!T$1,'Adopt-a-Pet.com  December 1'!$1:$1,0))</f>
        <v>American Pit Bull Terrier</v>
      </c>
      <c r="U40" t="str">
        <f>INDEX('Adopt-a-Pet.com  December 1'!$A$1:$AE$857,MATCH('Final Data'!$B40,'Adopt-a-Pet.com  December 1'!$B:$B,0),MATCH('Final Data'!U$1,'Adopt-a-Pet.com  December 1'!$1:$1,0))</f>
        <v>American Staffordshire Terrier</v>
      </c>
      <c r="V40" t="str">
        <f>INDEX('Adopt-a-Pet.com  December 1'!$A$1:$AE$857,MATCH('Final Data'!$B40,'Adopt-a-Pet.com  December 1'!$B:$B,0),MATCH('Final Data'!V$1,'Adopt-a-Pet.com  December 1'!$1:$1,0))</f>
        <v>Brindle - with White</v>
      </c>
      <c r="W40" t="str">
        <f>INDEX('Adopt-a-Pet.com  December 1'!$A$1:$AE$857,MATCH('Final Data'!$B40,'Adopt-a-Pet.com  December 1'!$B:$B,0),MATCH('Final Data'!W$1,'Adopt-a-Pet.com  December 1'!$1:$1,0))</f>
        <v>female</v>
      </c>
      <c r="X40" t="str">
        <f>INDEX('Adopt-a-Pet.com  December 1'!$A$1:$AE$857,MATCH('Final Data'!$B40,'Adopt-a-Pet.com  December 1'!$B:$B,0),MATCH('Final Data'!X$1,'Adopt-a-Pet.com  December 1'!$1:$1,0))</f>
        <v>young</v>
      </c>
      <c r="Y40" t="str">
        <f>INDEX('Adopt-a-Pet.com  December 1'!$A$1:$AE$857,MATCH('Final Data'!$B40,'Adopt-a-Pet.com  December 1'!$B:$B,0),MATCH('Final Data'!Y$1,'Adopt-a-Pet.com  December 1'!$1:$1,0))</f>
        <v>Med. 26-60 lbs (12-27 kg)</v>
      </c>
      <c r="Z40">
        <f>INDEX('Adopt-a-Pet.com  December 1'!$A$1:$AE$857,MATCH('Final Data'!$B40,'Adopt-a-Pet.com  December 1'!$B:$B,0),MATCH('Final Data'!Z$1,'Adopt-a-Pet.com  December 1'!$1:$1,0))</f>
        <v>0</v>
      </c>
      <c r="AA40" t="str">
        <f>INDEX('Adopt-a-Pet.com  December 1'!$A$1:$AE$857,MATCH('Final Data'!$B40,'Adopt-a-Pet.com  December 1'!$B:$B,0),MATCH('Final Data'!AA$1,'Adopt-a-Pet.com  December 1'!$1:$1,0))</f>
        <v>Yes</v>
      </c>
      <c r="AB40" t="str">
        <f>INDEX('Adopt-a-Pet.com  December 1'!$A$1:$AE$857,MATCH('Final Data'!$B40,'Adopt-a-Pet.com  December 1'!$B:$B,0),MATCH('Final Data'!AB$1,'Adopt-a-Pet.com  December 1'!$1:$1,0))</f>
        <v>No</v>
      </c>
      <c r="AC40" t="str">
        <f>INDEX('Adopt-a-Pet.com  December 1'!$A$1:$AE$857,MATCH('Final Data'!$B40,'Adopt-a-Pet.com  December 1'!$B:$B,0),MATCH('Final Data'!AC$1,'Adopt-a-Pet.com  December 1'!$1:$1,0))</f>
        <v>Yes</v>
      </c>
      <c r="AD40" t="str">
        <f>INDEX('Adopt-a-Pet.com  December 1'!$A$1:$AE$857,MATCH('Final Data'!$B40,'Adopt-a-Pet.com  December 1'!$B:$B,0),MATCH('Final Data'!AD$1,'Adopt-a-Pet.com  December 1'!$1:$1,0))</f>
        <v>No</v>
      </c>
      <c r="AE40" t="str">
        <f>INDEX('Adopt-a-Pet.com  December 1'!$A$1:$AE$857,MATCH('Final Data'!$B40,'Adopt-a-Pet.com  December 1'!$B:$B,0),MATCH('Final Data'!AE$1,'Adopt-a-Pet.com  December 1'!$1:$1,0))</f>
        <v>No</v>
      </c>
      <c r="AF40" t="str">
        <f>INDEX('Adopt-a-Pet.com  December 1'!$A$1:$AE$857,MATCH('Final Data'!$B40,'Adopt-a-Pet.com  December 1'!$B:$B,0),MATCH('Final Data'!AF$1,'Adopt-a-Pet.com  December 1'!$1:$1,0))</f>
        <v>Yes</v>
      </c>
      <c r="AG40" t="str">
        <f>INDEX('Adopt-a-Pet.com  December 1'!$A$1:$AE$857,MATCH('Final Data'!$B40,'Adopt-a-Pet.com  December 1'!$B:$B,0),MATCH('Final Data'!AG$1,'Adopt-a-Pet.com  December 1'!$1:$1,0))</f>
        <v>Yes</v>
      </c>
      <c r="AH40" t="str">
        <f>INDEX('Adopt-a-Pet.com  December 1'!$A$1:$AE$857,MATCH('Final Data'!$B40,'Adopt-a-Pet.com  December 1'!$B:$B,0),MATCH('Final Data'!AH$1,'Adopt-a-Pet.com  December 1'!$1:$1,0))</f>
        <v>Yes</v>
      </c>
      <c r="AI40">
        <f>INDEX('Adopt-a-Pet.com  December 1'!$A$1:$AE$857,MATCH('Final Data'!$B40,'Adopt-a-Pet.com  December 1'!$B:$B,0),MATCH('Final Data'!AI$1,'Adopt-a-Pet.com  December 1'!$1:$1,0))</f>
        <v>0</v>
      </c>
    </row>
    <row r="41" spans="1:35" x14ac:dyDescent="0.2">
      <c r="A41">
        <v>45970198</v>
      </c>
      <c r="B41" t="s">
        <v>414</v>
      </c>
      <c r="C41" t="s">
        <v>415</v>
      </c>
      <c r="D41" t="s">
        <v>1101</v>
      </c>
      <c r="E41">
        <v>0</v>
      </c>
      <c r="F41" t="s">
        <v>3092</v>
      </c>
      <c r="I41">
        <v>42</v>
      </c>
      <c r="J41" s="54">
        <v>397</v>
      </c>
      <c r="K41" s="54">
        <v>810</v>
      </c>
      <c r="L41" s="54">
        <v>810</v>
      </c>
      <c r="M41" s="54">
        <v>33</v>
      </c>
      <c r="N41" s="54">
        <v>99</v>
      </c>
      <c r="O41" s="54">
        <v>99</v>
      </c>
      <c r="P41" s="5">
        <v>8.3000000000000004E-2</v>
      </c>
      <c r="Q41" t="str">
        <f>INDEX('Adopt-a-Pet.com  December 1'!$A$1:$AE$857,MATCH('Final Data'!$B41,'Adopt-a-Pet.com  December 1'!$B:$B,0),MATCH('Final Data'!Q$1,'Adopt-a-Pet.com  December 1'!$1:$1,0))</f>
        <v>available</v>
      </c>
      <c r="R41">
        <f>INDEX('Adopt-a-Pet.com  December 1'!$A$1:$AE$857,MATCH('Final Data'!$B41,'Adopt-a-Pet.com  December 1'!$B:$B,0),MATCH('Final Data'!R$1,'Adopt-a-Pet.com  December 1'!$1:$1,0))</f>
        <v>45927</v>
      </c>
      <c r="S41">
        <f>INDEX('Adopt-a-Pet.com  December 1'!$A$1:$AE$857,MATCH('Final Data'!$B41,'Adopt-a-Pet.com  December 1'!$B:$B,0),MATCH('Final Data'!S$1,'Adopt-a-Pet.com  December 1'!$1:$1,0))</f>
        <v>0</v>
      </c>
      <c r="T41" t="str">
        <f>INDEX('Adopt-a-Pet.com  December 1'!$A$1:$AE$857,MATCH('Final Data'!$B41,'Adopt-a-Pet.com  December 1'!$B:$B,0),MATCH('Final Data'!T$1,'Adopt-a-Pet.com  December 1'!$1:$1,0))</f>
        <v>Treeing Walker Coonhound</v>
      </c>
      <c r="U41" t="str">
        <f>INDEX('Adopt-a-Pet.com  December 1'!$A$1:$AE$857,MATCH('Final Data'!$B41,'Adopt-a-Pet.com  December 1'!$B:$B,0),MATCH('Final Data'!U$1,'Adopt-a-Pet.com  December 1'!$1:$1,0))</f>
        <v>Black and Tan Coonhound</v>
      </c>
      <c r="V41" t="str">
        <f>INDEX('Adopt-a-Pet.com  December 1'!$A$1:$AE$857,MATCH('Final Data'!$B41,'Adopt-a-Pet.com  December 1'!$B:$B,0),MATCH('Final Data'!V$1,'Adopt-a-Pet.com  December 1'!$1:$1,0))</f>
        <v>Black - with Tan, Yellow or Fawn</v>
      </c>
      <c r="W41" t="str">
        <f>INDEX('Adopt-a-Pet.com  December 1'!$A$1:$AE$857,MATCH('Final Data'!$B41,'Adopt-a-Pet.com  December 1'!$B:$B,0),MATCH('Final Data'!W$1,'Adopt-a-Pet.com  December 1'!$1:$1,0))</f>
        <v>male</v>
      </c>
      <c r="X41" t="str">
        <f>INDEX('Adopt-a-Pet.com  December 1'!$A$1:$AE$857,MATCH('Final Data'!$B41,'Adopt-a-Pet.com  December 1'!$B:$B,0),MATCH('Final Data'!X$1,'Adopt-a-Pet.com  December 1'!$1:$1,0))</f>
        <v>adult</v>
      </c>
      <c r="Y41" t="str">
        <f>INDEX('Adopt-a-Pet.com  December 1'!$A$1:$AE$857,MATCH('Final Data'!$B41,'Adopt-a-Pet.com  December 1'!$B:$B,0),MATCH('Final Data'!Y$1,'Adopt-a-Pet.com  December 1'!$1:$1,0))</f>
        <v>Med. 26-60 lbs (12-27 kg)</v>
      </c>
      <c r="Z41">
        <f>INDEX('Adopt-a-Pet.com  December 1'!$A$1:$AE$857,MATCH('Final Data'!$B41,'Adopt-a-Pet.com  December 1'!$B:$B,0),MATCH('Final Data'!Z$1,'Adopt-a-Pet.com  December 1'!$1:$1,0))</f>
        <v>0</v>
      </c>
      <c r="AA41" t="str">
        <f>INDEX('Adopt-a-Pet.com  December 1'!$A$1:$AE$857,MATCH('Final Data'!$B41,'Adopt-a-Pet.com  December 1'!$B:$B,0),MATCH('Final Data'!AA$1,'Adopt-a-Pet.com  December 1'!$1:$1,0))</f>
        <v>Yes</v>
      </c>
      <c r="AB41" t="str">
        <f>INDEX('Adopt-a-Pet.com  December 1'!$A$1:$AE$857,MATCH('Final Data'!$B41,'Adopt-a-Pet.com  December 1'!$B:$B,0),MATCH('Final Data'!AB$1,'Adopt-a-Pet.com  December 1'!$1:$1,0))</f>
        <v>Yes</v>
      </c>
      <c r="AC41" t="str">
        <f>INDEX('Adopt-a-Pet.com  December 1'!$A$1:$AE$857,MATCH('Final Data'!$B41,'Adopt-a-Pet.com  December 1'!$B:$B,0),MATCH('Final Data'!AC$1,'Adopt-a-Pet.com  December 1'!$1:$1,0))</f>
        <v>Yes</v>
      </c>
      <c r="AD41" t="str">
        <f>INDEX('Adopt-a-Pet.com  December 1'!$A$1:$AE$857,MATCH('Final Data'!$B41,'Adopt-a-Pet.com  December 1'!$B:$B,0),MATCH('Final Data'!AD$1,'Adopt-a-Pet.com  December 1'!$1:$1,0))</f>
        <v>No</v>
      </c>
      <c r="AE41" t="str">
        <f>INDEX('Adopt-a-Pet.com  December 1'!$A$1:$AE$857,MATCH('Final Data'!$B41,'Adopt-a-Pet.com  December 1'!$B:$B,0),MATCH('Final Data'!AE$1,'Adopt-a-Pet.com  December 1'!$1:$1,0))</f>
        <v>No</v>
      </c>
      <c r="AF41" t="str">
        <f>INDEX('Adopt-a-Pet.com  December 1'!$A$1:$AE$857,MATCH('Final Data'!$B41,'Adopt-a-Pet.com  December 1'!$B:$B,0),MATCH('Final Data'!AF$1,'Adopt-a-Pet.com  December 1'!$1:$1,0))</f>
        <v>Yes</v>
      </c>
      <c r="AG41" t="str">
        <f>INDEX('Adopt-a-Pet.com  December 1'!$A$1:$AE$857,MATCH('Final Data'!$B41,'Adopt-a-Pet.com  December 1'!$B:$B,0),MATCH('Final Data'!AG$1,'Adopt-a-Pet.com  December 1'!$1:$1,0))</f>
        <v>Yes</v>
      </c>
      <c r="AH41" t="str">
        <f>INDEX('Adopt-a-Pet.com  December 1'!$A$1:$AE$857,MATCH('Final Data'!$B41,'Adopt-a-Pet.com  December 1'!$B:$B,0),MATCH('Final Data'!AH$1,'Adopt-a-Pet.com  December 1'!$1:$1,0))</f>
        <v>Unknown</v>
      </c>
      <c r="AI41">
        <f>INDEX('Adopt-a-Pet.com  December 1'!$A$1:$AE$857,MATCH('Final Data'!$B41,'Adopt-a-Pet.com  December 1'!$B:$B,0),MATCH('Final Data'!AI$1,'Adopt-a-Pet.com  December 1'!$1:$1,0))</f>
        <v>0</v>
      </c>
    </row>
    <row r="42" spans="1:35" x14ac:dyDescent="0.2">
      <c r="A42">
        <v>45969530</v>
      </c>
      <c r="B42" t="s">
        <v>422</v>
      </c>
      <c r="C42" t="s">
        <v>1082</v>
      </c>
      <c r="D42" t="s">
        <v>1100</v>
      </c>
      <c r="E42">
        <v>1</v>
      </c>
      <c r="F42" t="s">
        <v>3092</v>
      </c>
      <c r="G42" t="s">
        <v>1738</v>
      </c>
      <c r="H42">
        <v>45950</v>
      </c>
      <c r="I42">
        <v>52.9</v>
      </c>
      <c r="J42" s="54">
        <v>393</v>
      </c>
      <c r="K42" s="54">
        <v>792</v>
      </c>
      <c r="L42" s="54">
        <v>792</v>
      </c>
      <c r="M42" s="54">
        <v>4</v>
      </c>
      <c r="N42" s="54">
        <v>45</v>
      </c>
      <c r="O42" s="54">
        <v>45</v>
      </c>
      <c r="P42" s="5">
        <v>0.01</v>
      </c>
      <c r="Q42" t="str">
        <f>INDEX('Adopt-a-Pet.com  December 1'!$A$1:$AE$857,MATCH('Final Data'!$B42,'Adopt-a-Pet.com  December 1'!$B:$B,0),MATCH('Final Data'!Q$1,'Adopt-a-Pet.com  December 1'!$1:$1,0))</f>
        <v>available</v>
      </c>
      <c r="R42">
        <f>INDEX('Adopt-a-Pet.com  December 1'!$A$1:$AE$857,MATCH('Final Data'!$B42,'Adopt-a-Pet.com  December 1'!$B:$B,0),MATCH('Final Data'!R$1,'Adopt-a-Pet.com  December 1'!$1:$1,0))</f>
        <v>45927</v>
      </c>
      <c r="S42">
        <f>INDEX('Adopt-a-Pet.com  December 1'!$A$1:$AE$857,MATCH('Final Data'!$B42,'Adopt-a-Pet.com  December 1'!$B:$B,0),MATCH('Final Data'!S$1,'Adopt-a-Pet.com  December 1'!$1:$1,0))</f>
        <v>0</v>
      </c>
      <c r="T42" t="str">
        <f>INDEX('Adopt-a-Pet.com  December 1'!$A$1:$AE$857,MATCH('Final Data'!$B42,'Adopt-a-Pet.com  December 1'!$B:$B,0),MATCH('Final Data'!T$1,'Adopt-a-Pet.com  December 1'!$1:$1,0))</f>
        <v>American Staffordshire Terrier</v>
      </c>
      <c r="U42">
        <f>INDEX('Adopt-a-Pet.com  December 1'!$A$1:$AE$857,MATCH('Final Data'!$B42,'Adopt-a-Pet.com  December 1'!$B:$B,0),MATCH('Final Data'!U$1,'Adopt-a-Pet.com  December 1'!$1:$1,0))</f>
        <v>0</v>
      </c>
      <c r="V42" t="str">
        <f>INDEX('Adopt-a-Pet.com  December 1'!$A$1:$AE$857,MATCH('Final Data'!$B42,'Adopt-a-Pet.com  December 1'!$B:$B,0),MATCH('Final Data'!V$1,'Adopt-a-Pet.com  December 1'!$1:$1,0))</f>
        <v>Tan/Yellow/Fawn</v>
      </c>
      <c r="W42" t="str">
        <f>INDEX('Adopt-a-Pet.com  December 1'!$A$1:$AE$857,MATCH('Final Data'!$B42,'Adopt-a-Pet.com  December 1'!$B:$B,0),MATCH('Final Data'!W$1,'Adopt-a-Pet.com  December 1'!$1:$1,0))</f>
        <v>female</v>
      </c>
      <c r="X42" t="str">
        <f>INDEX('Adopt-a-Pet.com  December 1'!$A$1:$AE$857,MATCH('Final Data'!$B42,'Adopt-a-Pet.com  December 1'!$B:$B,0),MATCH('Final Data'!X$1,'Adopt-a-Pet.com  December 1'!$1:$1,0))</f>
        <v>adult</v>
      </c>
      <c r="Y42" t="str">
        <f>INDEX('Adopt-a-Pet.com  December 1'!$A$1:$AE$857,MATCH('Final Data'!$B42,'Adopt-a-Pet.com  December 1'!$B:$B,0),MATCH('Final Data'!Y$1,'Adopt-a-Pet.com  December 1'!$1:$1,0))</f>
        <v>Med. 26-60 lbs (12-27 kg)</v>
      </c>
      <c r="Z42">
        <f>INDEX('Adopt-a-Pet.com  December 1'!$A$1:$AE$857,MATCH('Final Data'!$B42,'Adopt-a-Pet.com  December 1'!$B:$B,0),MATCH('Final Data'!Z$1,'Adopt-a-Pet.com  December 1'!$1:$1,0))</f>
        <v>0</v>
      </c>
      <c r="AA42" t="str">
        <f>INDEX('Adopt-a-Pet.com  December 1'!$A$1:$AE$857,MATCH('Final Data'!$B42,'Adopt-a-Pet.com  December 1'!$B:$B,0),MATCH('Final Data'!AA$1,'Adopt-a-Pet.com  December 1'!$1:$1,0))</f>
        <v>Yes</v>
      </c>
      <c r="AB42" t="str">
        <f>INDEX('Adopt-a-Pet.com  December 1'!$A$1:$AE$857,MATCH('Final Data'!$B42,'Adopt-a-Pet.com  December 1'!$B:$B,0),MATCH('Final Data'!AB$1,'Adopt-a-Pet.com  December 1'!$1:$1,0))</f>
        <v>Yes</v>
      </c>
      <c r="AC42" t="str">
        <f>INDEX('Adopt-a-Pet.com  December 1'!$A$1:$AE$857,MATCH('Final Data'!$B42,'Adopt-a-Pet.com  December 1'!$B:$B,0),MATCH('Final Data'!AC$1,'Adopt-a-Pet.com  December 1'!$1:$1,0))</f>
        <v>Yes</v>
      </c>
      <c r="AD42" t="str">
        <f>INDEX('Adopt-a-Pet.com  December 1'!$A$1:$AE$857,MATCH('Final Data'!$B42,'Adopt-a-Pet.com  December 1'!$B:$B,0),MATCH('Final Data'!AD$1,'Adopt-a-Pet.com  December 1'!$1:$1,0))</f>
        <v>Yes</v>
      </c>
      <c r="AE42" t="str">
        <f>INDEX('Adopt-a-Pet.com  December 1'!$A$1:$AE$857,MATCH('Final Data'!$B42,'Adopt-a-Pet.com  December 1'!$B:$B,0),MATCH('Final Data'!AE$1,'Adopt-a-Pet.com  December 1'!$1:$1,0))</f>
        <v>No</v>
      </c>
      <c r="AF42" t="str">
        <f>INDEX('Adopt-a-Pet.com  December 1'!$A$1:$AE$857,MATCH('Final Data'!$B42,'Adopt-a-Pet.com  December 1'!$B:$B,0),MATCH('Final Data'!AF$1,'Adopt-a-Pet.com  December 1'!$1:$1,0))</f>
        <v>Yes</v>
      </c>
      <c r="AG42" t="str">
        <f>INDEX('Adopt-a-Pet.com  December 1'!$A$1:$AE$857,MATCH('Final Data'!$B42,'Adopt-a-Pet.com  December 1'!$B:$B,0),MATCH('Final Data'!AG$1,'Adopt-a-Pet.com  December 1'!$1:$1,0))</f>
        <v>Yes</v>
      </c>
      <c r="AH42" t="str">
        <f>INDEX('Adopt-a-Pet.com  December 1'!$A$1:$AE$857,MATCH('Final Data'!$B42,'Adopt-a-Pet.com  December 1'!$B:$B,0),MATCH('Final Data'!AH$1,'Adopt-a-Pet.com  December 1'!$1:$1,0))</f>
        <v>Unknown</v>
      </c>
      <c r="AI42" t="str">
        <f>INDEX('Adopt-a-Pet.com  December 1'!$A$1:$AE$857,MATCH('Final Data'!$B42,'Adopt-a-Pet.com  December 1'!$B:$B,0),MATCH('Final Data'!AI$1,'Adopt-a-Pet.com  December 1'!$1:$1,0))</f>
        <v>Shells is the sweetest girl and an absolute gem! This tan Staffordshire mix is thriving in her Charleston foster home, soaking up all the love and comfort she deserves. Gentle, mellow, and endlessly cuddly, Shells is the kind of dog who makes every day feel a little softer. She loves quiet moments, cozy naps, and being close to her people‚Äîshe‚Äôs all about simple joys and warm hearts. Her foster family can‚Äôt stop raving about how easy and loving she is. If you‚Äôre looking for a gentle companion who‚Äôll fit right into your home and your heart, Shells is ready to bring her calm, sweet spirit to you.</v>
      </c>
    </row>
    <row r="43" spans="1:35" x14ac:dyDescent="0.2">
      <c r="A43">
        <v>45968103</v>
      </c>
      <c r="B43" t="s">
        <v>430</v>
      </c>
      <c r="C43" t="s">
        <v>431</v>
      </c>
      <c r="D43" t="s">
        <v>1100</v>
      </c>
      <c r="E43">
        <v>0</v>
      </c>
      <c r="F43" t="s">
        <v>3092</v>
      </c>
      <c r="I43">
        <v>61.8</v>
      </c>
      <c r="J43" s="54">
        <v>211</v>
      </c>
      <c r="K43" s="54">
        <v>454</v>
      </c>
      <c r="L43" s="54">
        <v>454</v>
      </c>
      <c r="M43" s="54">
        <v>11</v>
      </c>
      <c r="N43" s="54">
        <v>39</v>
      </c>
      <c r="O43" s="54">
        <v>39</v>
      </c>
      <c r="P43" s="5">
        <v>5.1999999999999998E-2</v>
      </c>
      <c r="Q43" t="str">
        <f>INDEX('Adopt-a-Pet.com  December 1'!$A$1:$AE$857,MATCH('Final Data'!$B43,'Adopt-a-Pet.com  December 1'!$B:$B,0),MATCH('Final Data'!Q$1,'Adopt-a-Pet.com  December 1'!$1:$1,0))</f>
        <v>available</v>
      </c>
      <c r="R43">
        <f>INDEX('Adopt-a-Pet.com  December 1'!$A$1:$AE$857,MATCH('Final Data'!$B43,'Adopt-a-Pet.com  December 1'!$B:$B,0),MATCH('Final Data'!R$1,'Adopt-a-Pet.com  December 1'!$1:$1,0))</f>
        <v>45927</v>
      </c>
      <c r="S43">
        <f>INDEX('Adopt-a-Pet.com  December 1'!$A$1:$AE$857,MATCH('Final Data'!$B43,'Adopt-a-Pet.com  December 1'!$B:$B,0),MATCH('Final Data'!S$1,'Adopt-a-Pet.com  December 1'!$1:$1,0))</f>
        <v>0</v>
      </c>
      <c r="T43" t="str">
        <f>INDEX('Adopt-a-Pet.com  December 1'!$A$1:$AE$857,MATCH('Final Data'!$B43,'Adopt-a-Pet.com  December 1'!$B:$B,0),MATCH('Final Data'!T$1,'Adopt-a-Pet.com  December 1'!$1:$1,0))</f>
        <v>American Pit Bull Terrier</v>
      </c>
      <c r="U43">
        <f>INDEX('Adopt-a-Pet.com  December 1'!$A$1:$AE$857,MATCH('Final Data'!$B43,'Adopt-a-Pet.com  December 1'!$B:$B,0),MATCH('Final Data'!U$1,'Adopt-a-Pet.com  December 1'!$1:$1,0))</f>
        <v>0</v>
      </c>
      <c r="V43" t="str">
        <f>INDEX('Adopt-a-Pet.com  December 1'!$A$1:$AE$857,MATCH('Final Data'!$B43,'Adopt-a-Pet.com  December 1'!$B:$B,0),MATCH('Final Data'!V$1,'Adopt-a-Pet.com  December 1'!$1:$1,0))</f>
        <v>Black</v>
      </c>
      <c r="W43" t="str">
        <f>INDEX('Adopt-a-Pet.com  December 1'!$A$1:$AE$857,MATCH('Final Data'!$B43,'Adopt-a-Pet.com  December 1'!$B:$B,0),MATCH('Final Data'!W$1,'Adopt-a-Pet.com  December 1'!$1:$1,0))</f>
        <v>male</v>
      </c>
      <c r="X43" t="str">
        <f>INDEX('Adopt-a-Pet.com  December 1'!$A$1:$AE$857,MATCH('Final Data'!$B43,'Adopt-a-Pet.com  December 1'!$B:$B,0),MATCH('Final Data'!X$1,'Adopt-a-Pet.com  December 1'!$1:$1,0))</f>
        <v>adult</v>
      </c>
      <c r="Y43" t="str">
        <f>INDEX('Adopt-a-Pet.com  December 1'!$A$1:$AE$857,MATCH('Final Data'!$B43,'Adopt-a-Pet.com  December 1'!$B:$B,0),MATCH('Final Data'!Y$1,'Adopt-a-Pet.com  December 1'!$1:$1,0))</f>
        <v>Med. 26-60 lbs (12-27 kg)</v>
      </c>
      <c r="Z43">
        <f>INDEX('Adopt-a-Pet.com  December 1'!$A$1:$AE$857,MATCH('Final Data'!$B43,'Adopt-a-Pet.com  December 1'!$B:$B,0),MATCH('Final Data'!Z$1,'Adopt-a-Pet.com  December 1'!$1:$1,0))</f>
        <v>0</v>
      </c>
      <c r="AA43" t="str">
        <f>INDEX('Adopt-a-Pet.com  December 1'!$A$1:$AE$857,MATCH('Final Data'!$B43,'Adopt-a-Pet.com  December 1'!$B:$B,0),MATCH('Final Data'!AA$1,'Adopt-a-Pet.com  December 1'!$1:$1,0))</f>
        <v>Yes</v>
      </c>
      <c r="AB43" t="str">
        <f>INDEX('Adopt-a-Pet.com  December 1'!$A$1:$AE$857,MATCH('Final Data'!$B43,'Adopt-a-Pet.com  December 1'!$B:$B,0),MATCH('Final Data'!AB$1,'Adopt-a-Pet.com  December 1'!$1:$1,0))</f>
        <v>Yes</v>
      </c>
      <c r="AC43" t="str">
        <f>INDEX('Adopt-a-Pet.com  December 1'!$A$1:$AE$857,MATCH('Final Data'!$B43,'Adopt-a-Pet.com  December 1'!$B:$B,0),MATCH('Final Data'!AC$1,'Adopt-a-Pet.com  December 1'!$1:$1,0))</f>
        <v>Yes</v>
      </c>
      <c r="AD43" t="str">
        <f>INDEX('Adopt-a-Pet.com  December 1'!$A$1:$AE$857,MATCH('Final Data'!$B43,'Adopt-a-Pet.com  December 1'!$B:$B,0),MATCH('Final Data'!AD$1,'Adopt-a-Pet.com  December 1'!$1:$1,0))</f>
        <v>No</v>
      </c>
      <c r="AE43" t="str">
        <f>INDEX('Adopt-a-Pet.com  December 1'!$A$1:$AE$857,MATCH('Final Data'!$B43,'Adopt-a-Pet.com  December 1'!$B:$B,0),MATCH('Final Data'!AE$1,'Adopt-a-Pet.com  December 1'!$1:$1,0))</f>
        <v>No</v>
      </c>
      <c r="AF43" t="str">
        <f>INDEX('Adopt-a-Pet.com  December 1'!$A$1:$AE$857,MATCH('Final Data'!$B43,'Adopt-a-Pet.com  December 1'!$B:$B,0),MATCH('Final Data'!AF$1,'Adopt-a-Pet.com  December 1'!$1:$1,0))</f>
        <v>Yes</v>
      </c>
      <c r="AG43" t="str">
        <f>INDEX('Adopt-a-Pet.com  December 1'!$A$1:$AE$857,MATCH('Final Data'!$B43,'Adopt-a-Pet.com  December 1'!$B:$B,0),MATCH('Final Data'!AG$1,'Adopt-a-Pet.com  December 1'!$1:$1,0))</f>
        <v>Yes</v>
      </c>
      <c r="AH43" t="str">
        <f>INDEX('Adopt-a-Pet.com  December 1'!$A$1:$AE$857,MATCH('Final Data'!$B43,'Adopt-a-Pet.com  December 1'!$B:$B,0),MATCH('Final Data'!AH$1,'Adopt-a-Pet.com  December 1'!$1:$1,0))</f>
        <v>Unknown</v>
      </c>
      <c r="AI43">
        <f>INDEX('Adopt-a-Pet.com  December 1'!$A$1:$AE$857,MATCH('Final Data'!$B43,'Adopt-a-Pet.com  December 1'!$B:$B,0),MATCH('Final Data'!AI$1,'Adopt-a-Pet.com  December 1'!$1:$1,0))</f>
        <v>0</v>
      </c>
    </row>
    <row r="44" spans="1:35" x14ac:dyDescent="0.2">
      <c r="A44">
        <v>45968075</v>
      </c>
      <c r="B44" t="s">
        <v>435</v>
      </c>
      <c r="C44" t="s">
        <v>436</v>
      </c>
      <c r="D44" t="s">
        <v>1101</v>
      </c>
      <c r="E44">
        <v>0</v>
      </c>
      <c r="F44" t="s">
        <v>3092</v>
      </c>
      <c r="I44">
        <v>75</v>
      </c>
      <c r="J44" s="54">
        <v>468</v>
      </c>
      <c r="K44" s="55">
        <v>1059</v>
      </c>
      <c r="L44" s="55">
        <v>1059</v>
      </c>
      <c r="M44" s="54">
        <v>15</v>
      </c>
      <c r="N44" s="54">
        <v>79</v>
      </c>
      <c r="O44" s="54">
        <v>79</v>
      </c>
      <c r="P44" s="5">
        <v>3.2000000000000001E-2</v>
      </c>
      <c r="Q44" t="str">
        <f>INDEX('Adopt-a-Pet.com  December 1'!$A$1:$AE$857,MATCH('Final Data'!$B44,'Adopt-a-Pet.com  December 1'!$B:$B,0),MATCH('Final Data'!Q$1,'Adopt-a-Pet.com  December 1'!$1:$1,0))</f>
        <v>available</v>
      </c>
      <c r="R44">
        <f>INDEX('Adopt-a-Pet.com  December 1'!$A$1:$AE$857,MATCH('Final Data'!$B44,'Adopt-a-Pet.com  December 1'!$B:$B,0),MATCH('Final Data'!R$1,'Adopt-a-Pet.com  December 1'!$1:$1,0))</f>
        <v>45927</v>
      </c>
      <c r="S44">
        <f>INDEX('Adopt-a-Pet.com  December 1'!$A$1:$AE$857,MATCH('Final Data'!$B44,'Adopt-a-Pet.com  December 1'!$B:$B,0),MATCH('Final Data'!S$1,'Adopt-a-Pet.com  December 1'!$1:$1,0))</f>
        <v>0</v>
      </c>
      <c r="T44" t="str">
        <f>INDEX('Adopt-a-Pet.com  December 1'!$A$1:$AE$857,MATCH('Final Data'!$B44,'Adopt-a-Pet.com  December 1'!$B:$B,0),MATCH('Final Data'!T$1,'Adopt-a-Pet.com  December 1'!$1:$1,0))</f>
        <v>Whippet</v>
      </c>
      <c r="U44" t="str">
        <f>INDEX('Adopt-a-Pet.com  December 1'!$A$1:$AE$857,MATCH('Final Data'!$B44,'Adopt-a-Pet.com  December 1'!$B:$B,0),MATCH('Final Data'!U$1,'Adopt-a-Pet.com  December 1'!$1:$1,0))</f>
        <v>Jack Russell Terrier</v>
      </c>
      <c r="V44" t="str">
        <f>INDEX('Adopt-a-Pet.com  December 1'!$A$1:$AE$857,MATCH('Final Data'!$B44,'Adopt-a-Pet.com  December 1'!$B:$B,0),MATCH('Final Data'!V$1,'Adopt-a-Pet.com  December 1'!$1:$1,0))</f>
        <v>White</v>
      </c>
      <c r="W44" t="str">
        <f>INDEX('Adopt-a-Pet.com  December 1'!$A$1:$AE$857,MATCH('Final Data'!$B44,'Adopt-a-Pet.com  December 1'!$B:$B,0),MATCH('Final Data'!W$1,'Adopt-a-Pet.com  December 1'!$1:$1,0))</f>
        <v>female</v>
      </c>
      <c r="X44" t="str">
        <f>INDEX('Adopt-a-Pet.com  December 1'!$A$1:$AE$857,MATCH('Final Data'!$B44,'Adopt-a-Pet.com  December 1'!$B:$B,0),MATCH('Final Data'!X$1,'Adopt-a-Pet.com  December 1'!$1:$1,0))</f>
        <v>young</v>
      </c>
      <c r="Y44" t="str">
        <f>INDEX('Adopt-a-Pet.com  December 1'!$A$1:$AE$857,MATCH('Final Data'!$B44,'Adopt-a-Pet.com  December 1'!$B:$B,0),MATCH('Final Data'!Y$1,'Adopt-a-Pet.com  December 1'!$1:$1,0))</f>
        <v>Med. 26-60 lbs (12-27 kg)</v>
      </c>
      <c r="Z44">
        <f>INDEX('Adopt-a-Pet.com  December 1'!$A$1:$AE$857,MATCH('Final Data'!$B44,'Adopt-a-Pet.com  December 1'!$B:$B,0),MATCH('Final Data'!Z$1,'Adopt-a-Pet.com  December 1'!$1:$1,0))</f>
        <v>0</v>
      </c>
      <c r="AA44" t="str">
        <f>INDEX('Adopt-a-Pet.com  December 1'!$A$1:$AE$857,MATCH('Final Data'!$B44,'Adopt-a-Pet.com  December 1'!$B:$B,0),MATCH('Final Data'!AA$1,'Adopt-a-Pet.com  December 1'!$1:$1,0))</f>
        <v>Yes</v>
      </c>
      <c r="AB44" t="str">
        <f>INDEX('Adopt-a-Pet.com  December 1'!$A$1:$AE$857,MATCH('Final Data'!$B44,'Adopt-a-Pet.com  December 1'!$B:$B,0),MATCH('Final Data'!AB$1,'Adopt-a-Pet.com  December 1'!$1:$1,0))</f>
        <v>Yes</v>
      </c>
      <c r="AC44" t="str">
        <f>INDEX('Adopt-a-Pet.com  December 1'!$A$1:$AE$857,MATCH('Final Data'!$B44,'Adopt-a-Pet.com  December 1'!$B:$B,0),MATCH('Final Data'!AC$1,'Adopt-a-Pet.com  December 1'!$1:$1,0))</f>
        <v>Yes</v>
      </c>
      <c r="AD44" t="str">
        <f>INDEX('Adopt-a-Pet.com  December 1'!$A$1:$AE$857,MATCH('Final Data'!$B44,'Adopt-a-Pet.com  December 1'!$B:$B,0),MATCH('Final Data'!AD$1,'Adopt-a-Pet.com  December 1'!$1:$1,0))</f>
        <v>No</v>
      </c>
      <c r="AE44" t="str">
        <f>INDEX('Adopt-a-Pet.com  December 1'!$A$1:$AE$857,MATCH('Final Data'!$B44,'Adopt-a-Pet.com  December 1'!$B:$B,0),MATCH('Final Data'!AE$1,'Adopt-a-Pet.com  December 1'!$1:$1,0))</f>
        <v>No</v>
      </c>
      <c r="AF44" t="str">
        <f>INDEX('Adopt-a-Pet.com  December 1'!$A$1:$AE$857,MATCH('Final Data'!$B44,'Adopt-a-Pet.com  December 1'!$B:$B,0),MATCH('Final Data'!AF$1,'Adopt-a-Pet.com  December 1'!$1:$1,0))</f>
        <v>Yes</v>
      </c>
      <c r="AG44" t="str">
        <f>INDEX('Adopt-a-Pet.com  December 1'!$A$1:$AE$857,MATCH('Final Data'!$B44,'Adopt-a-Pet.com  December 1'!$B:$B,0),MATCH('Final Data'!AG$1,'Adopt-a-Pet.com  December 1'!$1:$1,0))</f>
        <v>Yes</v>
      </c>
      <c r="AH44" t="str">
        <f>INDEX('Adopt-a-Pet.com  December 1'!$A$1:$AE$857,MATCH('Final Data'!$B44,'Adopt-a-Pet.com  December 1'!$B:$B,0),MATCH('Final Data'!AH$1,'Adopt-a-Pet.com  December 1'!$1:$1,0))</f>
        <v>Unknown</v>
      </c>
      <c r="AI44">
        <f>INDEX('Adopt-a-Pet.com  December 1'!$A$1:$AE$857,MATCH('Final Data'!$B44,'Adopt-a-Pet.com  December 1'!$B:$B,0),MATCH('Final Data'!AI$1,'Adopt-a-Pet.com  December 1'!$1:$1,0))</f>
        <v>0</v>
      </c>
    </row>
    <row r="45" spans="1:35" x14ac:dyDescent="0.2">
      <c r="A45">
        <v>46184776</v>
      </c>
      <c r="B45" t="s">
        <v>836</v>
      </c>
      <c r="C45" t="s">
        <v>835</v>
      </c>
      <c r="D45" t="s">
        <v>1101</v>
      </c>
      <c r="E45">
        <v>1</v>
      </c>
      <c r="F45" t="s">
        <v>2167</v>
      </c>
      <c r="J45" s="54">
        <v>0</v>
      </c>
      <c r="K45" s="54">
        <v>0</v>
      </c>
      <c r="L45" s="54">
        <v>0</v>
      </c>
      <c r="M45" s="54">
        <v>0</v>
      </c>
      <c r="N45" s="54">
        <v>0</v>
      </c>
      <c r="O45" s="54">
        <v>0</v>
      </c>
      <c r="P45" s="56">
        <v>0</v>
      </c>
      <c r="Q45" t="str">
        <f>INDEX('Adopt-a-Pet.com  December 1'!$A$1:$AE$857,MATCH('Final Data'!$B45,'Adopt-a-Pet.com  December 1'!$B:$B,0),MATCH('Final Data'!Q$1,'Adopt-a-Pet.com  December 1'!$1:$1,0))</f>
        <v>adopted</v>
      </c>
      <c r="R45">
        <f>INDEX('Adopt-a-Pet.com  December 1'!$A$1:$AE$857,MATCH('Final Data'!$B45,'Adopt-a-Pet.com  December 1'!$B:$B,0),MATCH('Final Data'!R$1,'Adopt-a-Pet.com  December 1'!$1:$1,0))</f>
        <v>45949</v>
      </c>
      <c r="S45">
        <f>INDEX('Adopt-a-Pet.com  December 1'!$A$1:$AE$857,MATCH('Final Data'!$B45,'Adopt-a-Pet.com  December 1'!$B:$B,0),MATCH('Final Data'!S$1,'Adopt-a-Pet.com  December 1'!$1:$1,0))</f>
        <v>45974</v>
      </c>
      <c r="T45" t="str">
        <f>INDEX('Adopt-a-Pet.com  December 1'!$A$1:$AE$857,MATCH('Final Data'!$B45,'Adopt-a-Pet.com  December 1'!$B:$B,0),MATCH('Final Data'!T$1,'Adopt-a-Pet.com  December 1'!$1:$1,0))</f>
        <v>Boxer</v>
      </c>
      <c r="U45" t="str">
        <f>INDEX('Adopt-a-Pet.com  December 1'!$A$1:$AE$857,MATCH('Final Data'!$B45,'Adopt-a-Pet.com  December 1'!$B:$B,0),MATCH('Final Data'!U$1,'Adopt-a-Pet.com  December 1'!$1:$1,0))</f>
        <v>American Bulldog</v>
      </c>
      <c r="V45" t="str">
        <f>INDEX('Adopt-a-Pet.com  December 1'!$A$1:$AE$857,MATCH('Final Data'!$B45,'Adopt-a-Pet.com  December 1'!$B:$B,0),MATCH('Final Data'!V$1,'Adopt-a-Pet.com  December 1'!$1:$1,0))</f>
        <v>Red/Golden/Orange/Chestnut - with White</v>
      </c>
      <c r="W45" t="str">
        <f>INDEX('Adopt-a-Pet.com  December 1'!$A$1:$AE$857,MATCH('Final Data'!$B45,'Adopt-a-Pet.com  December 1'!$B:$B,0),MATCH('Final Data'!W$1,'Adopt-a-Pet.com  December 1'!$1:$1,0))</f>
        <v>male</v>
      </c>
      <c r="X45" t="str">
        <f>INDEX('Adopt-a-Pet.com  December 1'!$A$1:$AE$857,MATCH('Final Data'!$B45,'Adopt-a-Pet.com  December 1'!$B:$B,0),MATCH('Final Data'!X$1,'Adopt-a-Pet.com  December 1'!$1:$1,0))</f>
        <v>adult</v>
      </c>
      <c r="Y45" t="str">
        <f>INDEX('Adopt-a-Pet.com  December 1'!$A$1:$AE$857,MATCH('Final Data'!$B45,'Adopt-a-Pet.com  December 1'!$B:$B,0),MATCH('Final Data'!Y$1,'Adopt-a-Pet.com  December 1'!$1:$1,0))</f>
        <v>Med. 26-60 lbs (12-27 kg)</v>
      </c>
      <c r="Z45">
        <f>INDEX('Adopt-a-Pet.com  December 1'!$A$1:$AE$857,MATCH('Final Data'!$B45,'Adopt-a-Pet.com  December 1'!$B:$B,0),MATCH('Final Data'!Z$1,'Adopt-a-Pet.com  December 1'!$1:$1,0))</f>
        <v>0</v>
      </c>
      <c r="AA45" t="str">
        <f>INDEX('Adopt-a-Pet.com  December 1'!$A$1:$AE$857,MATCH('Final Data'!$B45,'Adopt-a-Pet.com  December 1'!$B:$B,0),MATCH('Final Data'!AA$1,'Adopt-a-Pet.com  December 1'!$1:$1,0))</f>
        <v>Yes</v>
      </c>
      <c r="AB45" t="str">
        <f>INDEX('Adopt-a-Pet.com  December 1'!$A$1:$AE$857,MATCH('Final Data'!$B45,'Adopt-a-Pet.com  December 1'!$B:$B,0),MATCH('Final Data'!AB$1,'Adopt-a-Pet.com  December 1'!$1:$1,0))</f>
        <v>Yes</v>
      </c>
      <c r="AC45" t="str">
        <f>INDEX('Adopt-a-Pet.com  December 1'!$A$1:$AE$857,MATCH('Final Data'!$B45,'Adopt-a-Pet.com  December 1'!$B:$B,0),MATCH('Final Data'!AC$1,'Adopt-a-Pet.com  December 1'!$1:$1,0))</f>
        <v>Yes</v>
      </c>
      <c r="AD45" t="str">
        <f>INDEX('Adopt-a-Pet.com  December 1'!$A$1:$AE$857,MATCH('Final Data'!$B45,'Adopt-a-Pet.com  December 1'!$B:$B,0),MATCH('Final Data'!AD$1,'Adopt-a-Pet.com  December 1'!$1:$1,0))</f>
        <v>No</v>
      </c>
      <c r="AE45" t="str">
        <f>INDEX('Adopt-a-Pet.com  December 1'!$A$1:$AE$857,MATCH('Final Data'!$B45,'Adopt-a-Pet.com  December 1'!$B:$B,0),MATCH('Final Data'!AE$1,'Adopt-a-Pet.com  December 1'!$1:$1,0))</f>
        <v>No</v>
      </c>
      <c r="AF45" t="str">
        <f>INDEX('Adopt-a-Pet.com  December 1'!$A$1:$AE$857,MATCH('Final Data'!$B45,'Adopt-a-Pet.com  December 1'!$B:$B,0),MATCH('Final Data'!AF$1,'Adopt-a-Pet.com  December 1'!$1:$1,0))</f>
        <v>Yes</v>
      </c>
      <c r="AG45" t="str">
        <f>INDEX('Adopt-a-Pet.com  December 1'!$A$1:$AE$857,MATCH('Final Data'!$B45,'Adopt-a-Pet.com  December 1'!$B:$B,0),MATCH('Final Data'!AG$1,'Adopt-a-Pet.com  December 1'!$1:$1,0))</f>
        <v>Yes</v>
      </c>
      <c r="AH45" t="str">
        <f>INDEX('Adopt-a-Pet.com  December 1'!$A$1:$AE$857,MATCH('Final Data'!$B45,'Adopt-a-Pet.com  December 1'!$B:$B,0),MATCH('Final Data'!AH$1,'Adopt-a-Pet.com  December 1'!$1:$1,0))</f>
        <v>Unknown</v>
      </c>
      <c r="AI45">
        <f>INDEX('Adopt-a-Pet.com  December 1'!$A$1:$AE$857,MATCH('Final Data'!$B45,'Adopt-a-Pet.com  December 1'!$B:$B,0),MATCH('Final Data'!AI$1,'Adopt-a-Pet.com  December 1'!$1:$1,0))</f>
        <v>0</v>
      </c>
    </row>
    <row r="46" spans="1:35" x14ac:dyDescent="0.2">
      <c r="A46">
        <v>46184787</v>
      </c>
      <c r="B46" t="s">
        <v>849</v>
      </c>
      <c r="C46" t="s">
        <v>848</v>
      </c>
      <c r="D46" t="s">
        <v>1101</v>
      </c>
      <c r="E46">
        <v>1</v>
      </c>
      <c r="F46" t="s">
        <v>3092</v>
      </c>
      <c r="G46" t="s">
        <v>2170</v>
      </c>
      <c r="H46">
        <v>45964</v>
      </c>
      <c r="I46">
        <v>37</v>
      </c>
      <c r="J46">
        <v>463</v>
      </c>
      <c r="K46">
        <v>885</v>
      </c>
      <c r="L46">
        <v>885</v>
      </c>
      <c r="M46">
        <v>34</v>
      </c>
      <c r="N46">
        <v>70</v>
      </c>
      <c r="O46">
        <v>70</v>
      </c>
      <c r="P46" s="56">
        <v>0</v>
      </c>
      <c r="Q46" t="str">
        <f>INDEX('Adopt-a-Pet.com  December 1'!$A$1:$AE$857,MATCH('Final Data'!$B46,'Adopt-a-Pet.com  December 1'!$B:$B,0),MATCH('Final Data'!Q$1,'Adopt-a-Pet.com  December 1'!$1:$1,0))</f>
        <v>available</v>
      </c>
      <c r="R46">
        <f>INDEX('Adopt-a-Pet.com  December 1'!$A$1:$AE$857,MATCH('Final Data'!$B46,'Adopt-a-Pet.com  December 1'!$B:$B,0),MATCH('Final Data'!R$1,'Adopt-a-Pet.com  December 1'!$1:$1,0))</f>
        <v>45949</v>
      </c>
      <c r="S46">
        <f>INDEX('Adopt-a-Pet.com  December 1'!$A$1:$AE$857,MATCH('Final Data'!$B46,'Adopt-a-Pet.com  December 1'!$B:$B,0),MATCH('Final Data'!S$1,'Adopt-a-Pet.com  December 1'!$1:$1,0))</f>
        <v>0</v>
      </c>
      <c r="T46" t="str">
        <f>INDEX('Adopt-a-Pet.com  December 1'!$A$1:$AE$857,MATCH('Final Data'!$B46,'Adopt-a-Pet.com  December 1'!$B:$B,0),MATCH('Final Data'!T$1,'Adopt-a-Pet.com  December 1'!$1:$1,0))</f>
        <v>Weimaraner</v>
      </c>
      <c r="U46" t="str">
        <f>INDEX('Adopt-a-Pet.com  December 1'!$A$1:$AE$857,MATCH('Final Data'!$B46,'Adopt-a-Pet.com  December 1'!$B:$B,0),MATCH('Final Data'!U$1,'Adopt-a-Pet.com  December 1'!$1:$1,0))</f>
        <v>Labrador Retriever</v>
      </c>
      <c r="V46" t="str">
        <f>INDEX('Adopt-a-Pet.com  December 1'!$A$1:$AE$857,MATCH('Final Data'!$B46,'Adopt-a-Pet.com  December 1'!$B:$B,0),MATCH('Final Data'!V$1,'Adopt-a-Pet.com  December 1'!$1:$1,0))</f>
        <v>Tan/Yellow/Fawn</v>
      </c>
      <c r="W46" t="str">
        <f>INDEX('Adopt-a-Pet.com  December 1'!$A$1:$AE$857,MATCH('Final Data'!$B46,'Adopt-a-Pet.com  December 1'!$B:$B,0),MATCH('Final Data'!W$1,'Adopt-a-Pet.com  December 1'!$1:$1,0))</f>
        <v>male</v>
      </c>
      <c r="X46" t="str">
        <f>INDEX('Adopt-a-Pet.com  December 1'!$A$1:$AE$857,MATCH('Final Data'!$B46,'Adopt-a-Pet.com  December 1'!$B:$B,0),MATCH('Final Data'!X$1,'Adopt-a-Pet.com  December 1'!$1:$1,0))</f>
        <v>adult</v>
      </c>
      <c r="Y46" t="str">
        <f>INDEX('Adopt-a-Pet.com  December 1'!$A$1:$AE$857,MATCH('Final Data'!$B46,'Adopt-a-Pet.com  December 1'!$B:$B,0),MATCH('Final Data'!Y$1,'Adopt-a-Pet.com  December 1'!$1:$1,0))</f>
        <v>Large 61-100 lbs (28-45 kg)</v>
      </c>
      <c r="Z46">
        <f>INDEX('Adopt-a-Pet.com  December 1'!$A$1:$AE$857,MATCH('Final Data'!$B46,'Adopt-a-Pet.com  December 1'!$B:$B,0),MATCH('Final Data'!Z$1,'Adopt-a-Pet.com  December 1'!$1:$1,0))</f>
        <v>0</v>
      </c>
      <c r="AA46" t="str">
        <f>INDEX('Adopt-a-Pet.com  December 1'!$A$1:$AE$857,MATCH('Final Data'!$B46,'Adopt-a-Pet.com  December 1'!$B:$B,0),MATCH('Final Data'!AA$1,'Adopt-a-Pet.com  December 1'!$1:$1,0))</f>
        <v>Yes</v>
      </c>
      <c r="AB46" t="str">
        <f>INDEX('Adopt-a-Pet.com  December 1'!$A$1:$AE$857,MATCH('Final Data'!$B46,'Adopt-a-Pet.com  December 1'!$B:$B,0),MATCH('Final Data'!AB$1,'Adopt-a-Pet.com  December 1'!$1:$1,0))</f>
        <v>Yes</v>
      </c>
      <c r="AC46" t="str">
        <f>INDEX('Adopt-a-Pet.com  December 1'!$A$1:$AE$857,MATCH('Final Data'!$B46,'Adopt-a-Pet.com  December 1'!$B:$B,0),MATCH('Final Data'!AC$1,'Adopt-a-Pet.com  December 1'!$1:$1,0))</f>
        <v>Yes</v>
      </c>
      <c r="AD46" t="str">
        <f>INDEX('Adopt-a-Pet.com  December 1'!$A$1:$AE$857,MATCH('Final Data'!$B46,'Adopt-a-Pet.com  December 1'!$B:$B,0),MATCH('Final Data'!AD$1,'Adopt-a-Pet.com  December 1'!$1:$1,0))</f>
        <v>No</v>
      </c>
      <c r="AE46" t="str">
        <f>INDEX('Adopt-a-Pet.com  December 1'!$A$1:$AE$857,MATCH('Final Data'!$B46,'Adopt-a-Pet.com  December 1'!$B:$B,0),MATCH('Final Data'!AE$1,'Adopt-a-Pet.com  December 1'!$1:$1,0))</f>
        <v>No</v>
      </c>
      <c r="AF46" t="str">
        <f>INDEX('Adopt-a-Pet.com  December 1'!$A$1:$AE$857,MATCH('Final Data'!$B46,'Adopt-a-Pet.com  December 1'!$B:$B,0),MATCH('Final Data'!AF$1,'Adopt-a-Pet.com  December 1'!$1:$1,0))</f>
        <v>Yes</v>
      </c>
      <c r="AG46" t="str">
        <f>INDEX('Adopt-a-Pet.com  December 1'!$A$1:$AE$857,MATCH('Final Data'!$B46,'Adopt-a-Pet.com  December 1'!$B:$B,0),MATCH('Final Data'!AG$1,'Adopt-a-Pet.com  December 1'!$1:$1,0))</f>
        <v>Yes</v>
      </c>
      <c r="AH46" t="str">
        <f>INDEX('Adopt-a-Pet.com  December 1'!$A$1:$AE$857,MATCH('Final Data'!$B46,'Adopt-a-Pet.com  December 1'!$B:$B,0),MATCH('Final Data'!AH$1,'Adopt-a-Pet.com  December 1'!$1:$1,0))</f>
        <v>Unknown</v>
      </c>
      <c r="AI46" t="str">
        <f>INDEX('Adopt-a-Pet.com  December 1'!$A$1:$AE$857,MATCH('Final Data'!$B46,'Adopt-a-Pet.com  December 1'!$B:$B,0),MATCH('Final Data'!AI$1,'Adopt-a-Pet.com  December 1'!$1:$1,0))</f>
        <v>Deeno is a lovable goofball with a heart of gold! This tan Weimaraner/Lab mix is curious, playful, and full of personality. He loves exploring, playing with his toys, and showing off his silly side‚Äîhis antics are guaranteed to make you smile. Deeno is great with kids and other dogs, making him an ideal fit for an active, loving family. He‚Äôs as sweet as he is funny, always eager to join in on the fun or cuddle up after a day of adventure. If you‚Äôre looking for a cheerful, loyal companion who brings laughter and love wherever he goes, Deeno is your guy!</v>
      </c>
    </row>
    <row r="47" spans="1:35" x14ac:dyDescent="0.2">
      <c r="A47">
        <v>46184800</v>
      </c>
      <c r="B47" t="s">
        <v>867</v>
      </c>
      <c r="C47" t="s">
        <v>866</v>
      </c>
      <c r="D47" t="s">
        <v>1101</v>
      </c>
      <c r="E47">
        <v>0</v>
      </c>
      <c r="F47" t="s">
        <v>2165</v>
      </c>
      <c r="I47">
        <v>17.8</v>
      </c>
      <c r="J47" s="54">
        <v>0</v>
      </c>
      <c r="K47" s="54">
        <v>0</v>
      </c>
      <c r="L47" s="54">
        <v>0</v>
      </c>
      <c r="M47" s="54">
        <v>0</v>
      </c>
      <c r="N47" s="54">
        <v>0</v>
      </c>
      <c r="O47" s="54">
        <v>0</v>
      </c>
      <c r="P47" s="56">
        <v>0</v>
      </c>
      <c r="Q47" t="str">
        <f>INDEX('Adopt-a-Pet.com  December 1'!$A$1:$AE$857,MATCH('Final Data'!$B47,'Adopt-a-Pet.com  December 1'!$B:$B,0),MATCH('Final Data'!Q$1,'Adopt-a-Pet.com  December 1'!$1:$1,0))</f>
        <v>adopted</v>
      </c>
      <c r="R47">
        <f>INDEX('Adopt-a-Pet.com  December 1'!$A$1:$AE$857,MATCH('Final Data'!$B47,'Adopt-a-Pet.com  December 1'!$B:$B,0),MATCH('Final Data'!R$1,'Adopt-a-Pet.com  December 1'!$1:$1,0))</f>
        <v>45949</v>
      </c>
      <c r="S47">
        <f>INDEX('Adopt-a-Pet.com  December 1'!$A$1:$AE$857,MATCH('Final Data'!$B47,'Adopt-a-Pet.com  December 1'!$B:$B,0),MATCH('Final Data'!S$1,'Adopt-a-Pet.com  December 1'!$1:$1,0))</f>
        <v>45963</v>
      </c>
      <c r="T47" t="str">
        <f>INDEX('Adopt-a-Pet.com  December 1'!$A$1:$AE$857,MATCH('Final Data'!$B47,'Adopt-a-Pet.com  December 1'!$B:$B,0),MATCH('Final Data'!T$1,'Adopt-a-Pet.com  December 1'!$1:$1,0))</f>
        <v>German Shorthaired Pointer</v>
      </c>
      <c r="U47" t="str">
        <f>INDEX('Adopt-a-Pet.com  December 1'!$A$1:$AE$857,MATCH('Final Data'!$B47,'Adopt-a-Pet.com  December 1'!$B:$B,0),MATCH('Final Data'!U$1,'Adopt-a-Pet.com  December 1'!$1:$1,0))</f>
        <v>Bluetick Coonhound</v>
      </c>
      <c r="V47" t="str">
        <f>INDEX('Adopt-a-Pet.com  December 1'!$A$1:$AE$857,MATCH('Final Data'!$B47,'Adopt-a-Pet.com  December 1'!$B:$B,0),MATCH('Final Data'!V$1,'Adopt-a-Pet.com  December 1'!$1:$1,0))</f>
        <v>Black - with White</v>
      </c>
      <c r="W47" t="str">
        <f>INDEX('Adopt-a-Pet.com  December 1'!$A$1:$AE$857,MATCH('Final Data'!$B47,'Adopt-a-Pet.com  December 1'!$B:$B,0),MATCH('Final Data'!W$1,'Adopt-a-Pet.com  December 1'!$1:$1,0))</f>
        <v>male</v>
      </c>
      <c r="X47" t="str">
        <f>INDEX('Adopt-a-Pet.com  December 1'!$A$1:$AE$857,MATCH('Final Data'!$B47,'Adopt-a-Pet.com  December 1'!$B:$B,0),MATCH('Final Data'!X$1,'Adopt-a-Pet.com  December 1'!$1:$1,0))</f>
        <v>adult</v>
      </c>
      <c r="Y47" t="str">
        <f>INDEX('Adopt-a-Pet.com  December 1'!$A$1:$AE$857,MATCH('Final Data'!$B47,'Adopt-a-Pet.com  December 1'!$B:$B,0),MATCH('Final Data'!Y$1,'Adopt-a-Pet.com  December 1'!$1:$1,0))</f>
        <v>Large 61-100 lbs (28-45 kg)</v>
      </c>
      <c r="Z47">
        <f>INDEX('Adopt-a-Pet.com  December 1'!$A$1:$AE$857,MATCH('Final Data'!$B47,'Adopt-a-Pet.com  December 1'!$B:$B,0),MATCH('Final Data'!Z$1,'Adopt-a-Pet.com  December 1'!$1:$1,0))</f>
        <v>0</v>
      </c>
      <c r="AA47" t="str">
        <f>INDEX('Adopt-a-Pet.com  December 1'!$A$1:$AE$857,MATCH('Final Data'!$B47,'Adopt-a-Pet.com  December 1'!$B:$B,0),MATCH('Final Data'!AA$1,'Adopt-a-Pet.com  December 1'!$1:$1,0))</f>
        <v>Yes</v>
      </c>
      <c r="AB47" t="str">
        <f>INDEX('Adopt-a-Pet.com  December 1'!$A$1:$AE$857,MATCH('Final Data'!$B47,'Adopt-a-Pet.com  December 1'!$B:$B,0),MATCH('Final Data'!AB$1,'Adopt-a-Pet.com  December 1'!$1:$1,0))</f>
        <v>Yes</v>
      </c>
      <c r="AC47" t="str">
        <f>INDEX('Adopt-a-Pet.com  December 1'!$A$1:$AE$857,MATCH('Final Data'!$B47,'Adopt-a-Pet.com  December 1'!$B:$B,0),MATCH('Final Data'!AC$1,'Adopt-a-Pet.com  December 1'!$1:$1,0))</f>
        <v>Yes</v>
      </c>
      <c r="AD47" t="str">
        <f>INDEX('Adopt-a-Pet.com  December 1'!$A$1:$AE$857,MATCH('Final Data'!$B47,'Adopt-a-Pet.com  December 1'!$B:$B,0),MATCH('Final Data'!AD$1,'Adopt-a-Pet.com  December 1'!$1:$1,0))</f>
        <v>No</v>
      </c>
      <c r="AE47" t="str">
        <f>INDEX('Adopt-a-Pet.com  December 1'!$A$1:$AE$857,MATCH('Final Data'!$B47,'Adopt-a-Pet.com  December 1'!$B:$B,0),MATCH('Final Data'!AE$1,'Adopt-a-Pet.com  December 1'!$1:$1,0))</f>
        <v>No</v>
      </c>
      <c r="AF47" t="str">
        <f>INDEX('Adopt-a-Pet.com  December 1'!$A$1:$AE$857,MATCH('Final Data'!$B47,'Adopt-a-Pet.com  December 1'!$B:$B,0),MATCH('Final Data'!AF$1,'Adopt-a-Pet.com  December 1'!$1:$1,0))</f>
        <v>Yes</v>
      </c>
      <c r="AG47" t="str">
        <f>INDEX('Adopt-a-Pet.com  December 1'!$A$1:$AE$857,MATCH('Final Data'!$B47,'Adopt-a-Pet.com  December 1'!$B:$B,0),MATCH('Final Data'!AG$1,'Adopt-a-Pet.com  December 1'!$1:$1,0))</f>
        <v>Yes</v>
      </c>
      <c r="AH47" t="str">
        <f>INDEX('Adopt-a-Pet.com  December 1'!$A$1:$AE$857,MATCH('Final Data'!$B47,'Adopt-a-Pet.com  December 1'!$B:$B,0),MATCH('Final Data'!AH$1,'Adopt-a-Pet.com  December 1'!$1:$1,0))</f>
        <v>Unknown</v>
      </c>
      <c r="AI47">
        <f>INDEX('Adopt-a-Pet.com  December 1'!$A$1:$AE$857,MATCH('Final Data'!$B47,'Adopt-a-Pet.com  December 1'!$B:$B,0),MATCH('Final Data'!AI$1,'Adopt-a-Pet.com  December 1'!$1:$1,0))</f>
        <v>0</v>
      </c>
    </row>
    <row r="48" spans="1:35" x14ac:dyDescent="0.2">
      <c r="A48">
        <v>46184805</v>
      </c>
      <c r="B48" t="s">
        <v>1152</v>
      </c>
      <c r="C48" t="s">
        <v>1153</v>
      </c>
      <c r="D48" t="s">
        <v>1101</v>
      </c>
      <c r="E48">
        <v>1</v>
      </c>
      <c r="F48" t="s">
        <v>2165</v>
      </c>
      <c r="G48" t="s">
        <v>2171</v>
      </c>
      <c r="H48">
        <v>45964</v>
      </c>
      <c r="I48">
        <v>26.2</v>
      </c>
      <c r="J48">
        <v>232</v>
      </c>
      <c r="K48">
        <v>439</v>
      </c>
      <c r="L48">
        <v>439</v>
      </c>
      <c r="M48">
        <v>18</v>
      </c>
      <c r="N48">
        <v>78</v>
      </c>
      <c r="O48">
        <v>78</v>
      </c>
      <c r="P48" s="5">
        <v>7.8E-2</v>
      </c>
      <c r="Q48" t="str">
        <f>INDEX('Adopt-a-Pet.com  December 1'!$A$1:$AE$857,MATCH('Final Data'!$B48,'Adopt-a-Pet.com  December 1'!$B:$B,0),MATCH('Final Data'!Q$1,'Adopt-a-Pet.com  December 1'!$1:$1,0))</f>
        <v>adopted</v>
      </c>
      <c r="R48">
        <f>INDEX('Adopt-a-Pet.com  December 1'!$A$1:$AE$857,MATCH('Final Data'!$B48,'Adopt-a-Pet.com  December 1'!$B:$B,0),MATCH('Final Data'!R$1,'Adopt-a-Pet.com  December 1'!$1:$1,0))</f>
        <v>45949</v>
      </c>
      <c r="S48">
        <f>INDEX('Adopt-a-Pet.com  December 1'!$A$1:$AE$857,MATCH('Final Data'!$B48,'Adopt-a-Pet.com  December 1'!$B:$B,0),MATCH('Final Data'!S$1,'Adopt-a-Pet.com  December 1'!$1:$1,0))</f>
        <v>45974</v>
      </c>
      <c r="T48" t="str">
        <f>INDEX('Adopt-a-Pet.com  December 1'!$A$1:$AE$857,MATCH('Final Data'!$B48,'Adopt-a-Pet.com  December 1'!$B:$B,0),MATCH('Final Data'!T$1,'Adopt-a-Pet.com  December 1'!$1:$1,0))</f>
        <v>Treeing Walker Coonhound</v>
      </c>
      <c r="U48" t="str">
        <f>INDEX('Adopt-a-Pet.com  December 1'!$A$1:$AE$857,MATCH('Final Data'!$B48,'Adopt-a-Pet.com  December 1'!$B:$B,0),MATCH('Final Data'!U$1,'Adopt-a-Pet.com  December 1'!$1:$1,0))</f>
        <v>Foxhound</v>
      </c>
      <c r="V48" t="str">
        <f>INDEX('Adopt-a-Pet.com  December 1'!$A$1:$AE$857,MATCH('Final Data'!$B48,'Adopt-a-Pet.com  December 1'!$B:$B,0),MATCH('Final Data'!V$1,'Adopt-a-Pet.com  December 1'!$1:$1,0))</f>
        <v>Tricolor (Tan/Brown &amp; Black &amp; White)</v>
      </c>
      <c r="W48" t="str">
        <f>INDEX('Adopt-a-Pet.com  December 1'!$A$1:$AE$857,MATCH('Final Data'!$B48,'Adopt-a-Pet.com  December 1'!$B:$B,0),MATCH('Final Data'!W$1,'Adopt-a-Pet.com  December 1'!$1:$1,0))</f>
        <v>female</v>
      </c>
      <c r="X48" t="str">
        <f>INDEX('Adopt-a-Pet.com  December 1'!$A$1:$AE$857,MATCH('Final Data'!$B48,'Adopt-a-Pet.com  December 1'!$B:$B,0),MATCH('Final Data'!X$1,'Adopt-a-Pet.com  December 1'!$1:$1,0))</f>
        <v>adult</v>
      </c>
      <c r="Y48" t="str">
        <f>INDEX('Adopt-a-Pet.com  December 1'!$A$1:$AE$857,MATCH('Final Data'!$B48,'Adopt-a-Pet.com  December 1'!$B:$B,0),MATCH('Final Data'!Y$1,'Adopt-a-Pet.com  December 1'!$1:$1,0))</f>
        <v>Med. 26-60 lbs (12-27 kg)</v>
      </c>
      <c r="Z48">
        <f>INDEX('Adopt-a-Pet.com  December 1'!$A$1:$AE$857,MATCH('Final Data'!$B48,'Adopt-a-Pet.com  December 1'!$B:$B,0),MATCH('Final Data'!Z$1,'Adopt-a-Pet.com  December 1'!$1:$1,0))</f>
        <v>0</v>
      </c>
      <c r="AA48" t="str">
        <f>INDEX('Adopt-a-Pet.com  December 1'!$A$1:$AE$857,MATCH('Final Data'!$B48,'Adopt-a-Pet.com  December 1'!$B:$B,0),MATCH('Final Data'!AA$1,'Adopt-a-Pet.com  December 1'!$1:$1,0))</f>
        <v>Yes</v>
      </c>
      <c r="AB48" t="str">
        <f>INDEX('Adopt-a-Pet.com  December 1'!$A$1:$AE$857,MATCH('Final Data'!$B48,'Adopt-a-Pet.com  December 1'!$B:$B,0),MATCH('Final Data'!AB$1,'Adopt-a-Pet.com  December 1'!$1:$1,0))</f>
        <v>No</v>
      </c>
      <c r="AC48" t="str">
        <f>INDEX('Adopt-a-Pet.com  December 1'!$A$1:$AE$857,MATCH('Final Data'!$B48,'Adopt-a-Pet.com  December 1'!$B:$B,0),MATCH('Final Data'!AC$1,'Adopt-a-Pet.com  December 1'!$1:$1,0))</f>
        <v>Yes</v>
      </c>
      <c r="AD48" t="str">
        <f>INDEX('Adopt-a-Pet.com  December 1'!$A$1:$AE$857,MATCH('Final Data'!$B48,'Adopt-a-Pet.com  December 1'!$B:$B,0),MATCH('Final Data'!AD$1,'Adopt-a-Pet.com  December 1'!$1:$1,0))</f>
        <v>No</v>
      </c>
      <c r="AE48" t="str">
        <f>INDEX('Adopt-a-Pet.com  December 1'!$A$1:$AE$857,MATCH('Final Data'!$B48,'Adopt-a-Pet.com  December 1'!$B:$B,0),MATCH('Final Data'!AE$1,'Adopt-a-Pet.com  December 1'!$1:$1,0))</f>
        <v>No</v>
      </c>
      <c r="AF48" t="str">
        <f>INDEX('Adopt-a-Pet.com  December 1'!$A$1:$AE$857,MATCH('Final Data'!$B48,'Adopt-a-Pet.com  December 1'!$B:$B,0),MATCH('Final Data'!AF$1,'Adopt-a-Pet.com  December 1'!$1:$1,0))</f>
        <v>Yes</v>
      </c>
      <c r="AG48" t="str">
        <f>INDEX('Adopt-a-Pet.com  December 1'!$A$1:$AE$857,MATCH('Final Data'!$B48,'Adopt-a-Pet.com  December 1'!$B:$B,0),MATCH('Final Data'!AG$1,'Adopt-a-Pet.com  December 1'!$1:$1,0))</f>
        <v>Yes</v>
      </c>
      <c r="AH48" t="str">
        <f>INDEX('Adopt-a-Pet.com  December 1'!$A$1:$AE$857,MATCH('Final Data'!$B48,'Adopt-a-Pet.com  December 1'!$B:$B,0),MATCH('Final Data'!AH$1,'Adopt-a-Pet.com  December 1'!$1:$1,0))</f>
        <v>Unknown</v>
      </c>
      <c r="AI48" t="str">
        <f>INDEX('Adopt-a-Pet.com  December 1'!$A$1:$AE$857,MATCH('Final Data'!$B48,'Adopt-a-Pet.com  December 1'!$B:$B,0),MATCH('Final Data'!AI$1,'Adopt-a-Pet.com  December 1'!$1:$1,0))</f>
        <v>Fufu is a sweet, affectionate girl who‚Äôs equal parts gentle and playful! This beautiful tricolor Treeing Walker Coonhound/Foxhound mix loves everyone she meets‚Äîkids, dogs, and all her human friends alike. She‚Äôs cuddly, loyal, and always ready to make you smile with her silly, endearing personality. Fufu enjoys nice walks (she‚Äôs great on the leash!) and loves spending time outdoors, but she‚Äôs just as happy curling up beside you for snuggles. With her soft eyes, loving heart, and friendly spirit, Fufu is the perfect mix of fun and affection. If you‚Äôre looking for a loyal companion who‚Äôll fill your days with love and laughter, Fufu is your girl.</v>
      </c>
    </row>
    <row r="49" spans="1:35" x14ac:dyDescent="0.2">
      <c r="A49">
        <v>46184679</v>
      </c>
      <c r="B49" t="s">
        <v>843</v>
      </c>
      <c r="C49" t="s">
        <v>842</v>
      </c>
      <c r="D49" t="s">
        <v>1101</v>
      </c>
      <c r="E49">
        <v>0</v>
      </c>
      <c r="F49" t="s">
        <v>2165</v>
      </c>
      <c r="I49">
        <v>24.8</v>
      </c>
      <c r="J49" s="54">
        <v>0</v>
      </c>
      <c r="K49" s="54">
        <v>0</v>
      </c>
      <c r="L49" s="54">
        <v>0</v>
      </c>
      <c r="M49" s="54">
        <v>0</v>
      </c>
      <c r="N49" s="54">
        <v>0</v>
      </c>
      <c r="O49" s="54">
        <v>0</v>
      </c>
      <c r="P49" s="56">
        <v>0</v>
      </c>
      <c r="Q49" t="str">
        <f>INDEX('Adopt-a-Pet.com  December 1'!$A$1:$AE$857,MATCH('Final Data'!$B49,'Adopt-a-Pet.com  December 1'!$B:$B,0),MATCH('Final Data'!Q$1,'Adopt-a-Pet.com  December 1'!$1:$1,0))</f>
        <v>adopted</v>
      </c>
      <c r="R49">
        <f>INDEX('Adopt-a-Pet.com  December 1'!$A$1:$AE$857,MATCH('Final Data'!$B49,'Adopt-a-Pet.com  December 1'!$B:$B,0),MATCH('Final Data'!R$1,'Adopt-a-Pet.com  December 1'!$1:$1,0))</f>
        <v>45949</v>
      </c>
      <c r="S49">
        <f>INDEX('Adopt-a-Pet.com  December 1'!$A$1:$AE$857,MATCH('Final Data'!$B49,'Adopt-a-Pet.com  December 1'!$B:$B,0),MATCH('Final Data'!S$1,'Adopt-a-Pet.com  December 1'!$1:$1,0))</f>
        <v>45974</v>
      </c>
      <c r="T49" t="str">
        <f>INDEX('Adopt-a-Pet.com  December 1'!$A$1:$AE$857,MATCH('Final Data'!$B49,'Adopt-a-Pet.com  December 1'!$B:$B,0),MATCH('Final Data'!T$1,'Adopt-a-Pet.com  December 1'!$1:$1,0))</f>
        <v>Labrador Retriever</v>
      </c>
      <c r="U49" t="str">
        <f>INDEX('Adopt-a-Pet.com  December 1'!$A$1:$AE$857,MATCH('Final Data'!$B49,'Adopt-a-Pet.com  December 1'!$B:$B,0),MATCH('Final Data'!U$1,'Adopt-a-Pet.com  December 1'!$1:$1,0))</f>
        <v>Beagle</v>
      </c>
      <c r="V49" t="str">
        <f>INDEX('Adopt-a-Pet.com  December 1'!$A$1:$AE$857,MATCH('Final Data'!$B49,'Adopt-a-Pet.com  December 1'!$B:$B,0),MATCH('Final Data'!V$1,'Adopt-a-Pet.com  December 1'!$1:$1,0))</f>
        <v>Black - with White</v>
      </c>
      <c r="W49" t="str">
        <f>INDEX('Adopt-a-Pet.com  December 1'!$A$1:$AE$857,MATCH('Final Data'!$B49,'Adopt-a-Pet.com  December 1'!$B:$B,0),MATCH('Final Data'!W$1,'Adopt-a-Pet.com  December 1'!$1:$1,0))</f>
        <v>male</v>
      </c>
      <c r="X49" t="str">
        <f>INDEX('Adopt-a-Pet.com  December 1'!$A$1:$AE$857,MATCH('Final Data'!$B49,'Adopt-a-Pet.com  December 1'!$B:$B,0),MATCH('Final Data'!X$1,'Adopt-a-Pet.com  December 1'!$1:$1,0))</f>
        <v>young</v>
      </c>
      <c r="Y49" t="str">
        <f>INDEX('Adopt-a-Pet.com  December 1'!$A$1:$AE$857,MATCH('Final Data'!$B49,'Adopt-a-Pet.com  December 1'!$B:$B,0),MATCH('Final Data'!Y$1,'Adopt-a-Pet.com  December 1'!$1:$1,0))</f>
        <v>Med. 26-60 lbs (12-27 kg)</v>
      </c>
      <c r="Z49">
        <f>INDEX('Adopt-a-Pet.com  December 1'!$A$1:$AE$857,MATCH('Final Data'!$B49,'Adopt-a-Pet.com  December 1'!$B:$B,0),MATCH('Final Data'!Z$1,'Adopt-a-Pet.com  December 1'!$1:$1,0))</f>
        <v>0</v>
      </c>
      <c r="AA49" t="str">
        <f>INDEX('Adopt-a-Pet.com  December 1'!$A$1:$AE$857,MATCH('Final Data'!$B49,'Adopt-a-Pet.com  December 1'!$B:$B,0),MATCH('Final Data'!AA$1,'Adopt-a-Pet.com  December 1'!$1:$1,0))</f>
        <v>Yes</v>
      </c>
      <c r="AB49" t="str">
        <f>INDEX('Adopt-a-Pet.com  December 1'!$A$1:$AE$857,MATCH('Final Data'!$B49,'Adopt-a-Pet.com  December 1'!$B:$B,0),MATCH('Final Data'!AB$1,'Adopt-a-Pet.com  December 1'!$1:$1,0))</f>
        <v>Yes</v>
      </c>
      <c r="AC49" t="str">
        <f>INDEX('Adopt-a-Pet.com  December 1'!$A$1:$AE$857,MATCH('Final Data'!$B49,'Adopt-a-Pet.com  December 1'!$B:$B,0),MATCH('Final Data'!AC$1,'Adopt-a-Pet.com  December 1'!$1:$1,0))</f>
        <v>Yes</v>
      </c>
      <c r="AD49" t="str">
        <f>INDEX('Adopt-a-Pet.com  December 1'!$A$1:$AE$857,MATCH('Final Data'!$B49,'Adopt-a-Pet.com  December 1'!$B:$B,0),MATCH('Final Data'!AD$1,'Adopt-a-Pet.com  December 1'!$1:$1,0))</f>
        <v>Yes</v>
      </c>
      <c r="AE49" t="str">
        <f>INDEX('Adopt-a-Pet.com  December 1'!$A$1:$AE$857,MATCH('Final Data'!$B49,'Adopt-a-Pet.com  December 1'!$B:$B,0),MATCH('Final Data'!AE$1,'Adopt-a-Pet.com  December 1'!$1:$1,0))</f>
        <v>No</v>
      </c>
      <c r="AF49" t="str">
        <f>INDEX('Adopt-a-Pet.com  December 1'!$A$1:$AE$857,MATCH('Final Data'!$B49,'Adopt-a-Pet.com  December 1'!$B:$B,0),MATCH('Final Data'!AF$1,'Adopt-a-Pet.com  December 1'!$1:$1,0))</f>
        <v>Yes</v>
      </c>
      <c r="AG49" t="str">
        <f>INDEX('Adopt-a-Pet.com  December 1'!$A$1:$AE$857,MATCH('Final Data'!$B49,'Adopt-a-Pet.com  December 1'!$B:$B,0),MATCH('Final Data'!AG$1,'Adopt-a-Pet.com  December 1'!$1:$1,0))</f>
        <v>Yes</v>
      </c>
      <c r="AH49" t="str">
        <f>INDEX('Adopt-a-Pet.com  December 1'!$A$1:$AE$857,MATCH('Final Data'!$B49,'Adopt-a-Pet.com  December 1'!$B:$B,0),MATCH('Final Data'!AH$1,'Adopt-a-Pet.com  December 1'!$1:$1,0))</f>
        <v>Unknown</v>
      </c>
      <c r="AI49">
        <f>INDEX('Adopt-a-Pet.com  December 1'!$A$1:$AE$857,MATCH('Final Data'!$B49,'Adopt-a-Pet.com  December 1'!$B:$B,0),MATCH('Final Data'!AI$1,'Adopt-a-Pet.com  December 1'!$1:$1,0))</f>
        <v>0</v>
      </c>
    </row>
    <row r="50" spans="1:35" x14ac:dyDescent="0.2">
      <c r="A50">
        <v>46184656</v>
      </c>
      <c r="B50" t="s">
        <v>775</v>
      </c>
      <c r="C50" t="s">
        <v>774</v>
      </c>
      <c r="D50" t="s">
        <v>1101</v>
      </c>
      <c r="E50">
        <v>1</v>
      </c>
      <c r="F50" t="s">
        <v>2165</v>
      </c>
      <c r="G50" t="s">
        <v>1755</v>
      </c>
      <c r="H50">
        <v>45957</v>
      </c>
      <c r="I50">
        <v>44.9</v>
      </c>
      <c r="J50">
        <v>452</v>
      </c>
      <c r="K50">
        <v>452</v>
      </c>
      <c r="L50">
        <v>452</v>
      </c>
      <c r="M50">
        <v>30</v>
      </c>
      <c r="N50">
        <v>30</v>
      </c>
      <c r="O50">
        <v>30</v>
      </c>
      <c r="P50" s="5">
        <v>6.6000000000000003E-2</v>
      </c>
      <c r="Q50" t="str">
        <f>INDEX('Adopt-a-Pet.com  December 1'!$A$1:$AE$857,MATCH('Final Data'!$B50,'Adopt-a-Pet.com  December 1'!$B:$B,0),MATCH('Final Data'!Q$1,'Adopt-a-Pet.com  December 1'!$1:$1,0))</f>
        <v>adopted</v>
      </c>
      <c r="R50">
        <f>INDEX('Adopt-a-Pet.com  December 1'!$A$1:$AE$857,MATCH('Final Data'!$B50,'Adopt-a-Pet.com  December 1'!$B:$B,0),MATCH('Final Data'!R$1,'Adopt-a-Pet.com  December 1'!$1:$1,0))</f>
        <v>45949</v>
      </c>
      <c r="S50">
        <f>INDEX('Adopt-a-Pet.com  December 1'!$A$1:$AE$857,MATCH('Final Data'!$B50,'Adopt-a-Pet.com  December 1'!$B:$B,0),MATCH('Final Data'!S$1,'Adopt-a-Pet.com  December 1'!$1:$1,0))</f>
        <v>45963</v>
      </c>
      <c r="T50" t="str">
        <f>INDEX('Adopt-a-Pet.com  December 1'!$A$1:$AE$857,MATCH('Final Data'!$B50,'Adopt-a-Pet.com  December 1'!$B:$B,0),MATCH('Final Data'!T$1,'Adopt-a-Pet.com  December 1'!$1:$1,0))</f>
        <v>Labrador Retriever</v>
      </c>
      <c r="U50">
        <f>INDEX('Adopt-a-Pet.com  December 1'!$A$1:$AE$857,MATCH('Final Data'!$B50,'Adopt-a-Pet.com  December 1'!$B:$B,0),MATCH('Final Data'!U$1,'Adopt-a-Pet.com  December 1'!$1:$1,0))</f>
        <v>0</v>
      </c>
      <c r="V50" t="str">
        <f>INDEX('Adopt-a-Pet.com  December 1'!$A$1:$AE$857,MATCH('Final Data'!$B50,'Adopt-a-Pet.com  December 1'!$B:$B,0),MATCH('Final Data'!V$1,'Adopt-a-Pet.com  December 1'!$1:$1,0))</f>
        <v>Black</v>
      </c>
      <c r="W50" t="str">
        <f>INDEX('Adopt-a-Pet.com  December 1'!$A$1:$AE$857,MATCH('Final Data'!$B50,'Adopt-a-Pet.com  December 1'!$B:$B,0),MATCH('Final Data'!W$1,'Adopt-a-Pet.com  December 1'!$1:$1,0))</f>
        <v>male</v>
      </c>
      <c r="X50" t="str">
        <f>INDEX('Adopt-a-Pet.com  December 1'!$A$1:$AE$857,MATCH('Final Data'!$B50,'Adopt-a-Pet.com  December 1'!$B:$B,0),MATCH('Final Data'!X$1,'Adopt-a-Pet.com  December 1'!$1:$1,0))</f>
        <v>adult</v>
      </c>
      <c r="Y50" t="str">
        <f>INDEX('Adopt-a-Pet.com  December 1'!$A$1:$AE$857,MATCH('Final Data'!$B50,'Adopt-a-Pet.com  December 1'!$B:$B,0),MATCH('Final Data'!Y$1,'Adopt-a-Pet.com  December 1'!$1:$1,0))</f>
        <v>Med. 26-60 lbs (12-27 kg)</v>
      </c>
      <c r="Z50">
        <f>INDEX('Adopt-a-Pet.com  December 1'!$A$1:$AE$857,MATCH('Final Data'!$B50,'Adopt-a-Pet.com  December 1'!$B:$B,0),MATCH('Final Data'!Z$1,'Adopt-a-Pet.com  December 1'!$1:$1,0))</f>
        <v>0</v>
      </c>
      <c r="AA50" t="str">
        <f>INDEX('Adopt-a-Pet.com  December 1'!$A$1:$AE$857,MATCH('Final Data'!$B50,'Adopt-a-Pet.com  December 1'!$B:$B,0),MATCH('Final Data'!AA$1,'Adopt-a-Pet.com  December 1'!$1:$1,0))</f>
        <v>Yes</v>
      </c>
      <c r="AB50" t="str">
        <f>INDEX('Adopt-a-Pet.com  December 1'!$A$1:$AE$857,MATCH('Final Data'!$B50,'Adopt-a-Pet.com  December 1'!$B:$B,0),MATCH('Final Data'!AB$1,'Adopt-a-Pet.com  December 1'!$1:$1,0))</f>
        <v>Yes</v>
      </c>
      <c r="AC50" t="str">
        <f>INDEX('Adopt-a-Pet.com  December 1'!$A$1:$AE$857,MATCH('Final Data'!$B50,'Adopt-a-Pet.com  December 1'!$B:$B,0),MATCH('Final Data'!AC$1,'Adopt-a-Pet.com  December 1'!$1:$1,0))</f>
        <v>Yes</v>
      </c>
      <c r="AD50" t="str">
        <f>INDEX('Adopt-a-Pet.com  December 1'!$A$1:$AE$857,MATCH('Final Data'!$B50,'Adopt-a-Pet.com  December 1'!$B:$B,0),MATCH('Final Data'!AD$1,'Adopt-a-Pet.com  December 1'!$1:$1,0))</f>
        <v>No</v>
      </c>
      <c r="AE50" t="str">
        <f>INDEX('Adopt-a-Pet.com  December 1'!$A$1:$AE$857,MATCH('Final Data'!$B50,'Adopt-a-Pet.com  December 1'!$B:$B,0),MATCH('Final Data'!AE$1,'Adopt-a-Pet.com  December 1'!$1:$1,0))</f>
        <v>No</v>
      </c>
      <c r="AF50" t="str">
        <f>INDEX('Adopt-a-Pet.com  December 1'!$A$1:$AE$857,MATCH('Final Data'!$B50,'Adopt-a-Pet.com  December 1'!$B:$B,0),MATCH('Final Data'!AF$1,'Adopt-a-Pet.com  December 1'!$1:$1,0))</f>
        <v>Yes</v>
      </c>
      <c r="AG50" t="str">
        <f>INDEX('Adopt-a-Pet.com  December 1'!$A$1:$AE$857,MATCH('Final Data'!$B50,'Adopt-a-Pet.com  December 1'!$B:$B,0),MATCH('Final Data'!AG$1,'Adopt-a-Pet.com  December 1'!$1:$1,0))</f>
        <v>Yes</v>
      </c>
      <c r="AH50" t="str">
        <f>INDEX('Adopt-a-Pet.com  December 1'!$A$1:$AE$857,MATCH('Final Data'!$B50,'Adopt-a-Pet.com  December 1'!$B:$B,0),MATCH('Final Data'!AH$1,'Adopt-a-Pet.com  December 1'!$1:$1,0))</f>
        <v>Unknown</v>
      </c>
      <c r="AI50" t="str">
        <f>INDEX('Adopt-a-Pet.com  December 1'!$A$1:$AE$857,MATCH('Final Data'!$B50,'Adopt-a-Pet.com  December 1'!$B:$B,0),MATCH('Final Data'!AI$1,'Adopt-a-Pet.com  December 1'!$1:$1,0))</f>
        <v>Gunner is a classic black Lab with all the best Lab qualities‚Äîsweet, playful, and full of love! This medium-sized boy is always ready for fun, whether it‚Äôs a game of fetch or a nice long walk with his people. Gunner‚Äôs friendly personality makes him a joy to be around‚Äîhe greets everyone with a wagging tail and a happy grin. He‚Äôs the perfect mix of energy and affection, always up for adventure but just as content to relax by your side. If you‚Äôre looking for a loyal, loving companion who will brighten every day with his enthusiasm and charm, Gunner is your guy.</v>
      </c>
    </row>
    <row r="51" spans="1:35" x14ac:dyDescent="0.2">
      <c r="A51">
        <v>46184864</v>
      </c>
      <c r="B51" t="s">
        <v>827</v>
      </c>
      <c r="C51" t="s">
        <v>826</v>
      </c>
      <c r="D51" t="s">
        <v>1100</v>
      </c>
      <c r="E51">
        <v>0</v>
      </c>
      <c r="F51" t="s">
        <v>3092</v>
      </c>
      <c r="I51">
        <v>30.8</v>
      </c>
      <c r="J51" s="54">
        <v>0</v>
      </c>
      <c r="K51" s="54">
        <v>0</v>
      </c>
      <c r="L51" s="54">
        <v>0</v>
      </c>
      <c r="M51" s="54">
        <v>0</v>
      </c>
      <c r="N51" s="54">
        <v>0</v>
      </c>
      <c r="O51" s="54">
        <v>0</v>
      </c>
      <c r="P51" s="56">
        <v>0</v>
      </c>
      <c r="Q51" t="str">
        <f>INDEX('Adopt-a-Pet.com  December 1'!$A$1:$AE$857,MATCH('Final Data'!$B51,'Adopt-a-Pet.com  December 1'!$B:$B,0),MATCH('Final Data'!Q$1,'Adopt-a-Pet.com  December 1'!$1:$1,0))</f>
        <v>available</v>
      </c>
      <c r="R51">
        <f>INDEX('Adopt-a-Pet.com  December 1'!$A$1:$AE$857,MATCH('Final Data'!$B51,'Adopt-a-Pet.com  December 1'!$B:$B,0),MATCH('Final Data'!R$1,'Adopt-a-Pet.com  December 1'!$1:$1,0))</f>
        <v>45949</v>
      </c>
      <c r="S51">
        <f>INDEX('Adopt-a-Pet.com  December 1'!$A$1:$AE$857,MATCH('Final Data'!$B51,'Adopt-a-Pet.com  December 1'!$B:$B,0),MATCH('Final Data'!S$1,'Adopt-a-Pet.com  December 1'!$1:$1,0))</f>
        <v>0</v>
      </c>
      <c r="T51" t="str">
        <f>INDEX('Adopt-a-Pet.com  December 1'!$A$1:$AE$857,MATCH('Final Data'!$B51,'Adopt-a-Pet.com  December 1'!$B:$B,0),MATCH('Final Data'!T$1,'Adopt-a-Pet.com  December 1'!$1:$1,0))</f>
        <v>American Pit Bull Terrier</v>
      </c>
      <c r="U51" t="str">
        <f>INDEX('Adopt-a-Pet.com  December 1'!$A$1:$AE$857,MATCH('Final Data'!$B51,'Adopt-a-Pet.com  December 1'!$B:$B,0),MATCH('Final Data'!U$1,'Adopt-a-Pet.com  December 1'!$1:$1,0))</f>
        <v>Labrador Retriever</v>
      </c>
      <c r="V51" t="str">
        <f>INDEX('Adopt-a-Pet.com  December 1'!$A$1:$AE$857,MATCH('Final Data'!$B51,'Adopt-a-Pet.com  December 1'!$B:$B,0),MATCH('Final Data'!V$1,'Adopt-a-Pet.com  December 1'!$1:$1,0))</f>
        <v>Black - with White</v>
      </c>
      <c r="W51" t="str">
        <f>INDEX('Adopt-a-Pet.com  December 1'!$A$1:$AE$857,MATCH('Final Data'!$B51,'Adopt-a-Pet.com  December 1'!$B:$B,0),MATCH('Final Data'!W$1,'Adopt-a-Pet.com  December 1'!$1:$1,0))</f>
        <v>male</v>
      </c>
      <c r="X51" t="str">
        <f>INDEX('Adopt-a-Pet.com  December 1'!$A$1:$AE$857,MATCH('Final Data'!$B51,'Adopt-a-Pet.com  December 1'!$B:$B,0),MATCH('Final Data'!X$1,'Adopt-a-Pet.com  December 1'!$1:$1,0))</f>
        <v>young</v>
      </c>
      <c r="Y51" t="str">
        <f>INDEX('Adopt-a-Pet.com  December 1'!$A$1:$AE$857,MATCH('Final Data'!$B51,'Adopt-a-Pet.com  December 1'!$B:$B,0),MATCH('Final Data'!Y$1,'Adopt-a-Pet.com  December 1'!$1:$1,0))</f>
        <v>Med. 26-60 lbs (12-27 kg)</v>
      </c>
      <c r="Z51">
        <f>INDEX('Adopt-a-Pet.com  December 1'!$A$1:$AE$857,MATCH('Final Data'!$B51,'Adopt-a-Pet.com  December 1'!$B:$B,0),MATCH('Final Data'!Z$1,'Adopt-a-Pet.com  December 1'!$1:$1,0))</f>
        <v>0</v>
      </c>
      <c r="AA51" t="str">
        <f>INDEX('Adopt-a-Pet.com  December 1'!$A$1:$AE$857,MATCH('Final Data'!$B51,'Adopt-a-Pet.com  December 1'!$B:$B,0),MATCH('Final Data'!AA$1,'Adopt-a-Pet.com  December 1'!$1:$1,0))</f>
        <v>Yes</v>
      </c>
      <c r="AB51" t="str">
        <f>INDEX('Adopt-a-Pet.com  December 1'!$A$1:$AE$857,MATCH('Final Data'!$B51,'Adopt-a-Pet.com  December 1'!$B:$B,0),MATCH('Final Data'!AB$1,'Adopt-a-Pet.com  December 1'!$1:$1,0))</f>
        <v>Yes</v>
      </c>
      <c r="AC51" t="str">
        <f>INDEX('Adopt-a-Pet.com  December 1'!$A$1:$AE$857,MATCH('Final Data'!$B51,'Adopt-a-Pet.com  December 1'!$B:$B,0),MATCH('Final Data'!AC$1,'Adopt-a-Pet.com  December 1'!$1:$1,0))</f>
        <v>Yes</v>
      </c>
      <c r="AD51" t="str">
        <f>INDEX('Adopt-a-Pet.com  December 1'!$A$1:$AE$857,MATCH('Final Data'!$B51,'Adopt-a-Pet.com  December 1'!$B:$B,0),MATCH('Final Data'!AD$1,'Adopt-a-Pet.com  December 1'!$1:$1,0))</f>
        <v>No</v>
      </c>
      <c r="AE51" t="str">
        <f>INDEX('Adopt-a-Pet.com  December 1'!$A$1:$AE$857,MATCH('Final Data'!$B51,'Adopt-a-Pet.com  December 1'!$B:$B,0),MATCH('Final Data'!AE$1,'Adopt-a-Pet.com  December 1'!$1:$1,0))</f>
        <v>No</v>
      </c>
      <c r="AF51" t="str">
        <f>INDEX('Adopt-a-Pet.com  December 1'!$A$1:$AE$857,MATCH('Final Data'!$B51,'Adopt-a-Pet.com  December 1'!$B:$B,0),MATCH('Final Data'!AF$1,'Adopt-a-Pet.com  December 1'!$1:$1,0))</f>
        <v>Yes</v>
      </c>
      <c r="AG51" t="str">
        <f>INDEX('Adopt-a-Pet.com  December 1'!$A$1:$AE$857,MATCH('Final Data'!$B51,'Adopt-a-Pet.com  December 1'!$B:$B,0),MATCH('Final Data'!AG$1,'Adopt-a-Pet.com  December 1'!$1:$1,0))</f>
        <v>Yes</v>
      </c>
      <c r="AH51" t="str">
        <f>INDEX('Adopt-a-Pet.com  December 1'!$A$1:$AE$857,MATCH('Final Data'!$B51,'Adopt-a-Pet.com  December 1'!$B:$B,0),MATCH('Final Data'!AH$1,'Adopt-a-Pet.com  December 1'!$1:$1,0))</f>
        <v>Unknown</v>
      </c>
      <c r="AI51">
        <f>INDEX('Adopt-a-Pet.com  December 1'!$A$1:$AE$857,MATCH('Final Data'!$B51,'Adopt-a-Pet.com  December 1'!$B:$B,0),MATCH('Final Data'!AI$1,'Adopt-a-Pet.com  December 1'!$1:$1,0))</f>
        <v>0</v>
      </c>
    </row>
    <row r="52" spans="1:35" x14ac:dyDescent="0.2">
      <c r="A52">
        <v>46184910</v>
      </c>
      <c r="B52" t="s">
        <v>802</v>
      </c>
      <c r="C52" t="s">
        <v>1095</v>
      </c>
      <c r="D52" t="s">
        <v>1101</v>
      </c>
      <c r="E52">
        <v>1</v>
      </c>
      <c r="F52" t="s">
        <v>3092</v>
      </c>
      <c r="G52" t="s">
        <v>2172</v>
      </c>
      <c r="H52">
        <v>45964</v>
      </c>
      <c r="I52">
        <v>49.3</v>
      </c>
      <c r="J52">
        <v>363</v>
      </c>
      <c r="K52">
        <v>636</v>
      </c>
      <c r="L52">
        <v>636</v>
      </c>
      <c r="M52">
        <v>60</v>
      </c>
      <c r="N52">
        <v>171</v>
      </c>
      <c r="O52">
        <v>171</v>
      </c>
      <c r="P52" s="5">
        <v>0.16500000000000001</v>
      </c>
      <c r="Q52" t="str">
        <f>INDEX('Adopt-a-Pet.com  December 1'!$A$1:$AE$857,MATCH('Final Data'!$B52,'Adopt-a-Pet.com  December 1'!$B:$B,0),MATCH('Final Data'!Q$1,'Adopt-a-Pet.com  December 1'!$1:$1,0))</f>
        <v>adopted</v>
      </c>
      <c r="R52">
        <f>INDEX('Adopt-a-Pet.com  December 1'!$A$1:$AE$857,MATCH('Final Data'!$B52,'Adopt-a-Pet.com  December 1'!$B:$B,0),MATCH('Final Data'!R$1,'Adopt-a-Pet.com  December 1'!$1:$1,0))</f>
        <v>45949</v>
      </c>
      <c r="S52">
        <f>INDEX('Adopt-a-Pet.com  December 1'!$A$1:$AE$857,MATCH('Final Data'!$B52,'Adopt-a-Pet.com  December 1'!$B:$B,0),MATCH('Final Data'!S$1,'Adopt-a-Pet.com  December 1'!$1:$1,0))</f>
        <v>45980</v>
      </c>
      <c r="T52" t="str">
        <f>INDEX('Adopt-a-Pet.com  December 1'!$A$1:$AE$857,MATCH('Final Data'!$B52,'Adopt-a-Pet.com  December 1'!$B:$B,0),MATCH('Final Data'!T$1,'Adopt-a-Pet.com  December 1'!$1:$1,0))</f>
        <v>German Shorthaired Pointer</v>
      </c>
      <c r="U52" t="str">
        <f>INDEX('Adopt-a-Pet.com  December 1'!$A$1:$AE$857,MATCH('Final Data'!$B52,'Adopt-a-Pet.com  December 1'!$B:$B,0),MATCH('Final Data'!U$1,'Adopt-a-Pet.com  December 1'!$1:$1,0))</f>
        <v>Labrador Retriever</v>
      </c>
      <c r="V52" t="str">
        <f>INDEX('Adopt-a-Pet.com  December 1'!$A$1:$AE$857,MATCH('Final Data'!$B52,'Adopt-a-Pet.com  December 1'!$B:$B,0),MATCH('Final Data'!V$1,'Adopt-a-Pet.com  December 1'!$1:$1,0))</f>
        <v>Brown/Chocolate</v>
      </c>
      <c r="W52" t="str">
        <f>INDEX('Adopt-a-Pet.com  December 1'!$A$1:$AE$857,MATCH('Final Data'!$B52,'Adopt-a-Pet.com  December 1'!$B:$B,0),MATCH('Final Data'!W$1,'Adopt-a-Pet.com  December 1'!$1:$1,0))</f>
        <v>male</v>
      </c>
      <c r="X52" t="str">
        <f>INDEX('Adopt-a-Pet.com  December 1'!$A$1:$AE$857,MATCH('Final Data'!$B52,'Adopt-a-Pet.com  December 1'!$B:$B,0),MATCH('Final Data'!X$1,'Adopt-a-Pet.com  December 1'!$1:$1,0))</f>
        <v>young</v>
      </c>
      <c r="Y52" t="str">
        <f>INDEX('Adopt-a-Pet.com  December 1'!$A$1:$AE$857,MATCH('Final Data'!$B52,'Adopt-a-Pet.com  December 1'!$B:$B,0),MATCH('Final Data'!Y$1,'Adopt-a-Pet.com  December 1'!$1:$1,0))</f>
        <v>Med. 26-60 lbs (12-27 kg)</v>
      </c>
      <c r="Z52">
        <f>INDEX('Adopt-a-Pet.com  December 1'!$A$1:$AE$857,MATCH('Final Data'!$B52,'Adopt-a-Pet.com  December 1'!$B:$B,0),MATCH('Final Data'!Z$1,'Adopt-a-Pet.com  December 1'!$1:$1,0))</f>
        <v>0</v>
      </c>
      <c r="AA52" t="str">
        <f>INDEX('Adopt-a-Pet.com  December 1'!$A$1:$AE$857,MATCH('Final Data'!$B52,'Adopt-a-Pet.com  December 1'!$B:$B,0),MATCH('Final Data'!AA$1,'Adopt-a-Pet.com  December 1'!$1:$1,0))</f>
        <v>Yes</v>
      </c>
      <c r="AB52" t="str">
        <f>INDEX('Adopt-a-Pet.com  December 1'!$A$1:$AE$857,MATCH('Final Data'!$B52,'Adopt-a-Pet.com  December 1'!$B:$B,0),MATCH('Final Data'!AB$1,'Adopt-a-Pet.com  December 1'!$1:$1,0))</f>
        <v>Yes</v>
      </c>
      <c r="AC52" t="str">
        <f>INDEX('Adopt-a-Pet.com  December 1'!$A$1:$AE$857,MATCH('Final Data'!$B52,'Adopt-a-Pet.com  December 1'!$B:$B,0),MATCH('Final Data'!AC$1,'Adopt-a-Pet.com  December 1'!$1:$1,0))</f>
        <v>Yes</v>
      </c>
      <c r="AD52" t="str">
        <f>INDEX('Adopt-a-Pet.com  December 1'!$A$1:$AE$857,MATCH('Final Data'!$B52,'Adopt-a-Pet.com  December 1'!$B:$B,0),MATCH('Final Data'!AD$1,'Adopt-a-Pet.com  December 1'!$1:$1,0))</f>
        <v>No</v>
      </c>
      <c r="AE52" t="str">
        <f>INDEX('Adopt-a-Pet.com  December 1'!$A$1:$AE$857,MATCH('Final Data'!$B52,'Adopt-a-Pet.com  December 1'!$B:$B,0),MATCH('Final Data'!AE$1,'Adopt-a-Pet.com  December 1'!$1:$1,0))</f>
        <v>No</v>
      </c>
      <c r="AF52" t="str">
        <f>INDEX('Adopt-a-Pet.com  December 1'!$A$1:$AE$857,MATCH('Final Data'!$B52,'Adopt-a-Pet.com  December 1'!$B:$B,0),MATCH('Final Data'!AF$1,'Adopt-a-Pet.com  December 1'!$1:$1,0))</f>
        <v>Yes</v>
      </c>
      <c r="AG52" t="str">
        <f>INDEX('Adopt-a-Pet.com  December 1'!$A$1:$AE$857,MATCH('Final Data'!$B52,'Adopt-a-Pet.com  December 1'!$B:$B,0),MATCH('Final Data'!AG$1,'Adopt-a-Pet.com  December 1'!$1:$1,0))</f>
        <v>Yes</v>
      </c>
      <c r="AH52" t="str">
        <f>INDEX('Adopt-a-Pet.com  December 1'!$A$1:$AE$857,MATCH('Final Data'!$B52,'Adopt-a-Pet.com  December 1'!$B:$B,0),MATCH('Final Data'!AH$1,'Adopt-a-Pet.com  December 1'!$1:$1,0))</f>
        <v>Unknown</v>
      </c>
      <c r="AI52" t="str">
        <f>INDEX('Adopt-a-Pet.com  December 1'!$A$1:$AE$857,MATCH('Final Data'!$B52,'Adopt-a-Pet.com  December 1'!$B:$B,0),MATCH('Final Data'!AI$1,'Adopt-a-Pet.com  December 1'!$1:$1,0))</f>
        <v>Hershey is as sweet as his name! This young chocolate Lab/Pointer mix is a lovable goof who just wants to love and be loved. With his warm eyes and big heart, Hershey wins everyone over‚Äîkids, dogs, and adults alike. He‚Äôs affectionate, friendly, and always ready for cuddles or playtime. Whether he‚Äôs chasing a ball, going for a walk, or curling up for snuggles, Hershey brings joy to every moment. He‚Äôs the perfect mix of playful energy and gentle affection, making him an ideal family companion. If you‚Äôre looking for a loyal, loving pup who will melt your heart every day, Hershey is your guy!</v>
      </c>
    </row>
    <row r="53" spans="1:35" x14ac:dyDescent="0.2">
      <c r="A53">
        <v>46184923</v>
      </c>
      <c r="B53" t="s">
        <v>799</v>
      </c>
      <c r="C53" t="s">
        <v>798</v>
      </c>
      <c r="D53" t="s">
        <v>1101</v>
      </c>
      <c r="E53">
        <v>0</v>
      </c>
      <c r="F53" t="s">
        <v>2165</v>
      </c>
      <c r="I53">
        <v>37</v>
      </c>
      <c r="J53" s="54">
        <v>0</v>
      </c>
      <c r="K53" s="54">
        <v>0</v>
      </c>
      <c r="L53" s="54">
        <v>0</v>
      </c>
      <c r="M53" s="54">
        <v>0</v>
      </c>
      <c r="N53" s="54">
        <v>0</v>
      </c>
      <c r="O53" s="54">
        <v>0</v>
      </c>
      <c r="P53" s="56">
        <v>0</v>
      </c>
      <c r="Q53" t="str">
        <f>INDEX('Adopt-a-Pet.com  December 1'!$A$1:$AE$857,MATCH('Final Data'!$B53,'Adopt-a-Pet.com  December 1'!$B:$B,0),MATCH('Final Data'!Q$1,'Adopt-a-Pet.com  December 1'!$1:$1,0))</f>
        <v>adopted</v>
      </c>
      <c r="R53">
        <f>INDEX('Adopt-a-Pet.com  December 1'!$A$1:$AE$857,MATCH('Final Data'!$B53,'Adopt-a-Pet.com  December 1'!$B:$B,0),MATCH('Final Data'!R$1,'Adopt-a-Pet.com  December 1'!$1:$1,0))</f>
        <v>45949</v>
      </c>
      <c r="S53">
        <f>INDEX('Adopt-a-Pet.com  December 1'!$A$1:$AE$857,MATCH('Final Data'!$B53,'Adopt-a-Pet.com  December 1'!$B:$B,0),MATCH('Final Data'!S$1,'Adopt-a-Pet.com  December 1'!$1:$1,0))</f>
        <v>45974</v>
      </c>
      <c r="T53" t="str">
        <f>INDEX('Adopt-a-Pet.com  December 1'!$A$1:$AE$857,MATCH('Final Data'!$B53,'Adopt-a-Pet.com  December 1'!$B:$B,0),MATCH('Final Data'!T$1,'Adopt-a-Pet.com  December 1'!$1:$1,0))</f>
        <v>Labrador Retriever</v>
      </c>
      <c r="U53" t="str">
        <f>INDEX('Adopt-a-Pet.com  December 1'!$A$1:$AE$857,MATCH('Final Data'!$B53,'Adopt-a-Pet.com  December 1'!$B:$B,0),MATCH('Final Data'!U$1,'Adopt-a-Pet.com  December 1'!$1:$1,0))</f>
        <v>Hound (Unknown Type)</v>
      </c>
      <c r="V53" t="str">
        <f>INDEX('Adopt-a-Pet.com  December 1'!$A$1:$AE$857,MATCH('Final Data'!$B53,'Adopt-a-Pet.com  December 1'!$B:$B,0),MATCH('Final Data'!V$1,'Adopt-a-Pet.com  December 1'!$1:$1,0))</f>
        <v>Brown/Chocolate - with Black</v>
      </c>
      <c r="W53" t="str">
        <f>INDEX('Adopt-a-Pet.com  December 1'!$A$1:$AE$857,MATCH('Final Data'!$B53,'Adopt-a-Pet.com  December 1'!$B:$B,0),MATCH('Final Data'!W$1,'Adopt-a-Pet.com  December 1'!$1:$1,0))</f>
        <v>male</v>
      </c>
      <c r="X53" t="str">
        <f>INDEX('Adopt-a-Pet.com  December 1'!$A$1:$AE$857,MATCH('Final Data'!$B53,'Adopt-a-Pet.com  December 1'!$B:$B,0),MATCH('Final Data'!X$1,'Adopt-a-Pet.com  December 1'!$1:$1,0))</f>
        <v>young</v>
      </c>
      <c r="Y53" t="str">
        <f>INDEX('Adopt-a-Pet.com  December 1'!$A$1:$AE$857,MATCH('Final Data'!$B53,'Adopt-a-Pet.com  December 1'!$B:$B,0),MATCH('Final Data'!Y$1,'Adopt-a-Pet.com  December 1'!$1:$1,0))</f>
        <v>Med. 26-60 lbs (12-27 kg)</v>
      </c>
      <c r="Z53">
        <f>INDEX('Adopt-a-Pet.com  December 1'!$A$1:$AE$857,MATCH('Final Data'!$B53,'Adopt-a-Pet.com  December 1'!$B:$B,0),MATCH('Final Data'!Z$1,'Adopt-a-Pet.com  December 1'!$1:$1,0))</f>
        <v>0</v>
      </c>
      <c r="AA53" t="str">
        <f>INDEX('Adopt-a-Pet.com  December 1'!$A$1:$AE$857,MATCH('Final Data'!$B53,'Adopt-a-Pet.com  December 1'!$B:$B,0),MATCH('Final Data'!AA$1,'Adopt-a-Pet.com  December 1'!$1:$1,0))</f>
        <v>Yes</v>
      </c>
      <c r="AB53" t="str">
        <f>INDEX('Adopt-a-Pet.com  December 1'!$A$1:$AE$857,MATCH('Final Data'!$B53,'Adopt-a-Pet.com  December 1'!$B:$B,0),MATCH('Final Data'!AB$1,'Adopt-a-Pet.com  December 1'!$1:$1,0))</f>
        <v>Yes</v>
      </c>
      <c r="AC53" t="str">
        <f>INDEX('Adopt-a-Pet.com  December 1'!$A$1:$AE$857,MATCH('Final Data'!$B53,'Adopt-a-Pet.com  December 1'!$B:$B,0),MATCH('Final Data'!AC$1,'Adopt-a-Pet.com  December 1'!$1:$1,0))</f>
        <v>Yes</v>
      </c>
      <c r="AD53" t="str">
        <f>INDEX('Adopt-a-Pet.com  December 1'!$A$1:$AE$857,MATCH('Final Data'!$B53,'Adopt-a-Pet.com  December 1'!$B:$B,0),MATCH('Final Data'!AD$1,'Adopt-a-Pet.com  December 1'!$1:$1,0))</f>
        <v>No</v>
      </c>
      <c r="AE53" t="str">
        <f>INDEX('Adopt-a-Pet.com  December 1'!$A$1:$AE$857,MATCH('Final Data'!$B53,'Adopt-a-Pet.com  December 1'!$B:$B,0),MATCH('Final Data'!AE$1,'Adopt-a-Pet.com  December 1'!$1:$1,0))</f>
        <v>No</v>
      </c>
      <c r="AF53" t="str">
        <f>INDEX('Adopt-a-Pet.com  December 1'!$A$1:$AE$857,MATCH('Final Data'!$B53,'Adopt-a-Pet.com  December 1'!$B:$B,0),MATCH('Final Data'!AF$1,'Adopt-a-Pet.com  December 1'!$1:$1,0))</f>
        <v>Yes</v>
      </c>
      <c r="AG53" t="str">
        <f>INDEX('Adopt-a-Pet.com  December 1'!$A$1:$AE$857,MATCH('Final Data'!$B53,'Adopt-a-Pet.com  December 1'!$B:$B,0),MATCH('Final Data'!AG$1,'Adopt-a-Pet.com  December 1'!$1:$1,0))</f>
        <v>Yes</v>
      </c>
      <c r="AH53" t="str">
        <f>INDEX('Adopt-a-Pet.com  December 1'!$A$1:$AE$857,MATCH('Final Data'!$B53,'Adopt-a-Pet.com  December 1'!$B:$B,0),MATCH('Final Data'!AH$1,'Adopt-a-Pet.com  December 1'!$1:$1,0))</f>
        <v>Unknown</v>
      </c>
      <c r="AI53">
        <f>INDEX('Adopt-a-Pet.com  December 1'!$A$1:$AE$857,MATCH('Final Data'!$B53,'Adopt-a-Pet.com  December 1'!$B:$B,0),MATCH('Final Data'!AI$1,'Adopt-a-Pet.com  December 1'!$1:$1,0))</f>
        <v>0</v>
      </c>
    </row>
    <row r="54" spans="1:35" x14ac:dyDescent="0.2">
      <c r="A54">
        <v>46184930</v>
      </c>
      <c r="B54" t="s">
        <v>768</v>
      </c>
      <c r="C54" t="s">
        <v>767</v>
      </c>
      <c r="D54" t="s">
        <v>1100</v>
      </c>
      <c r="E54">
        <v>0</v>
      </c>
      <c r="F54" t="s">
        <v>2165</v>
      </c>
      <c r="I54">
        <v>47</v>
      </c>
      <c r="J54" s="54">
        <v>0</v>
      </c>
      <c r="K54" s="54">
        <v>0</v>
      </c>
      <c r="L54" s="54">
        <v>0</v>
      </c>
      <c r="M54" s="54">
        <v>0</v>
      </c>
      <c r="N54" s="54">
        <v>0</v>
      </c>
      <c r="O54" s="54">
        <v>0</v>
      </c>
      <c r="P54" s="56">
        <v>0</v>
      </c>
      <c r="Q54" t="str">
        <f>INDEX('Adopt-a-Pet.com  December 1'!$A$1:$AE$857,MATCH('Final Data'!$B54,'Adopt-a-Pet.com  December 1'!$B:$B,0),MATCH('Final Data'!Q$1,'Adopt-a-Pet.com  December 1'!$1:$1,0))</f>
        <v>adopted</v>
      </c>
      <c r="R54">
        <f>INDEX('Adopt-a-Pet.com  December 1'!$A$1:$AE$857,MATCH('Final Data'!$B54,'Adopt-a-Pet.com  December 1'!$B:$B,0),MATCH('Final Data'!R$1,'Adopt-a-Pet.com  December 1'!$1:$1,0))</f>
        <v>45949</v>
      </c>
      <c r="S54">
        <f>INDEX('Adopt-a-Pet.com  December 1'!$A$1:$AE$857,MATCH('Final Data'!$B54,'Adopt-a-Pet.com  December 1'!$B:$B,0),MATCH('Final Data'!S$1,'Adopt-a-Pet.com  December 1'!$1:$1,0))</f>
        <v>45963</v>
      </c>
      <c r="T54" t="str">
        <f>INDEX('Adopt-a-Pet.com  December 1'!$A$1:$AE$857,MATCH('Final Data'!$B54,'Adopt-a-Pet.com  December 1'!$B:$B,0),MATCH('Final Data'!T$1,'Adopt-a-Pet.com  December 1'!$1:$1,0))</f>
        <v>American Pit Bull Terrier</v>
      </c>
      <c r="U54" t="str">
        <f>INDEX('Adopt-a-Pet.com  December 1'!$A$1:$AE$857,MATCH('Final Data'!$B54,'Adopt-a-Pet.com  December 1'!$B:$B,0),MATCH('Final Data'!U$1,'Adopt-a-Pet.com  December 1'!$1:$1,0))</f>
        <v>American Bulldog</v>
      </c>
      <c r="V54" t="str">
        <f>INDEX('Adopt-a-Pet.com  December 1'!$A$1:$AE$857,MATCH('Final Data'!$B54,'Adopt-a-Pet.com  December 1'!$B:$B,0),MATCH('Final Data'!V$1,'Adopt-a-Pet.com  December 1'!$1:$1,0))</f>
        <v>Tan/Yellow/Fawn - with White</v>
      </c>
      <c r="W54" t="str">
        <f>INDEX('Adopt-a-Pet.com  December 1'!$A$1:$AE$857,MATCH('Final Data'!$B54,'Adopt-a-Pet.com  December 1'!$B:$B,0),MATCH('Final Data'!W$1,'Adopt-a-Pet.com  December 1'!$1:$1,0))</f>
        <v>female</v>
      </c>
      <c r="X54" t="str">
        <f>INDEX('Adopt-a-Pet.com  December 1'!$A$1:$AE$857,MATCH('Final Data'!$B54,'Adopt-a-Pet.com  December 1'!$B:$B,0),MATCH('Final Data'!X$1,'Adopt-a-Pet.com  December 1'!$1:$1,0))</f>
        <v>young</v>
      </c>
      <c r="Y54" t="str">
        <f>INDEX('Adopt-a-Pet.com  December 1'!$A$1:$AE$857,MATCH('Final Data'!$B54,'Adopt-a-Pet.com  December 1'!$B:$B,0),MATCH('Final Data'!Y$1,'Adopt-a-Pet.com  December 1'!$1:$1,0))</f>
        <v>Med. 26-60 lbs (12-27 kg)</v>
      </c>
      <c r="Z54">
        <f>INDEX('Adopt-a-Pet.com  December 1'!$A$1:$AE$857,MATCH('Final Data'!$B54,'Adopt-a-Pet.com  December 1'!$B:$B,0),MATCH('Final Data'!Z$1,'Adopt-a-Pet.com  December 1'!$1:$1,0))</f>
        <v>0</v>
      </c>
      <c r="AA54" t="str">
        <f>INDEX('Adopt-a-Pet.com  December 1'!$A$1:$AE$857,MATCH('Final Data'!$B54,'Adopt-a-Pet.com  December 1'!$B:$B,0),MATCH('Final Data'!AA$1,'Adopt-a-Pet.com  December 1'!$1:$1,0))</f>
        <v>Yes</v>
      </c>
      <c r="AB54" t="str">
        <f>INDEX('Adopt-a-Pet.com  December 1'!$A$1:$AE$857,MATCH('Final Data'!$B54,'Adopt-a-Pet.com  December 1'!$B:$B,0),MATCH('Final Data'!AB$1,'Adopt-a-Pet.com  December 1'!$1:$1,0))</f>
        <v>Yes</v>
      </c>
      <c r="AC54" t="str">
        <f>INDEX('Adopt-a-Pet.com  December 1'!$A$1:$AE$857,MATCH('Final Data'!$B54,'Adopt-a-Pet.com  December 1'!$B:$B,0),MATCH('Final Data'!AC$1,'Adopt-a-Pet.com  December 1'!$1:$1,0))</f>
        <v>Yes</v>
      </c>
      <c r="AD54" t="str">
        <f>INDEX('Adopt-a-Pet.com  December 1'!$A$1:$AE$857,MATCH('Final Data'!$B54,'Adopt-a-Pet.com  December 1'!$B:$B,0),MATCH('Final Data'!AD$1,'Adopt-a-Pet.com  December 1'!$1:$1,0))</f>
        <v>No</v>
      </c>
      <c r="AE54" t="str">
        <f>INDEX('Adopt-a-Pet.com  December 1'!$A$1:$AE$857,MATCH('Final Data'!$B54,'Adopt-a-Pet.com  December 1'!$B:$B,0),MATCH('Final Data'!AE$1,'Adopt-a-Pet.com  December 1'!$1:$1,0))</f>
        <v>No</v>
      </c>
      <c r="AF54" t="str">
        <f>INDEX('Adopt-a-Pet.com  December 1'!$A$1:$AE$857,MATCH('Final Data'!$B54,'Adopt-a-Pet.com  December 1'!$B:$B,0),MATCH('Final Data'!AF$1,'Adopt-a-Pet.com  December 1'!$1:$1,0))</f>
        <v>Yes</v>
      </c>
      <c r="AG54" t="str">
        <f>INDEX('Adopt-a-Pet.com  December 1'!$A$1:$AE$857,MATCH('Final Data'!$B54,'Adopt-a-Pet.com  December 1'!$B:$B,0),MATCH('Final Data'!AG$1,'Adopt-a-Pet.com  December 1'!$1:$1,0))</f>
        <v>Yes</v>
      </c>
      <c r="AH54" t="str">
        <f>INDEX('Adopt-a-Pet.com  December 1'!$A$1:$AE$857,MATCH('Final Data'!$B54,'Adopt-a-Pet.com  December 1'!$B:$B,0),MATCH('Final Data'!AH$1,'Adopt-a-Pet.com  December 1'!$1:$1,0))</f>
        <v>Unknown</v>
      </c>
      <c r="AI54">
        <f>INDEX('Adopt-a-Pet.com  December 1'!$A$1:$AE$857,MATCH('Final Data'!$B54,'Adopt-a-Pet.com  December 1'!$B:$B,0),MATCH('Final Data'!AI$1,'Adopt-a-Pet.com  December 1'!$1:$1,0))</f>
        <v>0</v>
      </c>
    </row>
    <row r="55" spans="1:35" x14ac:dyDescent="0.2">
      <c r="A55">
        <v>46184949</v>
      </c>
      <c r="B55" t="s">
        <v>792</v>
      </c>
      <c r="C55" t="s">
        <v>791</v>
      </c>
      <c r="D55" t="s">
        <v>1101</v>
      </c>
      <c r="E55">
        <v>1</v>
      </c>
      <c r="F55" t="s">
        <v>2167</v>
      </c>
      <c r="J55" s="54">
        <v>0</v>
      </c>
      <c r="K55" s="54">
        <v>0</v>
      </c>
      <c r="L55" s="54">
        <v>0</v>
      </c>
      <c r="M55" s="54">
        <v>0</v>
      </c>
      <c r="N55" s="54">
        <v>0</v>
      </c>
      <c r="O55" s="54">
        <v>0</v>
      </c>
      <c r="P55" s="56">
        <v>0</v>
      </c>
      <c r="Q55" t="str">
        <f>INDEX('Adopt-a-Pet.com  December 1'!$A$1:$AE$857,MATCH('Final Data'!$B55,'Adopt-a-Pet.com  December 1'!$B:$B,0),MATCH('Final Data'!Q$1,'Adopt-a-Pet.com  December 1'!$1:$1,0))</f>
        <v>adopted</v>
      </c>
      <c r="R55">
        <f>INDEX('Adopt-a-Pet.com  December 1'!$A$1:$AE$857,MATCH('Final Data'!$B55,'Adopt-a-Pet.com  December 1'!$B:$B,0),MATCH('Final Data'!R$1,'Adopt-a-Pet.com  December 1'!$1:$1,0))</f>
        <v>45949</v>
      </c>
      <c r="S55">
        <f>INDEX('Adopt-a-Pet.com  December 1'!$A$1:$AE$857,MATCH('Final Data'!$B55,'Adopt-a-Pet.com  December 1'!$B:$B,0),MATCH('Final Data'!S$1,'Adopt-a-Pet.com  December 1'!$1:$1,0))</f>
        <v>45963</v>
      </c>
      <c r="T55" t="str">
        <f>INDEX('Adopt-a-Pet.com  December 1'!$A$1:$AE$857,MATCH('Final Data'!$B55,'Adopt-a-Pet.com  December 1'!$B:$B,0),MATCH('Final Data'!T$1,'Adopt-a-Pet.com  December 1'!$1:$1,0))</f>
        <v>Shepherd (Unknown Type)</v>
      </c>
      <c r="U55" t="str">
        <f>INDEX('Adopt-a-Pet.com  December 1'!$A$1:$AE$857,MATCH('Final Data'!$B55,'Adopt-a-Pet.com  December 1'!$B:$B,0),MATCH('Final Data'!U$1,'Adopt-a-Pet.com  December 1'!$1:$1,0))</f>
        <v>Chow Chow</v>
      </c>
      <c r="V55" t="str">
        <f>INDEX('Adopt-a-Pet.com  December 1'!$A$1:$AE$857,MATCH('Final Data'!$B55,'Adopt-a-Pet.com  December 1'!$B:$B,0),MATCH('Final Data'!V$1,'Adopt-a-Pet.com  December 1'!$1:$1,0))</f>
        <v>Red/Golden/Orange/Chestnut</v>
      </c>
      <c r="W55" t="str">
        <f>INDEX('Adopt-a-Pet.com  December 1'!$A$1:$AE$857,MATCH('Final Data'!$B55,'Adopt-a-Pet.com  December 1'!$B:$B,0),MATCH('Final Data'!W$1,'Adopt-a-Pet.com  December 1'!$1:$1,0))</f>
        <v>female</v>
      </c>
      <c r="X55" t="str">
        <f>INDEX('Adopt-a-Pet.com  December 1'!$A$1:$AE$857,MATCH('Final Data'!$B55,'Adopt-a-Pet.com  December 1'!$B:$B,0),MATCH('Final Data'!X$1,'Adopt-a-Pet.com  December 1'!$1:$1,0))</f>
        <v>young</v>
      </c>
      <c r="Y55" t="str">
        <f>INDEX('Adopt-a-Pet.com  December 1'!$A$1:$AE$857,MATCH('Final Data'!$B55,'Adopt-a-Pet.com  December 1'!$B:$B,0),MATCH('Final Data'!Y$1,'Adopt-a-Pet.com  December 1'!$1:$1,0))</f>
        <v>Med. 26-60 lbs (12-27 kg)</v>
      </c>
      <c r="Z55">
        <f>INDEX('Adopt-a-Pet.com  December 1'!$A$1:$AE$857,MATCH('Final Data'!$B55,'Adopt-a-Pet.com  December 1'!$B:$B,0),MATCH('Final Data'!Z$1,'Adopt-a-Pet.com  December 1'!$1:$1,0))</f>
        <v>0</v>
      </c>
      <c r="AA55" t="str">
        <f>INDEX('Adopt-a-Pet.com  December 1'!$A$1:$AE$857,MATCH('Final Data'!$B55,'Adopt-a-Pet.com  December 1'!$B:$B,0),MATCH('Final Data'!AA$1,'Adopt-a-Pet.com  December 1'!$1:$1,0))</f>
        <v>Yes</v>
      </c>
      <c r="AB55" t="str">
        <f>INDEX('Adopt-a-Pet.com  December 1'!$A$1:$AE$857,MATCH('Final Data'!$B55,'Adopt-a-Pet.com  December 1'!$B:$B,0),MATCH('Final Data'!AB$1,'Adopt-a-Pet.com  December 1'!$1:$1,0))</f>
        <v>Yes</v>
      </c>
      <c r="AC55" t="str">
        <f>INDEX('Adopt-a-Pet.com  December 1'!$A$1:$AE$857,MATCH('Final Data'!$B55,'Adopt-a-Pet.com  December 1'!$B:$B,0),MATCH('Final Data'!AC$1,'Adopt-a-Pet.com  December 1'!$1:$1,0))</f>
        <v>Yes</v>
      </c>
      <c r="AD55" t="str">
        <f>INDEX('Adopt-a-Pet.com  December 1'!$A$1:$AE$857,MATCH('Final Data'!$B55,'Adopt-a-Pet.com  December 1'!$B:$B,0),MATCH('Final Data'!AD$1,'Adopt-a-Pet.com  December 1'!$1:$1,0))</f>
        <v>No</v>
      </c>
      <c r="AE55" t="str">
        <f>INDEX('Adopt-a-Pet.com  December 1'!$A$1:$AE$857,MATCH('Final Data'!$B55,'Adopt-a-Pet.com  December 1'!$B:$B,0),MATCH('Final Data'!AE$1,'Adopt-a-Pet.com  December 1'!$1:$1,0))</f>
        <v>No</v>
      </c>
      <c r="AF55" t="str">
        <f>INDEX('Adopt-a-Pet.com  December 1'!$A$1:$AE$857,MATCH('Final Data'!$B55,'Adopt-a-Pet.com  December 1'!$B:$B,0),MATCH('Final Data'!AF$1,'Adopt-a-Pet.com  December 1'!$1:$1,0))</f>
        <v>Yes</v>
      </c>
      <c r="AG55" t="str">
        <f>INDEX('Adopt-a-Pet.com  December 1'!$A$1:$AE$857,MATCH('Final Data'!$B55,'Adopt-a-Pet.com  December 1'!$B:$B,0),MATCH('Final Data'!AG$1,'Adopt-a-Pet.com  December 1'!$1:$1,0))</f>
        <v>Yes</v>
      </c>
      <c r="AH55" t="str">
        <f>INDEX('Adopt-a-Pet.com  December 1'!$A$1:$AE$857,MATCH('Final Data'!$B55,'Adopt-a-Pet.com  December 1'!$B:$B,0),MATCH('Final Data'!AH$1,'Adopt-a-Pet.com  December 1'!$1:$1,0))</f>
        <v>Unknown</v>
      </c>
      <c r="AI55">
        <f>INDEX('Adopt-a-Pet.com  December 1'!$A$1:$AE$857,MATCH('Final Data'!$B55,'Adopt-a-Pet.com  December 1'!$B:$B,0),MATCH('Final Data'!AI$1,'Adopt-a-Pet.com  December 1'!$1:$1,0))</f>
        <v>0</v>
      </c>
    </row>
    <row r="56" spans="1:35" x14ac:dyDescent="0.2">
      <c r="A56">
        <v>46184619</v>
      </c>
      <c r="B56" t="s">
        <v>713</v>
      </c>
      <c r="C56" t="s">
        <v>712</v>
      </c>
      <c r="D56" t="s">
        <v>1100</v>
      </c>
      <c r="E56">
        <v>0</v>
      </c>
      <c r="F56" t="s">
        <v>3092</v>
      </c>
      <c r="I56">
        <v>75</v>
      </c>
      <c r="J56" s="54">
        <v>0</v>
      </c>
      <c r="K56" s="54">
        <v>0</v>
      </c>
      <c r="L56" s="54">
        <v>0</v>
      </c>
      <c r="M56" s="54">
        <v>0</v>
      </c>
      <c r="N56" s="54">
        <v>0</v>
      </c>
      <c r="O56" s="54">
        <v>0</v>
      </c>
      <c r="P56" s="56">
        <v>0</v>
      </c>
      <c r="Q56" t="str">
        <f>INDEX('Adopt-a-Pet.com  December 1'!$A$1:$AE$857,MATCH('Final Data'!$B56,'Adopt-a-Pet.com  December 1'!$B:$B,0),MATCH('Final Data'!Q$1,'Adopt-a-Pet.com  December 1'!$1:$1,0))</f>
        <v>available</v>
      </c>
      <c r="R56">
        <f>INDEX('Adopt-a-Pet.com  December 1'!$A$1:$AE$857,MATCH('Final Data'!$B56,'Adopt-a-Pet.com  December 1'!$B:$B,0),MATCH('Final Data'!R$1,'Adopt-a-Pet.com  December 1'!$1:$1,0))</f>
        <v>45949</v>
      </c>
      <c r="S56">
        <f>INDEX('Adopt-a-Pet.com  December 1'!$A$1:$AE$857,MATCH('Final Data'!$B56,'Adopt-a-Pet.com  December 1'!$B:$B,0),MATCH('Final Data'!S$1,'Adopt-a-Pet.com  December 1'!$1:$1,0))</f>
        <v>0</v>
      </c>
      <c r="T56" t="str">
        <f>INDEX('Adopt-a-Pet.com  December 1'!$A$1:$AE$857,MATCH('Final Data'!$B56,'Adopt-a-Pet.com  December 1'!$B:$B,0),MATCH('Final Data'!T$1,'Adopt-a-Pet.com  December 1'!$1:$1,0))</f>
        <v>American Pit Bull Terrier</v>
      </c>
      <c r="U56" t="str">
        <f>INDEX('Adopt-a-Pet.com  December 1'!$A$1:$AE$857,MATCH('Final Data'!$B56,'Adopt-a-Pet.com  December 1'!$B:$B,0),MATCH('Final Data'!U$1,'Adopt-a-Pet.com  December 1'!$1:$1,0))</f>
        <v>American Staffordshire Terrier</v>
      </c>
      <c r="V56" t="str">
        <f>INDEX('Adopt-a-Pet.com  December 1'!$A$1:$AE$857,MATCH('Final Data'!$B56,'Adopt-a-Pet.com  December 1'!$B:$B,0),MATCH('Final Data'!V$1,'Adopt-a-Pet.com  December 1'!$1:$1,0))</f>
        <v>White - with Red, Golden, Orange or Chestnut</v>
      </c>
      <c r="W56" t="str">
        <f>INDEX('Adopt-a-Pet.com  December 1'!$A$1:$AE$857,MATCH('Final Data'!$B56,'Adopt-a-Pet.com  December 1'!$B:$B,0),MATCH('Final Data'!W$1,'Adopt-a-Pet.com  December 1'!$1:$1,0))</f>
        <v>male</v>
      </c>
      <c r="X56" t="str">
        <f>INDEX('Adopt-a-Pet.com  December 1'!$A$1:$AE$857,MATCH('Final Data'!$B56,'Adopt-a-Pet.com  December 1'!$B:$B,0),MATCH('Final Data'!X$1,'Adopt-a-Pet.com  December 1'!$1:$1,0))</f>
        <v>adult</v>
      </c>
      <c r="Y56" t="str">
        <f>INDEX('Adopt-a-Pet.com  December 1'!$A$1:$AE$857,MATCH('Final Data'!$B56,'Adopt-a-Pet.com  December 1'!$B:$B,0),MATCH('Final Data'!Y$1,'Adopt-a-Pet.com  December 1'!$1:$1,0))</f>
        <v>Med. 26-60 lbs (12-27 kg)</v>
      </c>
      <c r="Z56">
        <f>INDEX('Adopt-a-Pet.com  December 1'!$A$1:$AE$857,MATCH('Final Data'!$B56,'Adopt-a-Pet.com  December 1'!$B:$B,0),MATCH('Final Data'!Z$1,'Adopt-a-Pet.com  December 1'!$1:$1,0))</f>
        <v>0</v>
      </c>
      <c r="AA56" t="str">
        <f>INDEX('Adopt-a-Pet.com  December 1'!$A$1:$AE$857,MATCH('Final Data'!$B56,'Adopt-a-Pet.com  December 1'!$B:$B,0),MATCH('Final Data'!AA$1,'Adopt-a-Pet.com  December 1'!$1:$1,0))</f>
        <v>Yes</v>
      </c>
      <c r="AB56" t="str">
        <f>INDEX('Adopt-a-Pet.com  December 1'!$A$1:$AE$857,MATCH('Final Data'!$B56,'Adopt-a-Pet.com  December 1'!$B:$B,0),MATCH('Final Data'!AB$1,'Adopt-a-Pet.com  December 1'!$1:$1,0))</f>
        <v>Yes</v>
      </c>
      <c r="AC56" t="str">
        <f>INDEX('Adopt-a-Pet.com  December 1'!$A$1:$AE$857,MATCH('Final Data'!$B56,'Adopt-a-Pet.com  December 1'!$B:$B,0),MATCH('Final Data'!AC$1,'Adopt-a-Pet.com  December 1'!$1:$1,0))</f>
        <v>Yes</v>
      </c>
      <c r="AD56" t="str">
        <f>INDEX('Adopt-a-Pet.com  December 1'!$A$1:$AE$857,MATCH('Final Data'!$B56,'Adopt-a-Pet.com  December 1'!$B:$B,0),MATCH('Final Data'!AD$1,'Adopt-a-Pet.com  December 1'!$1:$1,0))</f>
        <v>No</v>
      </c>
      <c r="AE56" t="str">
        <f>INDEX('Adopt-a-Pet.com  December 1'!$A$1:$AE$857,MATCH('Final Data'!$B56,'Adopt-a-Pet.com  December 1'!$B:$B,0),MATCH('Final Data'!AE$1,'Adopt-a-Pet.com  December 1'!$1:$1,0))</f>
        <v>No</v>
      </c>
      <c r="AF56" t="str">
        <f>INDEX('Adopt-a-Pet.com  December 1'!$A$1:$AE$857,MATCH('Final Data'!$B56,'Adopt-a-Pet.com  December 1'!$B:$B,0),MATCH('Final Data'!AF$1,'Adopt-a-Pet.com  December 1'!$1:$1,0))</f>
        <v>Yes</v>
      </c>
      <c r="AG56" t="str">
        <f>INDEX('Adopt-a-Pet.com  December 1'!$A$1:$AE$857,MATCH('Final Data'!$B56,'Adopt-a-Pet.com  December 1'!$B:$B,0),MATCH('Final Data'!AG$1,'Adopt-a-Pet.com  December 1'!$1:$1,0))</f>
        <v>Yes</v>
      </c>
      <c r="AH56" t="str">
        <f>INDEX('Adopt-a-Pet.com  December 1'!$A$1:$AE$857,MATCH('Final Data'!$B56,'Adopt-a-Pet.com  December 1'!$B:$B,0),MATCH('Final Data'!AH$1,'Adopt-a-Pet.com  December 1'!$1:$1,0))</f>
        <v>Unknown</v>
      </c>
      <c r="AI56">
        <f>INDEX('Adopt-a-Pet.com  December 1'!$A$1:$AE$857,MATCH('Final Data'!$B56,'Adopt-a-Pet.com  December 1'!$B:$B,0),MATCH('Final Data'!AI$1,'Adopt-a-Pet.com  December 1'!$1:$1,0))</f>
        <v>0</v>
      </c>
    </row>
    <row r="57" spans="1:35" x14ac:dyDescent="0.2">
      <c r="A57">
        <v>46185064</v>
      </c>
      <c r="B57" t="s">
        <v>834</v>
      </c>
      <c r="C57" t="s">
        <v>833</v>
      </c>
      <c r="D57" t="s">
        <v>1100</v>
      </c>
      <c r="E57">
        <v>1</v>
      </c>
      <c r="F57" t="s">
        <v>3092</v>
      </c>
      <c r="G57" t="s">
        <v>2173</v>
      </c>
      <c r="H57">
        <v>45964</v>
      </c>
      <c r="I57">
        <v>42.3</v>
      </c>
      <c r="J57">
        <v>255</v>
      </c>
      <c r="K57">
        <v>497</v>
      </c>
      <c r="L57">
        <v>497</v>
      </c>
      <c r="M57">
        <v>4</v>
      </c>
      <c r="N57">
        <v>19</v>
      </c>
      <c r="O57">
        <v>19</v>
      </c>
      <c r="P57" s="5">
        <v>1.6E-2</v>
      </c>
      <c r="Q57" t="str">
        <f>INDEX('Adopt-a-Pet.com  December 1'!$A$1:$AE$857,MATCH('Final Data'!$B57,'Adopt-a-Pet.com  December 1'!$B:$B,0),MATCH('Final Data'!Q$1,'Adopt-a-Pet.com  December 1'!$1:$1,0))</f>
        <v>available</v>
      </c>
      <c r="R57">
        <f>INDEX('Adopt-a-Pet.com  December 1'!$A$1:$AE$857,MATCH('Final Data'!$B57,'Adopt-a-Pet.com  December 1'!$B:$B,0),MATCH('Final Data'!R$1,'Adopt-a-Pet.com  December 1'!$1:$1,0))</f>
        <v>45949</v>
      </c>
      <c r="S57">
        <f>INDEX('Adopt-a-Pet.com  December 1'!$A$1:$AE$857,MATCH('Final Data'!$B57,'Adopt-a-Pet.com  December 1'!$B:$B,0),MATCH('Final Data'!S$1,'Adopt-a-Pet.com  December 1'!$1:$1,0))</f>
        <v>0</v>
      </c>
      <c r="T57" t="str">
        <f>INDEX('Adopt-a-Pet.com  December 1'!$A$1:$AE$857,MATCH('Final Data'!$B57,'Adopt-a-Pet.com  December 1'!$B:$B,0),MATCH('Final Data'!T$1,'Adopt-a-Pet.com  December 1'!$1:$1,0))</f>
        <v>American Pit Bull Terrier</v>
      </c>
      <c r="U57" t="str">
        <f>INDEX('Adopt-a-Pet.com  December 1'!$A$1:$AE$857,MATCH('Final Data'!$B57,'Adopt-a-Pet.com  December 1'!$B:$B,0),MATCH('Final Data'!U$1,'Adopt-a-Pet.com  December 1'!$1:$1,0))</f>
        <v>Bulldog</v>
      </c>
      <c r="V57" t="str">
        <f>INDEX('Adopt-a-Pet.com  December 1'!$A$1:$AE$857,MATCH('Final Data'!$B57,'Adopt-a-Pet.com  December 1'!$B:$B,0),MATCH('Final Data'!V$1,'Adopt-a-Pet.com  December 1'!$1:$1,0))</f>
        <v>Brindle - with White</v>
      </c>
      <c r="W57" t="str">
        <f>INDEX('Adopt-a-Pet.com  December 1'!$A$1:$AE$857,MATCH('Final Data'!$B57,'Adopt-a-Pet.com  December 1'!$B:$B,0),MATCH('Final Data'!W$1,'Adopt-a-Pet.com  December 1'!$1:$1,0))</f>
        <v>male</v>
      </c>
      <c r="X57" t="str">
        <f>INDEX('Adopt-a-Pet.com  December 1'!$A$1:$AE$857,MATCH('Final Data'!$B57,'Adopt-a-Pet.com  December 1'!$B:$B,0),MATCH('Final Data'!X$1,'Adopt-a-Pet.com  December 1'!$1:$1,0))</f>
        <v>adult</v>
      </c>
      <c r="Y57" t="str">
        <f>INDEX('Adopt-a-Pet.com  December 1'!$A$1:$AE$857,MATCH('Final Data'!$B57,'Adopt-a-Pet.com  December 1'!$B:$B,0),MATCH('Final Data'!Y$1,'Adopt-a-Pet.com  December 1'!$1:$1,0))</f>
        <v>Med. 26-60 lbs (12-27 kg)</v>
      </c>
      <c r="Z57">
        <f>INDEX('Adopt-a-Pet.com  December 1'!$A$1:$AE$857,MATCH('Final Data'!$B57,'Adopt-a-Pet.com  December 1'!$B:$B,0),MATCH('Final Data'!Z$1,'Adopt-a-Pet.com  December 1'!$1:$1,0))</f>
        <v>0</v>
      </c>
      <c r="AA57" t="str">
        <f>INDEX('Adopt-a-Pet.com  December 1'!$A$1:$AE$857,MATCH('Final Data'!$B57,'Adopt-a-Pet.com  December 1'!$B:$B,0),MATCH('Final Data'!AA$1,'Adopt-a-Pet.com  December 1'!$1:$1,0))</f>
        <v>Yes</v>
      </c>
      <c r="AB57" t="str">
        <f>INDEX('Adopt-a-Pet.com  December 1'!$A$1:$AE$857,MATCH('Final Data'!$B57,'Adopt-a-Pet.com  December 1'!$B:$B,0),MATCH('Final Data'!AB$1,'Adopt-a-Pet.com  December 1'!$1:$1,0))</f>
        <v>Yes</v>
      </c>
      <c r="AC57" t="str">
        <f>INDEX('Adopt-a-Pet.com  December 1'!$A$1:$AE$857,MATCH('Final Data'!$B57,'Adopt-a-Pet.com  December 1'!$B:$B,0),MATCH('Final Data'!AC$1,'Adopt-a-Pet.com  December 1'!$1:$1,0))</f>
        <v>Yes</v>
      </c>
      <c r="AD57" t="str">
        <f>INDEX('Adopt-a-Pet.com  December 1'!$A$1:$AE$857,MATCH('Final Data'!$B57,'Adopt-a-Pet.com  December 1'!$B:$B,0),MATCH('Final Data'!AD$1,'Adopt-a-Pet.com  December 1'!$1:$1,0))</f>
        <v>No</v>
      </c>
      <c r="AE57" t="str">
        <f>INDEX('Adopt-a-Pet.com  December 1'!$A$1:$AE$857,MATCH('Final Data'!$B57,'Adopt-a-Pet.com  December 1'!$B:$B,0),MATCH('Final Data'!AE$1,'Adopt-a-Pet.com  December 1'!$1:$1,0))</f>
        <v>No</v>
      </c>
      <c r="AF57" t="str">
        <f>INDEX('Adopt-a-Pet.com  December 1'!$A$1:$AE$857,MATCH('Final Data'!$B57,'Adopt-a-Pet.com  December 1'!$B:$B,0),MATCH('Final Data'!AF$1,'Adopt-a-Pet.com  December 1'!$1:$1,0))</f>
        <v>Yes</v>
      </c>
      <c r="AG57" t="str">
        <f>INDEX('Adopt-a-Pet.com  December 1'!$A$1:$AE$857,MATCH('Final Data'!$B57,'Adopt-a-Pet.com  December 1'!$B:$B,0),MATCH('Final Data'!AG$1,'Adopt-a-Pet.com  December 1'!$1:$1,0))</f>
        <v>Yes</v>
      </c>
      <c r="AH57" t="str">
        <f>INDEX('Adopt-a-Pet.com  December 1'!$A$1:$AE$857,MATCH('Final Data'!$B57,'Adopt-a-Pet.com  December 1'!$B:$B,0),MATCH('Final Data'!AH$1,'Adopt-a-Pet.com  December 1'!$1:$1,0))</f>
        <v>Unknown</v>
      </c>
      <c r="AI57" t="str">
        <f>INDEX('Adopt-a-Pet.com  December 1'!$A$1:$AE$857,MATCH('Final Data'!$B57,'Adopt-a-Pet.com  December 1'!$B:$B,0),MATCH('Final Data'!AI$1,'Adopt-a-Pet.com  December 1'!$1:$1,0))</f>
        <v>Rocky is a gentle sweetheart with a soft soul and a big heart. This handsome brindle-and-white Pittie/Bulldog mix can be a little shy at first, but once he feels comfortable, his affectionate and loving nature shines through. Rocky is wonderful with kids and other dogs, making him a perfect family companion. He has a calm, mellow energy and enjoys simple pleasures‚Äîgentle pets, cozy naps, and quiet moments with his people. Once he trusts you, he‚Äôll shower you with loyalty and love. If you‚Äôre looking for a kind, tender-hearted dog who just needs a little patience to blossom, Rocky will be your most devoted friend.</v>
      </c>
    </row>
    <row r="58" spans="1:35" x14ac:dyDescent="0.2">
      <c r="A58">
        <v>46185077</v>
      </c>
      <c r="B58" t="s">
        <v>865</v>
      </c>
      <c r="C58" t="s">
        <v>864</v>
      </c>
      <c r="D58" t="s">
        <v>1101</v>
      </c>
      <c r="E58">
        <v>1</v>
      </c>
      <c r="F58" t="s">
        <v>2167</v>
      </c>
      <c r="J58" s="54">
        <v>0</v>
      </c>
      <c r="K58" s="54">
        <v>0</v>
      </c>
      <c r="L58" s="54">
        <v>0</v>
      </c>
      <c r="M58" s="54">
        <v>0</v>
      </c>
      <c r="N58" s="54">
        <v>0</v>
      </c>
      <c r="O58" s="54">
        <v>0</v>
      </c>
      <c r="P58" s="56">
        <v>0</v>
      </c>
      <c r="Q58" t="str">
        <f>INDEX('Adopt-a-Pet.com  December 1'!$A$1:$AE$857,MATCH('Final Data'!$B58,'Adopt-a-Pet.com  December 1'!$B:$B,0),MATCH('Final Data'!Q$1,'Adopt-a-Pet.com  December 1'!$1:$1,0))</f>
        <v>adopted</v>
      </c>
      <c r="R58">
        <f>INDEX('Adopt-a-Pet.com  December 1'!$A$1:$AE$857,MATCH('Final Data'!$B58,'Adopt-a-Pet.com  December 1'!$B:$B,0),MATCH('Final Data'!R$1,'Adopt-a-Pet.com  December 1'!$1:$1,0))</f>
        <v>45949</v>
      </c>
      <c r="S58">
        <f>INDEX('Adopt-a-Pet.com  December 1'!$A$1:$AE$857,MATCH('Final Data'!$B58,'Adopt-a-Pet.com  December 1'!$B:$B,0),MATCH('Final Data'!S$1,'Adopt-a-Pet.com  December 1'!$1:$1,0))</f>
        <v>45963</v>
      </c>
      <c r="T58" t="str">
        <f>INDEX('Adopt-a-Pet.com  December 1'!$A$1:$AE$857,MATCH('Final Data'!$B58,'Adopt-a-Pet.com  December 1'!$B:$B,0),MATCH('Final Data'!T$1,'Adopt-a-Pet.com  December 1'!$1:$1,0))</f>
        <v>German Shorthaired Pointer</v>
      </c>
      <c r="U58" t="str">
        <f>INDEX('Adopt-a-Pet.com  December 1'!$A$1:$AE$857,MATCH('Final Data'!$B58,'Adopt-a-Pet.com  December 1'!$B:$B,0),MATCH('Final Data'!U$1,'Adopt-a-Pet.com  December 1'!$1:$1,0))</f>
        <v>Bluetick Coonhound</v>
      </c>
      <c r="V58" t="str">
        <f>INDEX('Adopt-a-Pet.com  December 1'!$A$1:$AE$857,MATCH('Final Data'!$B58,'Adopt-a-Pet.com  December 1'!$B:$B,0),MATCH('Final Data'!V$1,'Adopt-a-Pet.com  December 1'!$1:$1,0))</f>
        <v>Black - with White</v>
      </c>
      <c r="W58" t="str">
        <f>INDEX('Adopt-a-Pet.com  December 1'!$A$1:$AE$857,MATCH('Final Data'!$B58,'Adopt-a-Pet.com  December 1'!$B:$B,0),MATCH('Final Data'!W$1,'Adopt-a-Pet.com  December 1'!$1:$1,0))</f>
        <v>male</v>
      </c>
      <c r="X58" t="str">
        <f>INDEX('Adopt-a-Pet.com  December 1'!$A$1:$AE$857,MATCH('Final Data'!$B58,'Adopt-a-Pet.com  December 1'!$B:$B,0),MATCH('Final Data'!X$1,'Adopt-a-Pet.com  December 1'!$1:$1,0))</f>
        <v>adult</v>
      </c>
      <c r="Y58" t="str">
        <f>INDEX('Adopt-a-Pet.com  December 1'!$A$1:$AE$857,MATCH('Final Data'!$B58,'Adopt-a-Pet.com  December 1'!$B:$B,0),MATCH('Final Data'!Y$1,'Adopt-a-Pet.com  December 1'!$1:$1,0))</f>
        <v>Med. 26-60 lbs (12-27 kg)</v>
      </c>
      <c r="Z58">
        <f>INDEX('Adopt-a-Pet.com  December 1'!$A$1:$AE$857,MATCH('Final Data'!$B58,'Adopt-a-Pet.com  December 1'!$B:$B,0),MATCH('Final Data'!Z$1,'Adopt-a-Pet.com  December 1'!$1:$1,0))</f>
        <v>0</v>
      </c>
      <c r="AA58" t="str">
        <f>INDEX('Adopt-a-Pet.com  December 1'!$A$1:$AE$857,MATCH('Final Data'!$B58,'Adopt-a-Pet.com  December 1'!$B:$B,0),MATCH('Final Data'!AA$1,'Adopt-a-Pet.com  December 1'!$1:$1,0))</f>
        <v>Yes</v>
      </c>
      <c r="AB58" t="str">
        <f>INDEX('Adopt-a-Pet.com  December 1'!$A$1:$AE$857,MATCH('Final Data'!$B58,'Adopt-a-Pet.com  December 1'!$B:$B,0),MATCH('Final Data'!AB$1,'Adopt-a-Pet.com  December 1'!$1:$1,0))</f>
        <v>Yes</v>
      </c>
      <c r="AC58" t="str">
        <f>INDEX('Adopt-a-Pet.com  December 1'!$A$1:$AE$857,MATCH('Final Data'!$B58,'Adopt-a-Pet.com  December 1'!$B:$B,0),MATCH('Final Data'!AC$1,'Adopt-a-Pet.com  December 1'!$1:$1,0))</f>
        <v>Yes</v>
      </c>
      <c r="AD58" t="str">
        <f>INDEX('Adopt-a-Pet.com  December 1'!$A$1:$AE$857,MATCH('Final Data'!$B58,'Adopt-a-Pet.com  December 1'!$B:$B,0),MATCH('Final Data'!AD$1,'Adopt-a-Pet.com  December 1'!$1:$1,0))</f>
        <v>No</v>
      </c>
      <c r="AE58" t="str">
        <f>INDEX('Adopt-a-Pet.com  December 1'!$A$1:$AE$857,MATCH('Final Data'!$B58,'Adopt-a-Pet.com  December 1'!$B:$B,0),MATCH('Final Data'!AE$1,'Adopt-a-Pet.com  December 1'!$1:$1,0))</f>
        <v>No</v>
      </c>
      <c r="AF58" t="str">
        <f>INDEX('Adopt-a-Pet.com  December 1'!$A$1:$AE$857,MATCH('Final Data'!$B58,'Adopt-a-Pet.com  December 1'!$B:$B,0),MATCH('Final Data'!AF$1,'Adopt-a-Pet.com  December 1'!$1:$1,0))</f>
        <v>Yes</v>
      </c>
      <c r="AG58" t="str">
        <f>INDEX('Adopt-a-Pet.com  December 1'!$A$1:$AE$857,MATCH('Final Data'!$B58,'Adopt-a-Pet.com  December 1'!$B:$B,0),MATCH('Final Data'!AG$1,'Adopt-a-Pet.com  December 1'!$1:$1,0))</f>
        <v>Yes</v>
      </c>
      <c r="AH58" t="str">
        <f>INDEX('Adopt-a-Pet.com  December 1'!$A$1:$AE$857,MATCH('Final Data'!$B58,'Adopt-a-Pet.com  December 1'!$B:$B,0),MATCH('Final Data'!AH$1,'Adopt-a-Pet.com  December 1'!$1:$1,0))</f>
        <v>Unknown</v>
      </c>
      <c r="AI58">
        <f>INDEX('Adopt-a-Pet.com  December 1'!$A$1:$AE$857,MATCH('Final Data'!$B58,'Adopt-a-Pet.com  December 1'!$B:$B,0),MATCH('Final Data'!AI$1,'Adopt-a-Pet.com  December 1'!$1:$1,0))</f>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668B7-CD6D-3B43-B22B-19FBE4003769}">
  <sheetPr>
    <tabColor theme="7" tint="-0.249977111117893"/>
  </sheetPr>
  <dimension ref="A1:P58"/>
  <sheetViews>
    <sheetView topLeftCell="E1" workbookViewId="0">
      <selection activeCell="P48" sqref="P48:P57"/>
    </sheetView>
  </sheetViews>
  <sheetFormatPr baseColWidth="10" defaultRowHeight="15" x14ac:dyDescent="0.2"/>
  <cols>
    <col min="1" max="1" width="9.1640625" bestFit="1" customWidth="1"/>
    <col min="2" max="2" width="12.1640625" bestFit="1" customWidth="1"/>
    <col min="3" max="3" width="24" bestFit="1" customWidth="1"/>
    <col min="4" max="8" width="24" customWidth="1"/>
    <col min="9" max="9" width="10.6640625" bestFit="1" customWidth="1"/>
    <col min="10" max="10" width="28.83203125" bestFit="1" customWidth="1"/>
    <col min="11" max="11" width="29.83203125" bestFit="1" customWidth="1"/>
    <col min="12" max="12" width="28.33203125" bestFit="1" customWidth="1"/>
    <col min="13" max="13" width="25.83203125" bestFit="1" customWidth="1"/>
    <col min="14" max="14" width="27" bestFit="1" customWidth="1"/>
    <col min="15" max="15" width="25.33203125" bestFit="1" customWidth="1"/>
    <col min="16" max="16" width="24.6640625" bestFit="1" customWidth="1"/>
  </cols>
  <sheetData>
    <row r="1" spans="1:16" x14ac:dyDescent="0.2">
      <c r="A1" t="s">
        <v>0</v>
      </c>
      <c r="B1" t="s">
        <v>1</v>
      </c>
      <c r="C1" t="s">
        <v>1049</v>
      </c>
      <c r="D1" s="8" t="s">
        <v>1098</v>
      </c>
      <c r="E1" s="8" t="s">
        <v>1750</v>
      </c>
      <c r="F1" s="8" t="s">
        <v>1058</v>
      </c>
      <c r="G1" s="8" t="s">
        <v>1751</v>
      </c>
      <c r="H1" s="8" t="s">
        <v>1409</v>
      </c>
      <c r="I1" s="8" t="s">
        <v>1749</v>
      </c>
      <c r="J1" t="s">
        <v>1402</v>
      </c>
      <c r="K1" t="s">
        <v>1403</v>
      </c>
      <c r="L1" t="s">
        <v>1404</v>
      </c>
      <c r="M1" t="s">
        <v>1405</v>
      </c>
      <c r="N1" t="s">
        <v>1406</v>
      </c>
      <c r="O1" t="s">
        <v>1407</v>
      </c>
      <c r="P1" t="s">
        <v>1408</v>
      </c>
    </row>
    <row r="2" spans="1:16" x14ac:dyDescent="0.2">
      <c r="A2">
        <v>42938868</v>
      </c>
      <c r="B2" t="s">
        <v>57</v>
      </c>
      <c r="C2" t="s">
        <v>58</v>
      </c>
      <c r="D2" t="s">
        <v>1100</v>
      </c>
      <c r="E2">
        <v>1</v>
      </c>
      <c r="F2" t="str">
        <f>IFERROR(VLOOKUP(B2,OUTCOME!$A:$C,3,FALSE),"None")</f>
        <v>None</v>
      </c>
      <c r="G2" t="s">
        <v>1746</v>
      </c>
      <c r="H2" s="9">
        <v>45950</v>
      </c>
      <c r="I2">
        <v>416</v>
      </c>
      <c r="J2" t="s">
        <v>1503</v>
      </c>
      <c r="K2" t="s">
        <v>1504</v>
      </c>
      <c r="L2" t="s">
        <v>1505</v>
      </c>
      <c r="M2" t="s">
        <v>521</v>
      </c>
      <c r="N2" t="s">
        <v>1300</v>
      </c>
      <c r="O2" t="s">
        <v>1381</v>
      </c>
      <c r="P2" t="s">
        <v>1291</v>
      </c>
    </row>
    <row r="3" spans="1:16" x14ac:dyDescent="0.2">
      <c r="A3">
        <v>43635040</v>
      </c>
      <c r="B3" t="s">
        <v>70</v>
      </c>
      <c r="C3" t="s">
        <v>71</v>
      </c>
      <c r="D3" t="s">
        <v>1100</v>
      </c>
      <c r="E3">
        <v>0</v>
      </c>
      <c r="F3" t="str">
        <f>IFERROR(VLOOKUP(B3,OUTCOME!$A:$C,3,FALSE),"None")</f>
        <v>None</v>
      </c>
      <c r="I3">
        <v>361.7</v>
      </c>
      <c r="J3" t="s">
        <v>1703</v>
      </c>
      <c r="K3" t="s">
        <v>1704</v>
      </c>
      <c r="L3" t="s">
        <v>1705</v>
      </c>
      <c r="M3" t="s">
        <v>539</v>
      </c>
      <c r="N3" t="s">
        <v>1323</v>
      </c>
      <c r="O3" t="s">
        <v>1706</v>
      </c>
      <c r="P3" t="s">
        <v>1368</v>
      </c>
    </row>
    <row r="4" spans="1:16" x14ac:dyDescent="0.2">
      <c r="A4">
        <v>44475813</v>
      </c>
      <c r="B4" t="s">
        <v>99</v>
      </c>
      <c r="C4" t="s">
        <v>100</v>
      </c>
      <c r="D4" t="s">
        <v>1100</v>
      </c>
      <c r="E4">
        <v>0</v>
      </c>
      <c r="F4" t="str">
        <f>IFERROR(VLOOKUP(B4,OUTCOME!$A:$C,3,FALSE),"None")</f>
        <v>None</v>
      </c>
      <c r="I4">
        <v>251.1</v>
      </c>
      <c r="J4" t="s">
        <v>1279</v>
      </c>
      <c r="K4" t="s">
        <v>1688</v>
      </c>
      <c r="L4" t="s">
        <v>1689</v>
      </c>
      <c r="M4" t="s">
        <v>525</v>
      </c>
      <c r="N4" t="s">
        <v>1384</v>
      </c>
      <c r="O4" t="s">
        <v>1681</v>
      </c>
      <c r="P4" t="s">
        <v>1368</v>
      </c>
    </row>
    <row r="5" spans="1:16" x14ac:dyDescent="0.2">
      <c r="A5">
        <v>44937909</v>
      </c>
      <c r="B5" t="s">
        <v>109</v>
      </c>
      <c r="C5" t="s">
        <v>110</v>
      </c>
      <c r="D5" t="s">
        <v>1100</v>
      </c>
      <c r="E5">
        <v>1</v>
      </c>
      <c r="F5" t="str">
        <f>IFERROR(VLOOKUP(B5,OUTCOME!$A:$C,3,FALSE),"None")</f>
        <v>None</v>
      </c>
      <c r="G5" t="s">
        <v>1744</v>
      </c>
      <c r="H5" s="9">
        <v>45950</v>
      </c>
      <c r="I5">
        <v>241.9</v>
      </c>
      <c r="J5" t="s">
        <v>1562</v>
      </c>
      <c r="K5" t="s">
        <v>1286</v>
      </c>
      <c r="L5" t="s">
        <v>1563</v>
      </c>
      <c r="M5" t="s">
        <v>457</v>
      </c>
      <c r="N5" t="s">
        <v>1343</v>
      </c>
      <c r="O5" t="s">
        <v>1367</v>
      </c>
      <c r="P5" t="s">
        <v>1564</v>
      </c>
    </row>
    <row r="6" spans="1:16" x14ac:dyDescent="0.2">
      <c r="A6">
        <v>44938825</v>
      </c>
      <c r="B6" t="s">
        <v>129</v>
      </c>
      <c r="C6" t="s">
        <v>130</v>
      </c>
      <c r="D6" t="s">
        <v>1100</v>
      </c>
      <c r="E6">
        <v>1</v>
      </c>
      <c r="F6" t="str">
        <f>IFERROR(VLOOKUP(B6,OUTCOME!$A:$C,3,FALSE),"None")</f>
        <v>Adopted</v>
      </c>
      <c r="G6" t="s">
        <v>1743</v>
      </c>
      <c r="H6" s="9">
        <v>45950</v>
      </c>
      <c r="I6">
        <v>193.9</v>
      </c>
      <c r="J6" t="s">
        <v>1536</v>
      </c>
      <c r="K6" t="s">
        <v>1617</v>
      </c>
      <c r="L6" t="s">
        <v>1618</v>
      </c>
      <c r="M6" t="s">
        <v>636</v>
      </c>
      <c r="N6" t="s">
        <v>1393</v>
      </c>
      <c r="O6" t="s">
        <v>1375</v>
      </c>
      <c r="P6" t="s">
        <v>1320</v>
      </c>
    </row>
    <row r="7" spans="1:16" x14ac:dyDescent="0.2">
      <c r="A7">
        <v>44937929</v>
      </c>
      <c r="B7" t="s">
        <v>156</v>
      </c>
      <c r="C7" t="s">
        <v>157</v>
      </c>
      <c r="D7" t="s">
        <v>1100</v>
      </c>
      <c r="E7">
        <v>1</v>
      </c>
      <c r="F7" t="str">
        <f>IFERROR(VLOOKUP(B7,OUTCOME!$A:$C,3,FALSE),"None")</f>
        <v>None</v>
      </c>
      <c r="G7" t="s">
        <v>1736</v>
      </c>
      <c r="H7" s="9">
        <v>45950</v>
      </c>
      <c r="I7">
        <v>219.8</v>
      </c>
      <c r="J7" t="s">
        <v>1314</v>
      </c>
      <c r="K7" t="s">
        <v>1725</v>
      </c>
      <c r="L7" t="s">
        <v>1726</v>
      </c>
      <c r="M7" t="s">
        <v>491</v>
      </c>
      <c r="N7" t="s">
        <v>1344</v>
      </c>
      <c r="O7" t="s">
        <v>1326</v>
      </c>
      <c r="P7" t="s">
        <v>1269</v>
      </c>
    </row>
    <row r="8" spans="1:16" x14ac:dyDescent="0.2">
      <c r="A8">
        <v>45190855</v>
      </c>
      <c r="B8" t="s">
        <v>171</v>
      </c>
      <c r="C8" t="s">
        <v>172</v>
      </c>
      <c r="D8" t="s">
        <v>1100</v>
      </c>
      <c r="E8">
        <v>0</v>
      </c>
      <c r="F8" t="str">
        <f>IFERROR(VLOOKUP(B8,OUTCOME!$A:$C,3,FALSE),"None")</f>
        <v>None</v>
      </c>
      <c r="I8">
        <v>125.9</v>
      </c>
      <c r="J8" t="s">
        <v>1530</v>
      </c>
      <c r="K8" t="s">
        <v>1531</v>
      </c>
      <c r="L8" t="s">
        <v>1532</v>
      </c>
      <c r="M8" t="s">
        <v>1344</v>
      </c>
      <c r="N8" t="s">
        <v>1533</v>
      </c>
      <c r="O8" t="s">
        <v>1326</v>
      </c>
      <c r="P8" t="s">
        <v>1513</v>
      </c>
    </row>
    <row r="9" spans="1:16" x14ac:dyDescent="0.2">
      <c r="A9">
        <v>45190845</v>
      </c>
      <c r="B9" t="s">
        <v>178</v>
      </c>
      <c r="C9" t="s">
        <v>179</v>
      </c>
      <c r="D9" t="s">
        <v>1101</v>
      </c>
      <c r="E9">
        <v>1</v>
      </c>
      <c r="F9" t="str">
        <f>IFERROR(VLOOKUP(B9,OUTCOME!$A:$C,3,FALSE),"None")</f>
        <v>None</v>
      </c>
      <c r="G9" s="8" t="s">
        <v>1752</v>
      </c>
      <c r="H9" s="9">
        <v>45950</v>
      </c>
      <c r="I9">
        <v>128.9</v>
      </c>
      <c r="J9" t="s">
        <v>1330</v>
      </c>
      <c r="K9" t="s">
        <v>1506</v>
      </c>
      <c r="L9" t="s">
        <v>1507</v>
      </c>
      <c r="M9" t="s">
        <v>1278</v>
      </c>
      <c r="N9" t="s">
        <v>1389</v>
      </c>
      <c r="O9" t="s">
        <v>1508</v>
      </c>
      <c r="P9" t="s">
        <v>1509</v>
      </c>
    </row>
    <row r="10" spans="1:16" x14ac:dyDescent="0.2">
      <c r="A10">
        <v>45190901</v>
      </c>
      <c r="B10" t="s">
        <v>192</v>
      </c>
      <c r="C10" t="s">
        <v>193</v>
      </c>
      <c r="D10" t="s">
        <v>1101</v>
      </c>
      <c r="E10">
        <v>1</v>
      </c>
      <c r="F10" t="str">
        <f>IFERROR(VLOOKUP(B10,OUTCOME!$A:$C,3,FALSE),"None")</f>
        <v>None</v>
      </c>
      <c r="G10" t="s">
        <v>1731</v>
      </c>
      <c r="H10" s="9">
        <v>45950</v>
      </c>
      <c r="I10">
        <v>124.8</v>
      </c>
      <c r="J10" t="s">
        <v>1614</v>
      </c>
      <c r="K10" t="s">
        <v>1615</v>
      </c>
      <c r="L10" t="s">
        <v>1616</v>
      </c>
      <c r="M10" t="s">
        <v>530</v>
      </c>
      <c r="N10" t="s">
        <v>1300</v>
      </c>
      <c r="O10" t="s">
        <v>1555</v>
      </c>
      <c r="P10" t="s">
        <v>1383</v>
      </c>
    </row>
    <row r="11" spans="1:16" x14ac:dyDescent="0.2">
      <c r="A11">
        <v>45346221</v>
      </c>
      <c r="B11" t="s">
        <v>228</v>
      </c>
      <c r="C11" t="s">
        <v>229</v>
      </c>
      <c r="D11" t="s">
        <v>1101</v>
      </c>
      <c r="E11">
        <v>0</v>
      </c>
      <c r="F11" t="str">
        <f>IFERROR(VLOOKUP(B11,OUTCOME!$A:$C,3,FALSE),"None")</f>
        <v>None</v>
      </c>
      <c r="I11">
        <v>119.9</v>
      </c>
      <c r="J11" t="s">
        <v>1355</v>
      </c>
      <c r="K11" t="s">
        <v>1710</v>
      </c>
      <c r="L11" t="s">
        <v>1711</v>
      </c>
      <c r="M11" t="s">
        <v>467</v>
      </c>
      <c r="N11" t="s">
        <v>1365</v>
      </c>
      <c r="O11" t="s">
        <v>1712</v>
      </c>
      <c r="P11" t="s">
        <v>1521</v>
      </c>
    </row>
    <row r="12" spans="1:16" x14ac:dyDescent="0.2">
      <c r="A12">
        <v>45472786</v>
      </c>
      <c r="B12" t="s">
        <v>245</v>
      </c>
      <c r="C12" t="s">
        <v>666</v>
      </c>
      <c r="D12" t="s">
        <v>1100</v>
      </c>
      <c r="E12">
        <v>0</v>
      </c>
      <c r="F12" t="str">
        <f>IFERROR(VLOOKUP(B12,OUTCOME!$A:$C,3,FALSE),"None")</f>
        <v>None</v>
      </c>
      <c r="I12">
        <v>103</v>
      </c>
      <c r="J12" t="s">
        <v>1367</v>
      </c>
      <c r="K12" t="s">
        <v>1565</v>
      </c>
      <c r="L12" t="s">
        <v>1566</v>
      </c>
      <c r="M12" t="s">
        <v>525</v>
      </c>
      <c r="N12" t="s">
        <v>1384</v>
      </c>
      <c r="O12" t="s">
        <v>1567</v>
      </c>
      <c r="P12" t="s">
        <v>1517</v>
      </c>
    </row>
    <row r="13" spans="1:16" x14ac:dyDescent="0.2">
      <c r="A13">
        <v>45472762</v>
      </c>
      <c r="B13" t="s">
        <v>250</v>
      </c>
      <c r="C13" t="s">
        <v>251</v>
      </c>
      <c r="D13" t="s">
        <v>1101</v>
      </c>
      <c r="E13">
        <v>0</v>
      </c>
      <c r="F13" t="str">
        <f>IFERROR(VLOOKUP(B13,OUTCOME!$A:$C,3,FALSE),"None")</f>
        <v>None</v>
      </c>
      <c r="I13">
        <v>101.9</v>
      </c>
      <c r="J13" t="s">
        <v>1360</v>
      </c>
      <c r="K13" t="s">
        <v>1577</v>
      </c>
      <c r="L13" t="s">
        <v>1578</v>
      </c>
      <c r="M13" t="s">
        <v>676</v>
      </c>
      <c r="N13" t="s">
        <v>1284</v>
      </c>
      <c r="O13" t="s">
        <v>1579</v>
      </c>
      <c r="P13" t="s">
        <v>1576</v>
      </c>
    </row>
    <row r="14" spans="1:16" x14ac:dyDescent="0.2">
      <c r="A14">
        <v>45472546</v>
      </c>
      <c r="B14" t="s">
        <v>258</v>
      </c>
      <c r="C14" t="s">
        <v>259</v>
      </c>
      <c r="D14" t="s">
        <v>1100</v>
      </c>
      <c r="E14">
        <v>1</v>
      </c>
      <c r="F14" t="str">
        <f>IFERROR(VLOOKUP(B14,OUTCOME!$A:$C,3,FALSE),"None")</f>
        <v>None</v>
      </c>
      <c r="G14" t="s">
        <v>1732</v>
      </c>
      <c r="H14" s="9">
        <v>45950</v>
      </c>
      <c r="I14">
        <v>119.9</v>
      </c>
      <c r="J14" t="s">
        <v>1642</v>
      </c>
      <c r="K14" t="s">
        <v>1643</v>
      </c>
      <c r="L14" t="s">
        <v>1346</v>
      </c>
      <c r="M14" t="s">
        <v>1300</v>
      </c>
      <c r="N14" t="s">
        <v>1301</v>
      </c>
      <c r="O14" t="s">
        <v>1644</v>
      </c>
      <c r="P14" t="s">
        <v>1290</v>
      </c>
    </row>
    <row r="15" spans="1:16" x14ac:dyDescent="0.2">
      <c r="A15">
        <v>45472971</v>
      </c>
      <c r="B15" t="s">
        <v>263</v>
      </c>
      <c r="C15" t="s">
        <v>264</v>
      </c>
      <c r="D15" t="s">
        <v>1101</v>
      </c>
      <c r="E15">
        <v>0</v>
      </c>
      <c r="F15" t="str">
        <f>IFERROR(VLOOKUP(B15,OUTCOME!$A:$C,3,FALSE),"None")</f>
        <v>Adopted</v>
      </c>
      <c r="I15">
        <v>95.8</v>
      </c>
      <c r="J15" t="s">
        <v>1388</v>
      </c>
      <c r="K15" t="s">
        <v>1619</v>
      </c>
      <c r="L15" t="s">
        <v>1620</v>
      </c>
      <c r="M15" t="s">
        <v>467</v>
      </c>
      <c r="N15" t="s">
        <v>1370</v>
      </c>
      <c r="O15" t="s">
        <v>1590</v>
      </c>
      <c r="P15" t="s">
        <v>1305</v>
      </c>
    </row>
    <row r="16" spans="1:16" x14ac:dyDescent="0.2">
      <c r="A16">
        <v>45472996</v>
      </c>
      <c r="B16" t="s">
        <v>269</v>
      </c>
      <c r="C16" t="s">
        <v>270</v>
      </c>
      <c r="D16" t="s">
        <v>1101</v>
      </c>
      <c r="E16">
        <v>1</v>
      </c>
      <c r="F16" t="str">
        <f>IFERROR(VLOOKUP(B16,OUTCOME!$A:$C,3,FALSE),"None")</f>
        <v>Adopted</v>
      </c>
      <c r="G16" s="8" t="s">
        <v>1753</v>
      </c>
      <c r="H16" s="9">
        <v>45950</v>
      </c>
      <c r="I16">
        <v>94.9</v>
      </c>
      <c r="J16" t="s">
        <v>1673</v>
      </c>
      <c r="K16" t="s">
        <v>1674</v>
      </c>
      <c r="L16" t="s">
        <v>1675</v>
      </c>
      <c r="M16" t="s">
        <v>1297</v>
      </c>
      <c r="N16" t="s">
        <v>1303</v>
      </c>
      <c r="O16" t="s">
        <v>1493</v>
      </c>
      <c r="P16" t="s">
        <v>1335</v>
      </c>
    </row>
    <row r="17" spans="1:16" x14ac:dyDescent="0.2">
      <c r="A17">
        <v>45472654</v>
      </c>
      <c r="B17" t="s">
        <v>272</v>
      </c>
      <c r="C17" t="s">
        <v>273</v>
      </c>
      <c r="D17" t="s">
        <v>1101</v>
      </c>
      <c r="E17">
        <v>1</v>
      </c>
      <c r="F17" t="str">
        <f>IFERROR(VLOOKUP(B17,OUTCOME!$A:$C,3,FALSE),"None")</f>
        <v>None</v>
      </c>
      <c r="G17" s="8" t="s">
        <v>1754</v>
      </c>
      <c r="H17" s="9">
        <v>45950</v>
      </c>
      <c r="I17">
        <v>119.9</v>
      </c>
      <c r="J17" t="s">
        <v>1685</v>
      </c>
      <c r="K17" t="s">
        <v>1686</v>
      </c>
      <c r="L17" t="s">
        <v>1687</v>
      </c>
      <c r="M17" t="s">
        <v>636</v>
      </c>
      <c r="N17" t="s">
        <v>1378</v>
      </c>
      <c r="O17" t="s">
        <v>1276</v>
      </c>
      <c r="P17" t="s">
        <v>1277</v>
      </c>
    </row>
    <row r="18" spans="1:16" x14ac:dyDescent="0.2">
      <c r="A18">
        <v>45472979</v>
      </c>
      <c r="B18" t="s">
        <v>278</v>
      </c>
      <c r="C18" t="s">
        <v>279</v>
      </c>
      <c r="D18" t="s">
        <v>1100</v>
      </c>
      <c r="E18">
        <v>0</v>
      </c>
      <c r="F18" t="str">
        <f>IFERROR(VLOOKUP(B18,OUTCOME!$A:$C,3,FALSE),"None")</f>
        <v>None</v>
      </c>
      <c r="I18">
        <v>97.9</v>
      </c>
      <c r="J18" t="s">
        <v>1720</v>
      </c>
      <c r="K18" t="s">
        <v>1721</v>
      </c>
      <c r="L18" t="s">
        <v>1722</v>
      </c>
      <c r="M18" t="s">
        <v>457</v>
      </c>
      <c r="N18" t="s">
        <v>1336</v>
      </c>
      <c r="O18" t="s">
        <v>1310</v>
      </c>
      <c r="P18" t="s">
        <v>1295</v>
      </c>
    </row>
    <row r="19" spans="1:16" x14ac:dyDescent="0.2">
      <c r="A19">
        <v>45606391</v>
      </c>
      <c r="B19" t="s">
        <v>287</v>
      </c>
      <c r="C19" t="s">
        <v>288</v>
      </c>
      <c r="D19" t="s">
        <v>1100</v>
      </c>
      <c r="E19">
        <v>0</v>
      </c>
      <c r="F19" t="str">
        <f>IFERROR(VLOOKUP(B19,OUTCOME!$A:$C,3,FALSE),"None")</f>
        <v>Adopted</v>
      </c>
      <c r="I19">
        <v>77</v>
      </c>
      <c r="J19" t="s">
        <v>1488</v>
      </c>
      <c r="K19" t="s">
        <v>1489</v>
      </c>
      <c r="L19" t="s">
        <v>1490</v>
      </c>
      <c r="M19" t="s">
        <v>1313</v>
      </c>
      <c r="N19" t="s">
        <v>1370</v>
      </c>
      <c r="O19" t="s">
        <v>1491</v>
      </c>
      <c r="P19" t="s">
        <v>1492</v>
      </c>
    </row>
    <row r="20" spans="1:16" x14ac:dyDescent="0.2">
      <c r="A20">
        <v>45606729</v>
      </c>
      <c r="B20" t="s">
        <v>292</v>
      </c>
      <c r="C20" t="s">
        <v>1230</v>
      </c>
      <c r="D20" t="s">
        <v>1100</v>
      </c>
      <c r="E20">
        <v>1</v>
      </c>
      <c r="F20" t="str">
        <f>IFERROR(VLOOKUP(B20,OUTCOME!$A:$C,3,FALSE),"None")</f>
        <v>None</v>
      </c>
      <c r="G20" t="s">
        <v>1742</v>
      </c>
      <c r="H20" s="9">
        <v>45950</v>
      </c>
      <c r="I20">
        <v>80</v>
      </c>
      <c r="J20" t="s">
        <v>1381</v>
      </c>
      <c r="K20" t="s">
        <v>1622</v>
      </c>
      <c r="L20" t="s">
        <v>1623</v>
      </c>
      <c r="M20" t="s">
        <v>467</v>
      </c>
      <c r="N20" t="s">
        <v>1298</v>
      </c>
      <c r="O20" t="s">
        <v>1624</v>
      </c>
      <c r="P20" t="s">
        <v>1526</v>
      </c>
    </row>
    <row r="21" spans="1:16" x14ac:dyDescent="0.2">
      <c r="A21">
        <v>45763896</v>
      </c>
      <c r="B21" t="s">
        <v>311</v>
      </c>
      <c r="C21" t="s">
        <v>312</v>
      </c>
      <c r="D21" t="s">
        <v>1101</v>
      </c>
      <c r="E21">
        <v>1</v>
      </c>
      <c r="F21" t="str">
        <f>IFERROR(VLOOKUP(B21,OUTCOME!$A:$C,3,FALSE),"None")</f>
        <v>None</v>
      </c>
      <c r="J21" t="s">
        <v>1546</v>
      </c>
      <c r="K21" t="s">
        <v>1547</v>
      </c>
      <c r="L21" t="s">
        <v>1548</v>
      </c>
      <c r="M21" t="s">
        <v>472</v>
      </c>
      <c r="N21" t="s">
        <v>1384</v>
      </c>
      <c r="O21" t="s">
        <v>1317</v>
      </c>
      <c r="P21" t="s">
        <v>1358</v>
      </c>
    </row>
    <row r="22" spans="1:16" x14ac:dyDescent="0.2">
      <c r="A22">
        <v>45763997</v>
      </c>
      <c r="B22" t="s">
        <v>316</v>
      </c>
      <c r="C22" t="s">
        <v>317</v>
      </c>
      <c r="D22" t="s">
        <v>1101</v>
      </c>
      <c r="E22">
        <v>1</v>
      </c>
      <c r="F22" t="str">
        <f>IFERROR(VLOOKUP(B22,OUTCOME!$A:$C,3,FALSE),"None")</f>
        <v>None</v>
      </c>
      <c r="G22" s="8" t="s">
        <v>2169</v>
      </c>
      <c r="H22" s="9">
        <v>45964</v>
      </c>
      <c r="I22">
        <v>93.4</v>
      </c>
      <c r="J22">
        <v>479</v>
      </c>
      <c r="K22">
        <v>1827</v>
      </c>
      <c r="L22">
        <v>2083</v>
      </c>
      <c r="M22">
        <v>9</v>
      </c>
      <c r="N22">
        <v>31</v>
      </c>
      <c r="O22">
        <v>88</v>
      </c>
      <c r="P22" s="5">
        <v>1.9E-2</v>
      </c>
    </row>
    <row r="23" spans="1:16" x14ac:dyDescent="0.2">
      <c r="A23">
        <v>45764004</v>
      </c>
      <c r="B23" t="s">
        <v>321</v>
      </c>
      <c r="C23" t="s">
        <v>322</v>
      </c>
      <c r="D23" t="s">
        <v>1100</v>
      </c>
      <c r="E23">
        <v>0</v>
      </c>
      <c r="F23" t="str">
        <f>IFERROR(VLOOKUP(B23,OUTCOME!$A:$C,3,FALSE),"None")</f>
        <v>None</v>
      </c>
      <c r="I23">
        <v>74.8</v>
      </c>
      <c r="J23" t="s">
        <v>1328</v>
      </c>
      <c r="K23" t="s">
        <v>1518</v>
      </c>
      <c r="L23" t="s">
        <v>1519</v>
      </c>
      <c r="M23" t="s">
        <v>472</v>
      </c>
      <c r="N23" t="s">
        <v>1275</v>
      </c>
      <c r="O23" t="s">
        <v>1520</v>
      </c>
      <c r="P23" t="s">
        <v>1521</v>
      </c>
    </row>
    <row r="24" spans="1:16" x14ac:dyDescent="0.2">
      <c r="A24">
        <v>45764020</v>
      </c>
      <c r="B24" t="s">
        <v>327</v>
      </c>
      <c r="C24" t="s">
        <v>328</v>
      </c>
      <c r="D24" t="s">
        <v>1101</v>
      </c>
      <c r="E24">
        <v>0</v>
      </c>
      <c r="F24" t="str">
        <f>IFERROR(VLOOKUP(B24,OUTCOME!$A:$C,3,FALSE),"None")</f>
        <v>None</v>
      </c>
      <c r="I24">
        <v>61.9</v>
      </c>
      <c r="J24" t="s">
        <v>1552</v>
      </c>
      <c r="K24" t="s">
        <v>1553</v>
      </c>
      <c r="L24" t="s">
        <v>1554</v>
      </c>
      <c r="M24" t="s">
        <v>1345</v>
      </c>
      <c r="N24" t="s">
        <v>1549</v>
      </c>
      <c r="O24" t="s">
        <v>1555</v>
      </c>
      <c r="P24" t="s">
        <v>1556</v>
      </c>
    </row>
    <row r="25" spans="1:16" x14ac:dyDescent="0.2">
      <c r="A25">
        <v>45764028</v>
      </c>
      <c r="B25" t="s">
        <v>333</v>
      </c>
      <c r="C25" t="s">
        <v>334</v>
      </c>
      <c r="D25" t="s">
        <v>1101</v>
      </c>
      <c r="E25">
        <v>0</v>
      </c>
      <c r="F25" t="str">
        <f>IFERROR(VLOOKUP(B25,OUTCOME!$A:$C,3,FALSE),"None")</f>
        <v>None</v>
      </c>
      <c r="I25">
        <v>59</v>
      </c>
      <c r="J25" t="s">
        <v>1530</v>
      </c>
      <c r="K25" t="s">
        <v>1595</v>
      </c>
      <c r="L25" t="s">
        <v>1596</v>
      </c>
      <c r="M25" t="s">
        <v>457</v>
      </c>
      <c r="N25" t="s">
        <v>1273</v>
      </c>
      <c r="O25" t="s">
        <v>1597</v>
      </c>
      <c r="P25" t="s">
        <v>1268</v>
      </c>
    </row>
    <row r="26" spans="1:16" x14ac:dyDescent="0.2">
      <c r="A26">
        <v>45764063</v>
      </c>
      <c r="B26" t="s">
        <v>351</v>
      </c>
      <c r="C26" t="s">
        <v>1233</v>
      </c>
      <c r="D26" t="s">
        <v>1101</v>
      </c>
      <c r="E26">
        <v>0</v>
      </c>
      <c r="F26" t="str">
        <f>IFERROR(VLOOKUP(B26,OUTCOME!$A:$C,3,FALSE),"None")</f>
        <v>Adopted</v>
      </c>
      <c r="I26">
        <v>60</v>
      </c>
      <c r="J26" t="s">
        <v>1309</v>
      </c>
      <c r="K26" t="s">
        <v>1557</v>
      </c>
      <c r="L26" t="s">
        <v>1668</v>
      </c>
      <c r="M26" t="s">
        <v>512</v>
      </c>
      <c r="N26" t="s">
        <v>1669</v>
      </c>
      <c r="O26" t="s">
        <v>1670</v>
      </c>
      <c r="P26" t="s">
        <v>1671</v>
      </c>
    </row>
    <row r="27" spans="1:16" x14ac:dyDescent="0.2">
      <c r="A27">
        <v>45764075</v>
      </c>
      <c r="B27" t="s">
        <v>353</v>
      </c>
      <c r="C27" t="s">
        <v>354</v>
      </c>
      <c r="D27" t="s">
        <v>1100</v>
      </c>
      <c r="E27">
        <v>1</v>
      </c>
      <c r="F27" t="str">
        <f>IFERROR(VLOOKUP(B27,OUTCOME!$A:$C,3,FALSE),"None")</f>
        <v>Adopted</v>
      </c>
      <c r="G27" t="s">
        <v>1739</v>
      </c>
      <c r="H27" s="9">
        <v>45950</v>
      </c>
      <c r="I27">
        <v>61.9</v>
      </c>
      <c r="J27" t="s">
        <v>1676</v>
      </c>
      <c r="K27" t="s">
        <v>1339</v>
      </c>
      <c r="L27" t="s">
        <v>1677</v>
      </c>
      <c r="M27" t="s">
        <v>525</v>
      </c>
      <c r="N27" t="s">
        <v>1533</v>
      </c>
      <c r="O27" t="s">
        <v>1296</v>
      </c>
      <c r="P27" t="s">
        <v>1368</v>
      </c>
    </row>
    <row r="28" spans="1:16" x14ac:dyDescent="0.2">
      <c r="A28">
        <v>45764080</v>
      </c>
      <c r="B28" t="s">
        <v>355</v>
      </c>
      <c r="C28" t="s">
        <v>356</v>
      </c>
      <c r="D28" t="s">
        <v>1100</v>
      </c>
      <c r="E28">
        <v>0</v>
      </c>
      <c r="F28" t="str">
        <f>IFERROR(VLOOKUP(B28,OUTCOME!$A:$C,3,FALSE),"None")</f>
        <v>None</v>
      </c>
      <c r="I28">
        <v>72.900000000000006</v>
      </c>
      <c r="J28" t="s">
        <v>1328</v>
      </c>
      <c r="K28" t="s">
        <v>1701</v>
      </c>
      <c r="L28" t="s">
        <v>1702</v>
      </c>
      <c r="M28" t="s">
        <v>525</v>
      </c>
      <c r="N28" t="s">
        <v>658</v>
      </c>
      <c r="O28" t="s">
        <v>1284</v>
      </c>
      <c r="P28" t="s">
        <v>1283</v>
      </c>
    </row>
    <row r="29" spans="1:16" x14ac:dyDescent="0.2">
      <c r="A29">
        <v>45793976</v>
      </c>
      <c r="B29" t="s">
        <v>361</v>
      </c>
      <c r="C29" t="s">
        <v>362</v>
      </c>
      <c r="D29" t="s">
        <v>1100</v>
      </c>
      <c r="E29">
        <v>1</v>
      </c>
      <c r="F29" t="str">
        <f>IFERROR(VLOOKUP(B29,OUTCOME!$A:$C,3,FALSE),"None")</f>
        <v>Adopted</v>
      </c>
      <c r="G29" t="s">
        <v>1734</v>
      </c>
      <c r="H29" s="9">
        <v>45950</v>
      </c>
      <c r="I29">
        <v>77</v>
      </c>
      <c r="J29" t="s">
        <v>1382</v>
      </c>
      <c r="K29" t="s">
        <v>1510</v>
      </c>
      <c r="L29" t="s">
        <v>1511</v>
      </c>
      <c r="M29" t="s">
        <v>698</v>
      </c>
      <c r="N29" t="s">
        <v>1390</v>
      </c>
      <c r="O29" t="s">
        <v>1512</v>
      </c>
      <c r="P29" t="s">
        <v>1513</v>
      </c>
    </row>
    <row r="30" spans="1:16" x14ac:dyDescent="0.2">
      <c r="A30">
        <v>45968241</v>
      </c>
      <c r="B30" t="s">
        <v>367</v>
      </c>
      <c r="C30" t="s">
        <v>368</v>
      </c>
      <c r="D30" t="s">
        <v>1101</v>
      </c>
      <c r="E30">
        <v>1</v>
      </c>
      <c r="F30" t="str">
        <f>IFERROR(VLOOKUP(B30,OUTCOME!$A:$C,3,FALSE),"None")</f>
        <v>Adopted</v>
      </c>
      <c r="G30" t="s">
        <v>1747</v>
      </c>
      <c r="H30" s="9">
        <v>45950</v>
      </c>
      <c r="I30">
        <v>56</v>
      </c>
      <c r="J30" t="s">
        <v>1499</v>
      </c>
      <c r="K30" t="s">
        <v>1500</v>
      </c>
      <c r="L30" t="s">
        <v>1500</v>
      </c>
      <c r="M30" t="s">
        <v>1390</v>
      </c>
      <c r="N30" t="s">
        <v>1501</v>
      </c>
      <c r="O30" t="s">
        <v>1501</v>
      </c>
      <c r="P30" t="s">
        <v>1502</v>
      </c>
    </row>
    <row r="31" spans="1:16" x14ac:dyDescent="0.2">
      <c r="A31">
        <v>45970439</v>
      </c>
      <c r="B31" t="s">
        <v>370</v>
      </c>
      <c r="C31" t="s">
        <v>371</v>
      </c>
      <c r="D31" t="s">
        <v>1101</v>
      </c>
      <c r="E31">
        <v>1</v>
      </c>
      <c r="F31" t="str">
        <f>IFERROR(VLOOKUP(B31,OUTCOME!$A:$C,3,FALSE),"None")</f>
        <v>None</v>
      </c>
      <c r="G31" t="s">
        <v>1733</v>
      </c>
      <c r="H31" s="9">
        <v>45950</v>
      </c>
      <c r="I31">
        <v>55</v>
      </c>
      <c r="J31" t="s">
        <v>1379</v>
      </c>
      <c r="K31" t="s">
        <v>1540</v>
      </c>
      <c r="L31" t="s">
        <v>1540</v>
      </c>
      <c r="M31" t="s">
        <v>676</v>
      </c>
      <c r="N31" t="s">
        <v>1343</v>
      </c>
      <c r="O31" t="s">
        <v>1343</v>
      </c>
      <c r="P31" t="s">
        <v>1332</v>
      </c>
    </row>
    <row r="32" spans="1:16" x14ac:dyDescent="0.2">
      <c r="A32">
        <v>45968065</v>
      </c>
      <c r="B32" t="s">
        <v>377</v>
      </c>
      <c r="C32" t="s">
        <v>378</v>
      </c>
      <c r="D32" t="s">
        <v>1100</v>
      </c>
      <c r="E32">
        <v>1</v>
      </c>
      <c r="F32" t="str">
        <f>IFERROR(VLOOKUP(B32,OUTCOME!$A:$C,3,FALSE),"None")</f>
        <v>Foster To Adopt</v>
      </c>
      <c r="G32" t="s">
        <v>1735</v>
      </c>
      <c r="H32" s="9">
        <v>45950</v>
      </c>
      <c r="I32">
        <v>62.1</v>
      </c>
      <c r="J32" t="s">
        <v>1541</v>
      </c>
      <c r="K32" t="s">
        <v>1542</v>
      </c>
      <c r="L32" t="s">
        <v>1542</v>
      </c>
      <c r="M32" t="s">
        <v>691</v>
      </c>
      <c r="N32" t="s">
        <v>1317</v>
      </c>
      <c r="O32" t="s">
        <v>1317</v>
      </c>
      <c r="P32" t="s">
        <v>1543</v>
      </c>
    </row>
    <row r="33" spans="1:16" x14ac:dyDescent="0.2">
      <c r="A33">
        <v>45970275</v>
      </c>
      <c r="B33" t="s">
        <v>383</v>
      </c>
      <c r="C33" t="s">
        <v>384</v>
      </c>
      <c r="D33" t="s">
        <v>1101</v>
      </c>
      <c r="E33">
        <v>0</v>
      </c>
      <c r="F33" t="str">
        <f>IFERROR(VLOOKUP(B33,OUTCOME!$A:$C,3,FALSE),"None")</f>
        <v>Transported - pre bio</v>
      </c>
      <c r="I33">
        <v>37.9</v>
      </c>
      <c r="J33" t="s">
        <v>1374</v>
      </c>
      <c r="K33" t="s">
        <v>1602</v>
      </c>
      <c r="L33" t="s">
        <v>1602</v>
      </c>
      <c r="M33" t="s">
        <v>1344</v>
      </c>
      <c r="N33" t="s">
        <v>1321</v>
      </c>
      <c r="O33" t="s">
        <v>1321</v>
      </c>
      <c r="P33" t="s">
        <v>1603</v>
      </c>
    </row>
    <row r="34" spans="1:16" x14ac:dyDescent="0.2">
      <c r="A34">
        <v>45968028</v>
      </c>
      <c r="B34" t="s">
        <v>387</v>
      </c>
      <c r="C34" t="s">
        <v>388</v>
      </c>
      <c r="D34" t="s">
        <v>1101</v>
      </c>
      <c r="E34">
        <v>0</v>
      </c>
      <c r="F34" t="str">
        <f>IFERROR(VLOOKUP(B34,OUTCOME!$A:$C,3,FALSE),"None")</f>
        <v>None</v>
      </c>
      <c r="I34">
        <v>94.9</v>
      </c>
      <c r="J34" t="s">
        <v>1608</v>
      </c>
      <c r="K34" t="s">
        <v>1287</v>
      </c>
      <c r="L34" t="s">
        <v>1287</v>
      </c>
      <c r="M34" t="s">
        <v>630</v>
      </c>
      <c r="N34" t="s">
        <v>1270</v>
      </c>
      <c r="O34" t="s">
        <v>1270</v>
      </c>
      <c r="P34" t="s">
        <v>1271</v>
      </c>
    </row>
    <row r="35" spans="1:16" x14ac:dyDescent="0.2">
      <c r="A35">
        <v>45969286</v>
      </c>
      <c r="B35" t="s">
        <v>395</v>
      </c>
      <c r="C35" t="s">
        <v>396</v>
      </c>
      <c r="D35" t="s">
        <v>1101</v>
      </c>
      <c r="E35">
        <v>0</v>
      </c>
      <c r="F35" t="str">
        <f>IFERROR(VLOOKUP(B35,OUTCOME!$A:$C,3,FALSE),"None")</f>
        <v>None</v>
      </c>
      <c r="I35">
        <v>27</v>
      </c>
      <c r="J35" t="s">
        <v>1647</v>
      </c>
      <c r="K35" t="s">
        <v>1648</v>
      </c>
      <c r="L35" t="s">
        <v>1648</v>
      </c>
      <c r="M35" t="s">
        <v>539</v>
      </c>
      <c r="N35" t="s">
        <v>1649</v>
      </c>
      <c r="O35" t="s">
        <v>1649</v>
      </c>
      <c r="P35" t="s">
        <v>1650</v>
      </c>
    </row>
    <row r="36" spans="1:16" x14ac:dyDescent="0.2">
      <c r="A36">
        <v>45969536</v>
      </c>
      <c r="B36" t="s">
        <v>400</v>
      </c>
      <c r="C36" t="s">
        <v>1083</v>
      </c>
      <c r="D36" t="s">
        <v>1101</v>
      </c>
      <c r="E36">
        <v>1</v>
      </c>
      <c r="F36" t="str">
        <f>IFERROR(VLOOKUP(B36,OUTCOME!$A:$C,3,FALSE),"None")</f>
        <v>Adopted</v>
      </c>
      <c r="G36" t="s">
        <v>1741</v>
      </c>
      <c r="H36" s="9">
        <v>45950</v>
      </c>
      <c r="I36">
        <v>52.1</v>
      </c>
      <c r="J36" t="s">
        <v>1575</v>
      </c>
      <c r="K36" t="s">
        <v>1366</v>
      </c>
      <c r="L36" t="s">
        <v>1366</v>
      </c>
      <c r="M36" t="s">
        <v>491</v>
      </c>
      <c r="N36" t="s">
        <v>1520</v>
      </c>
      <c r="O36" t="s">
        <v>1520</v>
      </c>
      <c r="P36" t="s">
        <v>1526</v>
      </c>
    </row>
    <row r="37" spans="1:16" x14ac:dyDescent="0.2">
      <c r="A37">
        <v>45970242</v>
      </c>
      <c r="B37" t="s">
        <v>401</v>
      </c>
      <c r="C37" t="s">
        <v>402</v>
      </c>
      <c r="D37" t="s">
        <v>1101</v>
      </c>
      <c r="E37">
        <v>1</v>
      </c>
      <c r="F37" t="str">
        <f>IFERROR(VLOOKUP(B37,OUTCOME!$A:$C,3,FALSE),"None")</f>
        <v>Transported - pre bio</v>
      </c>
      <c r="J37" t="s">
        <v>1374</v>
      </c>
      <c r="K37" t="s">
        <v>1651</v>
      </c>
      <c r="L37" t="s">
        <v>1651</v>
      </c>
      <c r="M37" t="s">
        <v>509</v>
      </c>
      <c r="N37" t="s">
        <v>1649</v>
      </c>
      <c r="O37" t="s">
        <v>1649</v>
      </c>
      <c r="P37" t="s">
        <v>1652</v>
      </c>
    </row>
    <row r="38" spans="1:16" x14ac:dyDescent="0.2">
      <c r="A38">
        <v>45969485</v>
      </c>
      <c r="B38" t="s">
        <v>403</v>
      </c>
      <c r="C38" t="s">
        <v>1234</v>
      </c>
      <c r="D38" t="s">
        <v>1100</v>
      </c>
      <c r="E38">
        <v>1</v>
      </c>
      <c r="F38" t="str">
        <f>IFERROR(VLOOKUP(B38,OUTCOME!$A:$C,3,FALSE),"None")</f>
        <v>None</v>
      </c>
      <c r="J38" t="s">
        <v>1653</v>
      </c>
      <c r="K38" t="s">
        <v>1654</v>
      </c>
      <c r="L38" t="s">
        <v>1654</v>
      </c>
      <c r="M38" t="s">
        <v>658</v>
      </c>
      <c r="N38" t="s">
        <v>1306</v>
      </c>
      <c r="O38" t="s">
        <v>1306</v>
      </c>
      <c r="P38" t="s">
        <v>1340</v>
      </c>
    </row>
    <row r="39" spans="1:16" x14ac:dyDescent="0.2">
      <c r="A39">
        <v>45968036</v>
      </c>
      <c r="B39" t="s">
        <v>406</v>
      </c>
      <c r="C39" t="s">
        <v>407</v>
      </c>
      <c r="D39" t="s">
        <v>1101</v>
      </c>
      <c r="E39">
        <v>0</v>
      </c>
      <c r="F39" t="str">
        <f>IFERROR(VLOOKUP(B39,OUTCOME!$A:$C,3,FALSE),"None")</f>
        <v>None</v>
      </c>
      <c r="I39">
        <v>94.8</v>
      </c>
      <c r="J39" t="s">
        <v>1349</v>
      </c>
      <c r="K39" t="s">
        <v>1530</v>
      </c>
      <c r="L39" t="s">
        <v>1530</v>
      </c>
      <c r="M39" t="s">
        <v>523</v>
      </c>
      <c r="N39" t="s">
        <v>1322</v>
      </c>
      <c r="O39" t="s">
        <v>1322</v>
      </c>
      <c r="P39" t="s">
        <v>1371</v>
      </c>
    </row>
    <row r="40" spans="1:16" x14ac:dyDescent="0.2">
      <c r="A40">
        <v>45969340</v>
      </c>
      <c r="B40" t="s">
        <v>412</v>
      </c>
      <c r="C40" t="s">
        <v>1235</v>
      </c>
      <c r="D40" t="s">
        <v>1100</v>
      </c>
      <c r="E40">
        <v>0</v>
      </c>
      <c r="F40" t="str">
        <f>IFERROR(VLOOKUP(B40,OUTCOME!$A:$C,3,FALSE),"None")</f>
        <v>Adopted</v>
      </c>
      <c r="I40">
        <v>53.9</v>
      </c>
      <c r="J40" t="s">
        <v>1633</v>
      </c>
      <c r="K40" t="s">
        <v>1634</v>
      </c>
      <c r="L40" t="s">
        <v>1634</v>
      </c>
      <c r="M40" t="s">
        <v>539</v>
      </c>
      <c r="N40" t="s">
        <v>1378</v>
      </c>
      <c r="O40" t="s">
        <v>1378</v>
      </c>
      <c r="P40" t="s">
        <v>1369</v>
      </c>
    </row>
    <row r="41" spans="1:16" x14ac:dyDescent="0.2">
      <c r="A41">
        <v>45970198</v>
      </c>
      <c r="B41" t="s">
        <v>414</v>
      </c>
      <c r="C41" t="s">
        <v>415</v>
      </c>
      <c r="D41" t="s">
        <v>1101</v>
      </c>
      <c r="E41">
        <v>0</v>
      </c>
      <c r="F41" t="str">
        <f>IFERROR(VLOOKUP(B41,OUTCOME!$A:$C,3,FALSE),"None")</f>
        <v>None</v>
      </c>
      <c r="I41">
        <v>42</v>
      </c>
      <c r="J41" t="s">
        <v>1350</v>
      </c>
      <c r="K41" t="s">
        <v>1700</v>
      </c>
      <c r="L41" t="s">
        <v>1700</v>
      </c>
      <c r="M41" t="s">
        <v>1365</v>
      </c>
      <c r="N41" t="s">
        <v>1357</v>
      </c>
      <c r="O41" t="s">
        <v>1357</v>
      </c>
      <c r="P41" t="s">
        <v>1672</v>
      </c>
    </row>
    <row r="42" spans="1:16" x14ac:dyDescent="0.2">
      <c r="A42">
        <v>45969530</v>
      </c>
      <c r="B42" t="s">
        <v>422</v>
      </c>
      <c r="C42" t="s">
        <v>1082</v>
      </c>
      <c r="D42" t="s">
        <v>1100</v>
      </c>
      <c r="E42">
        <v>1</v>
      </c>
      <c r="F42" t="str">
        <f>IFERROR(VLOOKUP(B42,OUTCOME!$A:$C,3,FALSE),"None")</f>
        <v>None</v>
      </c>
      <c r="G42" t="s">
        <v>1738</v>
      </c>
      <c r="H42" s="9">
        <v>45950</v>
      </c>
      <c r="I42">
        <v>52.9</v>
      </c>
      <c r="J42" t="s">
        <v>1707</v>
      </c>
      <c r="K42" t="s">
        <v>1708</v>
      </c>
      <c r="L42" t="s">
        <v>1708</v>
      </c>
      <c r="M42" t="s">
        <v>530</v>
      </c>
      <c r="N42" t="s">
        <v>1709</v>
      </c>
      <c r="O42" t="s">
        <v>1709</v>
      </c>
      <c r="P42" t="s">
        <v>1383</v>
      </c>
    </row>
    <row r="43" spans="1:16" x14ac:dyDescent="0.2">
      <c r="A43">
        <v>45968103</v>
      </c>
      <c r="B43" t="s">
        <v>430</v>
      </c>
      <c r="C43" t="s">
        <v>431</v>
      </c>
      <c r="D43" t="s">
        <v>1100</v>
      </c>
      <c r="E43">
        <v>0</v>
      </c>
      <c r="F43" t="str">
        <f>IFERROR(VLOOKUP(B43,OUTCOME!$A:$C,3,FALSE),"None")</f>
        <v>None</v>
      </c>
      <c r="I43">
        <v>61.8</v>
      </c>
      <c r="J43" t="s">
        <v>1713</v>
      </c>
      <c r="K43" t="s">
        <v>1714</v>
      </c>
      <c r="L43" t="s">
        <v>1714</v>
      </c>
      <c r="M43" t="s">
        <v>523</v>
      </c>
      <c r="N43" t="s">
        <v>1325</v>
      </c>
      <c r="O43" t="s">
        <v>1325</v>
      </c>
      <c r="P43" t="s">
        <v>1715</v>
      </c>
    </row>
    <row r="44" spans="1:16" x14ac:dyDescent="0.2">
      <c r="A44">
        <v>45968075</v>
      </c>
      <c r="B44" t="s">
        <v>435</v>
      </c>
      <c r="C44" t="s">
        <v>436</v>
      </c>
      <c r="D44" t="s">
        <v>1101</v>
      </c>
      <c r="E44">
        <v>0</v>
      </c>
      <c r="F44" t="str">
        <f>IFERROR(VLOOKUP(B44,OUTCOME!$A:$C,3,FALSE),"None")</f>
        <v>None</v>
      </c>
      <c r="I44">
        <v>75</v>
      </c>
      <c r="J44" t="s">
        <v>1717</v>
      </c>
      <c r="K44" t="s">
        <v>1718</v>
      </c>
      <c r="L44" t="s">
        <v>1718</v>
      </c>
      <c r="M44" t="s">
        <v>676</v>
      </c>
      <c r="N44" t="s">
        <v>1719</v>
      </c>
      <c r="O44" t="s">
        <v>1719</v>
      </c>
      <c r="P44" t="s">
        <v>1315</v>
      </c>
    </row>
    <row r="45" spans="1:16" x14ac:dyDescent="0.2">
      <c r="A45">
        <v>46184776</v>
      </c>
      <c r="B45" t="s">
        <v>836</v>
      </c>
      <c r="C45" t="s">
        <v>835</v>
      </c>
      <c r="D45" t="s">
        <v>1101</v>
      </c>
      <c r="E45">
        <v>1</v>
      </c>
      <c r="F45" t="str">
        <f>IFERROR(VLOOKUP(B45,OUTCOME!$A:$C,3,FALSE),"None")</f>
        <v>Adopted - pre bio</v>
      </c>
      <c r="J45" t="s">
        <v>1497</v>
      </c>
      <c r="K45" t="s">
        <v>1497</v>
      </c>
      <c r="L45" t="s">
        <v>1497</v>
      </c>
      <c r="M45" t="s">
        <v>1497</v>
      </c>
      <c r="N45" t="s">
        <v>1497</v>
      </c>
      <c r="O45" t="s">
        <v>1497</v>
      </c>
      <c r="P45" t="s">
        <v>1498</v>
      </c>
    </row>
    <row r="46" spans="1:16" x14ac:dyDescent="0.2">
      <c r="A46">
        <v>46184787</v>
      </c>
      <c r="B46" t="s">
        <v>849</v>
      </c>
      <c r="C46" t="s">
        <v>848</v>
      </c>
      <c r="D46" t="s">
        <v>1101</v>
      </c>
      <c r="E46">
        <v>1</v>
      </c>
      <c r="F46" t="str">
        <f>IFERROR(VLOOKUP(B46,OUTCOME!$A:$C,3,FALSE),"None")</f>
        <v>None</v>
      </c>
      <c r="G46" s="8" t="s">
        <v>2170</v>
      </c>
      <c r="H46" s="9">
        <v>45964</v>
      </c>
      <c r="I46">
        <v>37</v>
      </c>
      <c r="J46">
        <v>463</v>
      </c>
      <c r="K46">
        <v>885</v>
      </c>
      <c r="L46">
        <v>885</v>
      </c>
      <c r="M46">
        <v>34</v>
      </c>
      <c r="N46">
        <v>70</v>
      </c>
      <c r="O46">
        <v>70</v>
      </c>
      <c r="P46" t="s">
        <v>1498</v>
      </c>
    </row>
    <row r="47" spans="1:16" x14ac:dyDescent="0.2">
      <c r="A47">
        <v>46184800</v>
      </c>
      <c r="B47" t="s">
        <v>867</v>
      </c>
      <c r="C47" t="s">
        <v>866</v>
      </c>
      <c r="D47" t="s">
        <v>1101</v>
      </c>
      <c r="E47">
        <v>0</v>
      </c>
      <c r="F47" t="str">
        <f>IFERROR(VLOOKUP(B47,OUTCOME!$A:$C,3,FALSE),"None")</f>
        <v>Adopted</v>
      </c>
      <c r="I47">
        <v>17.8</v>
      </c>
      <c r="J47" t="s">
        <v>1497</v>
      </c>
      <c r="K47" t="s">
        <v>1497</v>
      </c>
      <c r="L47" t="s">
        <v>1497</v>
      </c>
      <c r="M47" t="s">
        <v>1497</v>
      </c>
      <c r="N47" t="s">
        <v>1497</v>
      </c>
      <c r="O47" t="s">
        <v>1497</v>
      </c>
      <c r="P47" t="s">
        <v>1498</v>
      </c>
    </row>
    <row r="48" spans="1:16" x14ac:dyDescent="0.2">
      <c r="A48">
        <v>46184805</v>
      </c>
      <c r="B48" t="s">
        <v>1152</v>
      </c>
      <c r="C48" t="s">
        <v>1153</v>
      </c>
      <c r="D48" t="s">
        <v>1101</v>
      </c>
      <c r="E48">
        <v>1</v>
      </c>
      <c r="F48" t="str">
        <f>IFERROR(VLOOKUP(B48,OUTCOME!$A:$C,3,FALSE),"None")</f>
        <v>Adopted</v>
      </c>
      <c r="G48" s="8" t="s">
        <v>2171</v>
      </c>
      <c r="H48" s="9">
        <v>45964</v>
      </c>
      <c r="I48">
        <v>26.2</v>
      </c>
      <c r="J48">
        <v>232</v>
      </c>
      <c r="K48">
        <v>439</v>
      </c>
      <c r="L48">
        <v>439</v>
      </c>
      <c r="M48">
        <v>18</v>
      </c>
      <c r="N48">
        <v>78</v>
      </c>
      <c r="O48">
        <v>78</v>
      </c>
      <c r="P48" s="5">
        <v>7.8E-2</v>
      </c>
    </row>
    <row r="49" spans="1:16" x14ac:dyDescent="0.2">
      <c r="A49">
        <v>46184679</v>
      </c>
      <c r="B49" t="s">
        <v>843</v>
      </c>
      <c r="C49" t="s">
        <v>842</v>
      </c>
      <c r="D49" t="s">
        <v>1101</v>
      </c>
      <c r="E49">
        <v>0</v>
      </c>
      <c r="F49" t="str">
        <f>IFERROR(VLOOKUP(B49,OUTCOME!$A:$C,3,FALSE),"None")</f>
        <v>Adopted</v>
      </c>
      <c r="I49">
        <v>24.8</v>
      </c>
      <c r="J49" t="s">
        <v>1497</v>
      </c>
      <c r="K49" t="s">
        <v>1497</v>
      </c>
      <c r="L49" t="s">
        <v>1497</v>
      </c>
      <c r="M49" t="s">
        <v>1497</v>
      </c>
      <c r="N49" t="s">
        <v>1497</v>
      </c>
      <c r="O49" t="s">
        <v>1497</v>
      </c>
      <c r="P49" t="s">
        <v>1498</v>
      </c>
    </row>
    <row r="50" spans="1:16" x14ac:dyDescent="0.2">
      <c r="A50">
        <v>46184656</v>
      </c>
      <c r="B50" t="s">
        <v>775</v>
      </c>
      <c r="C50" t="s">
        <v>774</v>
      </c>
      <c r="D50" t="s">
        <v>1101</v>
      </c>
      <c r="E50">
        <v>1</v>
      </c>
      <c r="F50" t="str">
        <f>IFERROR(VLOOKUP(B50,OUTCOME!$A:$C,3,FALSE),"None")</f>
        <v>Adopted</v>
      </c>
      <c r="G50" s="8" t="s">
        <v>1755</v>
      </c>
      <c r="H50" s="9">
        <v>45957</v>
      </c>
      <c r="I50">
        <v>44.9</v>
      </c>
      <c r="J50">
        <v>452</v>
      </c>
      <c r="K50">
        <v>452</v>
      </c>
      <c r="L50">
        <v>452</v>
      </c>
      <c r="M50">
        <v>30</v>
      </c>
      <c r="N50">
        <v>30</v>
      </c>
      <c r="O50">
        <v>30</v>
      </c>
      <c r="P50" s="5">
        <v>6.6000000000000003E-2</v>
      </c>
    </row>
    <row r="51" spans="1:16" x14ac:dyDescent="0.2">
      <c r="A51">
        <v>46184864</v>
      </c>
      <c r="B51" t="s">
        <v>827</v>
      </c>
      <c r="C51" t="s">
        <v>826</v>
      </c>
      <c r="D51" t="s">
        <v>1100</v>
      </c>
      <c r="E51">
        <v>0</v>
      </c>
      <c r="F51" t="str">
        <f>IFERROR(VLOOKUP(B51,OUTCOME!$A:$C,3,FALSE),"None")</f>
        <v>None</v>
      </c>
      <c r="I51">
        <v>30.8</v>
      </c>
      <c r="J51" t="s">
        <v>1497</v>
      </c>
      <c r="K51" t="s">
        <v>1497</v>
      </c>
      <c r="L51" t="s">
        <v>1497</v>
      </c>
      <c r="M51" t="s">
        <v>1497</v>
      </c>
      <c r="N51" t="s">
        <v>1497</v>
      </c>
      <c r="O51" t="s">
        <v>1497</v>
      </c>
      <c r="P51" t="s">
        <v>1498</v>
      </c>
    </row>
    <row r="52" spans="1:16" x14ac:dyDescent="0.2">
      <c r="A52">
        <v>46184910</v>
      </c>
      <c r="B52" t="s">
        <v>802</v>
      </c>
      <c r="C52" t="s">
        <v>1095</v>
      </c>
      <c r="D52" t="s">
        <v>1101</v>
      </c>
      <c r="E52">
        <v>1</v>
      </c>
      <c r="F52" t="str">
        <f>IFERROR(VLOOKUP(B52,OUTCOME!$A:$C,3,FALSE),"None")</f>
        <v>None</v>
      </c>
      <c r="G52" s="8" t="s">
        <v>2172</v>
      </c>
      <c r="H52" s="9">
        <v>45964</v>
      </c>
      <c r="I52">
        <v>49.3</v>
      </c>
      <c r="J52">
        <v>363</v>
      </c>
      <c r="K52">
        <v>636</v>
      </c>
      <c r="L52">
        <v>636</v>
      </c>
      <c r="M52">
        <v>60</v>
      </c>
      <c r="N52">
        <v>171</v>
      </c>
      <c r="O52">
        <v>171</v>
      </c>
      <c r="P52" s="5">
        <v>0.16500000000000001</v>
      </c>
    </row>
    <row r="53" spans="1:16" x14ac:dyDescent="0.2">
      <c r="A53">
        <v>46184923</v>
      </c>
      <c r="B53" t="s">
        <v>799</v>
      </c>
      <c r="C53" t="s">
        <v>798</v>
      </c>
      <c r="D53" t="s">
        <v>1101</v>
      </c>
      <c r="E53">
        <v>0</v>
      </c>
      <c r="F53" t="str">
        <f>IFERROR(VLOOKUP(B53,OUTCOME!$A:$C,3,FALSE),"None")</f>
        <v>Adopted</v>
      </c>
      <c r="I53">
        <v>37</v>
      </c>
      <c r="J53" t="s">
        <v>1497</v>
      </c>
      <c r="K53" t="s">
        <v>1497</v>
      </c>
      <c r="L53" t="s">
        <v>1497</v>
      </c>
      <c r="M53" t="s">
        <v>1497</v>
      </c>
      <c r="N53" t="s">
        <v>1497</v>
      </c>
      <c r="O53" t="s">
        <v>1497</v>
      </c>
      <c r="P53" t="s">
        <v>1498</v>
      </c>
    </row>
    <row r="54" spans="1:16" x14ac:dyDescent="0.2">
      <c r="A54">
        <v>46184930</v>
      </c>
      <c r="B54" t="s">
        <v>768</v>
      </c>
      <c r="C54" t="s">
        <v>767</v>
      </c>
      <c r="D54" t="s">
        <v>1100</v>
      </c>
      <c r="E54">
        <v>0</v>
      </c>
      <c r="F54" t="str">
        <f>IFERROR(VLOOKUP(B54,OUTCOME!$A:$C,3,FALSE),"None")</f>
        <v>Adopted</v>
      </c>
      <c r="I54">
        <v>47</v>
      </c>
      <c r="J54" t="s">
        <v>1497</v>
      </c>
      <c r="K54" t="s">
        <v>1497</v>
      </c>
      <c r="L54" t="s">
        <v>1497</v>
      </c>
      <c r="M54" t="s">
        <v>1497</v>
      </c>
      <c r="N54" t="s">
        <v>1497</v>
      </c>
      <c r="O54" t="s">
        <v>1497</v>
      </c>
      <c r="P54" t="s">
        <v>1498</v>
      </c>
    </row>
    <row r="55" spans="1:16" x14ac:dyDescent="0.2">
      <c r="A55">
        <v>46184949</v>
      </c>
      <c r="B55" t="s">
        <v>792</v>
      </c>
      <c r="C55" t="s">
        <v>791</v>
      </c>
      <c r="D55" t="s">
        <v>1101</v>
      </c>
      <c r="E55">
        <v>1</v>
      </c>
      <c r="F55" t="str">
        <f>IFERROR(VLOOKUP(B55,OUTCOME!$A:$C,3,FALSE),"None")</f>
        <v>Adopted - pre bio</v>
      </c>
      <c r="J55" t="s">
        <v>1497</v>
      </c>
      <c r="K55" t="s">
        <v>1497</v>
      </c>
      <c r="L55" t="s">
        <v>1497</v>
      </c>
      <c r="M55" t="s">
        <v>1497</v>
      </c>
      <c r="N55" t="s">
        <v>1497</v>
      </c>
      <c r="O55" t="s">
        <v>1497</v>
      </c>
      <c r="P55" t="s">
        <v>1498</v>
      </c>
    </row>
    <row r="56" spans="1:16" x14ac:dyDescent="0.2">
      <c r="A56">
        <v>46184619</v>
      </c>
      <c r="B56" t="s">
        <v>713</v>
      </c>
      <c r="C56" t="s">
        <v>712</v>
      </c>
      <c r="D56" t="s">
        <v>1100</v>
      </c>
      <c r="E56">
        <v>0</v>
      </c>
      <c r="F56" t="str">
        <f>IFERROR(VLOOKUP(B56,OUTCOME!$A:$C,3,FALSE),"None")</f>
        <v>None</v>
      </c>
      <c r="I56">
        <v>75</v>
      </c>
      <c r="J56" t="s">
        <v>1497</v>
      </c>
      <c r="K56" t="s">
        <v>1497</v>
      </c>
      <c r="L56" t="s">
        <v>1497</v>
      </c>
      <c r="M56" t="s">
        <v>1497</v>
      </c>
      <c r="N56" t="s">
        <v>1497</v>
      </c>
      <c r="O56" t="s">
        <v>1497</v>
      </c>
      <c r="P56" t="s">
        <v>1498</v>
      </c>
    </row>
    <row r="57" spans="1:16" x14ac:dyDescent="0.2">
      <c r="A57">
        <v>46185064</v>
      </c>
      <c r="B57" t="s">
        <v>834</v>
      </c>
      <c r="C57" t="s">
        <v>833</v>
      </c>
      <c r="D57" t="s">
        <v>1100</v>
      </c>
      <c r="E57">
        <v>1</v>
      </c>
      <c r="F57" t="str">
        <f>IFERROR(VLOOKUP(B57,OUTCOME!$A:$C,3,FALSE),"None")</f>
        <v>None</v>
      </c>
      <c r="G57" s="8" t="s">
        <v>2173</v>
      </c>
      <c r="H57" s="9">
        <v>45964</v>
      </c>
      <c r="I57">
        <v>42.3</v>
      </c>
      <c r="J57">
        <v>255</v>
      </c>
      <c r="K57">
        <v>497</v>
      </c>
      <c r="L57">
        <v>497</v>
      </c>
      <c r="M57">
        <v>4</v>
      </c>
      <c r="N57">
        <v>19</v>
      </c>
      <c r="O57">
        <v>19</v>
      </c>
      <c r="P57" s="5">
        <v>1.6E-2</v>
      </c>
    </row>
    <row r="58" spans="1:16" x14ac:dyDescent="0.2">
      <c r="A58">
        <v>46185077</v>
      </c>
      <c r="B58" t="s">
        <v>865</v>
      </c>
      <c r="C58" t="s">
        <v>864</v>
      </c>
      <c r="D58" t="s">
        <v>1101</v>
      </c>
      <c r="E58">
        <v>1</v>
      </c>
      <c r="F58" t="str">
        <f>IFERROR(VLOOKUP(B58,OUTCOME!$A:$C,3,FALSE),"None")</f>
        <v>Adopted - pre bio</v>
      </c>
      <c r="J58" t="s">
        <v>1497</v>
      </c>
      <c r="K58" t="s">
        <v>1497</v>
      </c>
      <c r="L58" t="s">
        <v>1497</v>
      </c>
      <c r="M58" t="s">
        <v>1497</v>
      </c>
      <c r="N58" t="s">
        <v>1497</v>
      </c>
      <c r="O58" t="s">
        <v>1497</v>
      </c>
      <c r="P58" t="s">
        <v>1498</v>
      </c>
    </row>
  </sheetData>
  <autoFilter ref="A1:P58" xr:uid="{219668B7-CD6D-3B43-B22B-19FBE4003769}"/>
  <pageMargins left="0.7" right="0.7" top="0.75" bottom="0.75" header="0.3" footer="0.3"/>
  <ignoredErrors>
    <ignoredError sqref="J2:P21 J51:P51 J58:P58 J53:P56 J49:P49 J47:P47 P46 J23:P4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FFA-D608-754A-897E-8AE5ED9CFEFB}">
  <sheetPr>
    <tabColor theme="9" tint="-0.249977111117893"/>
  </sheetPr>
  <dimension ref="A1:AT43"/>
  <sheetViews>
    <sheetView topLeftCell="A7" workbookViewId="0">
      <selection activeCell="F23" sqref="F23"/>
    </sheetView>
  </sheetViews>
  <sheetFormatPr baseColWidth="10" defaultRowHeight="15" x14ac:dyDescent="0.2"/>
  <cols>
    <col min="1" max="3" width="18.33203125" customWidth="1"/>
    <col min="4" max="4" width="21" customWidth="1"/>
    <col min="5" max="5" width="17.1640625" customWidth="1"/>
    <col min="6" max="6" width="18.83203125" customWidth="1"/>
    <col min="7" max="8" width="10.6640625" customWidth="1"/>
    <col min="9" max="9" width="43" customWidth="1"/>
    <col min="10" max="10" width="9.1640625" bestFit="1" customWidth="1"/>
    <col min="11" max="11" width="12.1640625" bestFit="1" customWidth="1"/>
    <col min="12" max="12" width="24" bestFit="1" customWidth="1"/>
    <col min="13" max="14" width="22.33203125" bestFit="1" customWidth="1"/>
    <col min="15" max="15" width="24" bestFit="1" customWidth="1"/>
    <col min="16" max="16" width="17" customWidth="1"/>
    <col min="17" max="17" width="41.33203125" bestFit="1" customWidth="1"/>
    <col min="18" max="18" width="6.1640625" bestFit="1" customWidth="1"/>
    <col min="19" max="19" width="6.5" customWidth="1"/>
    <col min="20" max="20" width="21.6640625" bestFit="1" customWidth="1"/>
    <col min="21" max="21" width="8.5" customWidth="1"/>
    <col min="22" max="22" width="9.5" customWidth="1"/>
    <col min="23" max="23" width="14.5" customWidth="1"/>
    <col min="24" max="24" width="13.83203125" customWidth="1"/>
    <col min="25" max="25" width="14.6640625" customWidth="1"/>
    <col min="26" max="26" width="14.33203125" customWidth="1"/>
    <col min="27" max="27" width="14.83203125" customWidth="1"/>
    <col min="28" max="28" width="14.33203125" customWidth="1"/>
    <col min="29" max="29" width="24.1640625" customWidth="1"/>
    <col min="30" max="30" width="21" bestFit="1" customWidth="1"/>
    <col min="31" max="31" width="14" customWidth="1"/>
    <col min="32" max="32" width="19.33203125" bestFit="1" customWidth="1"/>
    <col min="33" max="33" width="42.6640625" bestFit="1" customWidth="1"/>
    <col min="34" max="34" width="17.6640625" customWidth="1"/>
    <col min="35" max="35" width="15.83203125" customWidth="1"/>
    <col min="36" max="36" width="11.33203125" customWidth="1"/>
    <col min="37" max="37" width="18.83203125" customWidth="1"/>
    <col min="38" max="38" width="14.6640625" customWidth="1"/>
    <col min="39" max="39" width="17.83203125" customWidth="1"/>
  </cols>
  <sheetData>
    <row r="1" spans="1:46" x14ac:dyDescent="0.2">
      <c r="A1" s="20" t="s">
        <v>1730</v>
      </c>
      <c r="B1" s="8" t="s">
        <v>1729</v>
      </c>
      <c r="C1" s="8" t="s">
        <v>1409</v>
      </c>
      <c r="D1" s="8" t="s">
        <v>1059</v>
      </c>
      <c r="E1" s="8" t="s">
        <v>1056</v>
      </c>
      <c r="F1" s="8" t="s">
        <v>1057</v>
      </c>
      <c r="G1" s="8" t="s">
        <v>1058</v>
      </c>
      <c r="H1" s="8" t="s">
        <v>1098</v>
      </c>
      <c r="I1" s="8" t="s">
        <v>1054</v>
      </c>
      <c r="J1" t="s">
        <v>0</v>
      </c>
      <c r="K1" t="s">
        <v>1</v>
      </c>
      <c r="L1" s="8" t="s">
        <v>1049</v>
      </c>
      <c r="M1" s="8" t="s">
        <v>1050</v>
      </c>
      <c r="N1" s="8" t="s">
        <v>1051</v>
      </c>
      <c r="O1" t="s">
        <v>7</v>
      </c>
      <c r="P1" t="s">
        <v>8</v>
      </c>
      <c r="Q1" t="s">
        <v>9</v>
      </c>
      <c r="R1" t="s">
        <v>10</v>
      </c>
      <c r="S1" t="s">
        <v>11</v>
      </c>
      <c r="T1" t="s">
        <v>12</v>
      </c>
      <c r="U1" t="s">
        <v>14</v>
      </c>
      <c r="V1" t="s">
        <v>15</v>
      </c>
      <c r="W1" t="s">
        <v>16</v>
      </c>
      <c r="X1" t="s">
        <v>17</v>
      </c>
      <c r="Y1" t="s">
        <v>19</v>
      </c>
      <c r="Z1" t="s">
        <v>20</v>
      </c>
      <c r="AA1" t="s">
        <v>21</v>
      </c>
      <c r="AB1" t="s">
        <v>22</v>
      </c>
      <c r="AC1" s="8" t="s">
        <v>1052</v>
      </c>
      <c r="AD1" s="8" t="s">
        <v>881</v>
      </c>
      <c r="AE1" s="8" t="s">
        <v>878</v>
      </c>
      <c r="AF1" s="8" t="s">
        <v>876</v>
      </c>
      <c r="AG1" s="8" t="s">
        <v>1053</v>
      </c>
      <c r="AH1" t="s">
        <v>1015</v>
      </c>
      <c r="AI1" t="s">
        <v>1013</v>
      </c>
      <c r="AJ1" t="s">
        <v>1012</v>
      </c>
      <c r="AK1" t="s">
        <v>1011</v>
      </c>
      <c r="AL1" t="s">
        <v>1009</v>
      </c>
      <c r="AM1" t="s">
        <v>1006</v>
      </c>
      <c r="AN1" s="8" t="s">
        <v>1402</v>
      </c>
      <c r="AO1" t="s">
        <v>1403</v>
      </c>
      <c r="AP1" t="s">
        <v>1404</v>
      </c>
      <c r="AQ1" t="s">
        <v>1405</v>
      </c>
      <c r="AR1" t="s">
        <v>1406</v>
      </c>
      <c r="AS1" t="s">
        <v>1407</v>
      </c>
      <c r="AT1" t="s">
        <v>1408</v>
      </c>
    </row>
    <row r="2" spans="1:46" x14ac:dyDescent="0.2">
      <c r="A2">
        <f>VLOOKUP(Table4[[#This Row],[Rescue_ID]],Randomize_10_20_25!$B:$D,3,FALSE)</f>
        <v>1</v>
      </c>
      <c r="B2">
        <f>VLOOKUP(Table4[[#This Row],[Rescue_ID]],InitialRandom_10_07_25!$I:$AL,30,FALSE)</f>
        <v>1</v>
      </c>
      <c r="C2" s="9">
        <f>VLOOKUP(Table4[[#This Row],[Rescue_ID]],'Experiment Tracker'!$B:$P,7,FALSE)</f>
        <v>45950</v>
      </c>
      <c r="D2" s="8" t="str">
        <f>VLOOKUP(Table4[[#This Row],[Rescue_ID]],'Experiment Tracker'!$B:$P,6,FALSE)</f>
        <v>Chucky is proof that good things come to those who wait! After spending 11 long months at the shelter, this handsome brown-and-white Pittie/Bulldog mix is finally thriving in his Charleston foster home. Sweet, smart, and loyal, Chucky takes a little time to warm up—but once he does, he’s all heart. Playful and affectionate, he loves being part of a family and soaks up every bit of love and attention he can get. His gentle nature and goofy charm make him impossible not to adore. If you’re looking for a loyal companion who’s been waiting patiently for his happily-ever-after, Chucky is ready to give you all the love he’s been saving.</v>
      </c>
      <c r="F2">
        <f>VLOOKUP(Table4[[#This Row],[Rescue_ID]],'Experiment Tracker'!$B:$I,8,FALSE)</f>
        <v>416</v>
      </c>
      <c r="H2" t="str">
        <f>VLOOKUP(Table4[[#This Row],[Primary_Breed]],'Breed Group'!$A:$B,2,FALSE)</f>
        <v>Stigma</v>
      </c>
      <c r="I2" t="str">
        <f>IF(VLOOKUP($K2,'Consolidated Data - Static'!$K:$AM,2,FALSE)&lt;&gt;VLOOKUP($K2,'Consolidated Data - Dynamic'!$D:$AF,2,FALSE),"Name-AdoptAPet Mismatch",IF(VLOOKUP($K2,'Consolidated Data - Static'!$K:$AM,3,FALSE)&lt;&gt;VLOOKUP($K2,'Consolidated Data - Dynamic'!$D:$AF,3,FALSE),"Name-PetPoint Mismatch",IF(VLOOKUP($K2,'Consolidated Data - Static'!$K:$AM,4,FALSE)&lt;&gt;VLOOKUP($K2,'Consolidated Data - Dynamic'!$D:$AF,4,FALSE),"Name-Inventory Mismatch", IF(VLOOKUP($K2,'Consolidated Data - Static'!$K:$AM,5,FALSE)&lt;&gt;VLOOKUP($K2,'Consolidated Data - Dynamic'!$D:$AF,5,FALSE),"Primary Breed Mismatch",IF(VLOOKUP($K2,'Consolidated Data - Static'!$K:$AM,6,FALSE)&lt;&gt;VLOOKUP($K2,'Consolidated Data - Dynamic'!$D:$AF,6,FALSE),"Secondary Breed Mismatch", IF(VLOOKUP($K2,'Consolidated Data - Static'!$K:$AM,7,FALSE)&lt;&gt;VLOOKUP($K2,'Consolidated Data - Dynamic'!$D:$AF,7,FALSE),"Color Mismatch",IF(VLOOKUP($K2,'Consolidated Data - Static'!$K:$AM,8,FALSE)&lt;&gt;VLOOKUP($K2,'Consolidated Data - Dynamic'!$D:$AF,8,FALSE),"Sex Mismatch",IF(VLOOKUP($K2,'Consolidated Data - Static'!$K:$AM,9,FALSE)&lt;&gt;VLOOKUP($K2,'Consolidated Data - Dynamic'!$D:$AF,9,FALSE),"Age Mismatch",IF(VLOOKUP($K2,'Consolidated Data - Static'!$K:$AM,10,FALSE)&lt;&gt;VLOOKUP($K2,'Consolidated Data - Dynamic'!$D:$AF,10,FALSE),"Size Mismatch",IF(VLOOKUP($K2,'Consolidated Data - Static'!$K:$AM,11,FALSE)&lt;&gt;VLOOKUP($K2,'Consolidated Data - Dynamic'!$D:$AF,11,FALSE),"Mixed Mismatch",IF(VLOOKUP($K2,'Consolidated Data - Static'!$K:$AM,12,FALSE)&lt;&gt;VLOOKUP($K2,'Consolidated Data - Dynamic'!$D:$AF,12,FALSE),"Altered Mismatch",IF(VLOOKUP($K2,'Consolidated Data - Static'!$K:$AM,13,FALSE)&lt;&gt;VLOOKUP($K2,'Consolidated Data - Dynamic'!$D:$AF,13,FALSE),"Shots Current Mismatch",IF(VLOOKUP($K2,'Consolidated Data - Static'!$K:$AM,14,FALSE)&lt;&gt;VLOOKUP($K2,'Consolidated Data - Dynamic'!$D:$AF,14,FALSE),"Housebroken Mismatch",IF(VLOOKUP($K2,'Consolidated Data - Static'!$K:$AM,15,FALSE)&lt;&gt;VLOOKUP($K2,'Consolidated Data - Dynamic'!$D:$AF,15,FALSE),"Special Needs Mismatch",IF(VLOOKUP($K2,'Consolidated Data - Static'!$K:$AM,16,FALSE)&lt;&gt;VLOOKUP($K2,'Consolidated Data - Dynamic'!$D:$AF,16,FALSE),"OK w/kids Mismatch",IF(VLOOKUP($K2,'Consolidated Data - Static'!$K:$AM,17,FALSE)&lt;&gt;VLOOKUP($K2,'Consolidated Data - Dynamic'!$D:$AF,17,FALSE),"OK w/dogs Mismatch",IF(VLOOKUP($K2,'Consolidated Data - Static'!$K:$AM,18,FALSE)&lt;&gt;VLOOKUP($K2,'Consolidated Data - Dynamic'!$D:$AF,18,FALSE),"OK w/cats Mismatch",IF(VLOOKUP($K2,'Consolidated Data - Static'!$K:$AM,19,FALSE)&lt;&gt;VLOOKUP($K2,'Consolidated Data - Dynamic'!$D:$AF,19,FALSE),"Pre Treatment Description Mismatch",IF(VLOOKUP($K2,'Consolidated Data - Static'!$K:$AM,20,FALSE)&lt;&gt;VLOOKUP($K2,'Consolidated Data - Dynamic'!$D:$AF,20,FALSE),"Stage Mismatch",IF(VLOOKUP($K2,'Consolidated Data - Static'!$K:$AM,21,FALSE)&lt;&gt;VLOOKUP($K2,'Consolidated Data - Dynamic'!$D:$AF,21,FALSE),"Primary Color Mismatch",IF(VLOOKUP($K2,'Consolidated Data - Static'!$K:$AM,22,FALSE)&lt;&gt;VLOOKUP($K2,'Consolidated Data - Dynamic'!$D:$AF,22,FALSE),"Location Mismatch",IF(VLOOKUP($K2,'Consolidated Data - Static'!$K:$AM,23,FALSE)&lt;&gt;VLOOKUP($K2,'Consolidated Data - Dynamic'!$D:$AF,23,FALSE),"Intake Type Mismatch",IF(VLOOKUP($K2,'Consolidated Data - Static'!$K:$AM,24,FALSE)&lt;&gt;VLOOKUP($K2,'Consolidated Data - Dynamic'!$D:$AF,24,FALSE),"Emancipation Date Mismatch",IF(VLOOKUP($K2,'Consolidated Data - Static'!$K:$AM,25,FALSE)&lt;&gt;VLOOKUP($K2,'Consolidated Data - Dynamic'!$D:$AF,25,FALSE),"Intake Date Mismatch",IF(VLOOKUP($K2,'Consolidated Data - Static'!$K:$AM,26,FALSE)&lt;&gt;VLOOKUP($K2,'Consolidated Data - Dynamic'!$D:$AF,26,FALSE),"LOS Days Mismatch",IF(VLOOKUP($K2,'Consolidated Data - Static'!$K:$AM,27,FALSE)&lt;&gt;VLOOKUP($K2,'Consolidated Data - Dynamic'!$D:$AF,27,FALSE),"Stage Change Mismatch",IF(VLOOKUP($K2,'Consolidated Data - Static'!$K:$AM,28,FALSE)&lt;&gt;VLOOKUP($K2,'Consolidated Data - Dynamic'!$D:$AF,28,FALSE),"Animal Weight Mismatch",IF(VLOOKUP($K2,'Consolidated Data - Static'!$K:$AM,29,FALSE)&lt;&gt;VLOOKUP($K2,'Consolidated Data - Dynamic'!$D:$AF,29,FALSE),"Number of Pictures Mismatch", "Record Match"))))))))))))))))))))))))))))</f>
        <v>Record Match</v>
      </c>
      <c r="J2">
        <v>42938868</v>
      </c>
      <c r="K2" t="s">
        <v>57</v>
      </c>
      <c r="L2" t="s">
        <v>58</v>
      </c>
      <c r="M2" t="s">
        <v>507</v>
      </c>
      <c r="N2" t="s">
        <v>507</v>
      </c>
      <c r="O2" t="s">
        <v>46</v>
      </c>
      <c r="P2" t="s">
        <v>59</v>
      </c>
      <c r="Q2" t="s">
        <v>60</v>
      </c>
      <c r="R2" t="s">
        <v>48</v>
      </c>
      <c r="S2" t="s">
        <v>49</v>
      </c>
      <c r="T2" t="s">
        <v>50</v>
      </c>
      <c r="U2" t="s">
        <v>39</v>
      </c>
      <c r="V2" t="s">
        <v>39</v>
      </c>
      <c r="W2" t="s">
        <v>39</v>
      </c>
      <c r="X2" t="s">
        <v>41</v>
      </c>
      <c r="Y2" t="s">
        <v>41</v>
      </c>
      <c r="Z2" t="s">
        <v>39</v>
      </c>
      <c r="AA2" t="s">
        <v>39</v>
      </c>
      <c r="AB2" t="s">
        <v>40</v>
      </c>
      <c r="AC2" t="s">
        <v>39</v>
      </c>
      <c r="AD2" t="s">
        <v>461</v>
      </c>
      <c r="AE2" t="s">
        <v>448</v>
      </c>
      <c r="AF2" t="s">
        <v>446</v>
      </c>
      <c r="AG2" t="s">
        <v>887</v>
      </c>
      <c r="AH2" s="9">
        <v>45539.418749999997</v>
      </c>
      <c r="AI2" s="9">
        <v>45534.418749999997</v>
      </c>
      <c r="AJ2">
        <v>444.3</v>
      </c>
      <c r="AK2">
        <v>0</v>
      </c>
      <c r="AL2" t="s">
        <v>960</v>
      </c>
      <c r="AM2">
        <v>3</v>
      </c>
      <c r="AN2" t="s">
        <v>1503</v>
      </c>
      <c r="AO2" t="s">
        <v>1504</v>
      </c>
      <c r="AP2" t="s">
        <v>1505</v>
      </c>
      <c r="AQ2" t="s">
        <v>521</v>
      </c>
      <c r="AR2" t="s">
        <v>1300</v>
      </c>
      <c r="AS2" t="s">
        <v>1381</v>
      </c>
      <c r="AT2" t="s">
        <v>1291</v>
      </c>
    </row>
    <row r="3" spans="1:46" x14ac:dyDescent="0.2">
      <c r="A3">
        <f>VLOOKUP(Table4[[#This Row],[Rescue_ID]],Randomize_10_20_25!$B:$D,3,FALSE)</f>
        <v>0</v>
      </c>
      <c r="B3">
        <f>VLOOKUP(Table4[[#This Row],[Rescue_ID]],InitialRandom_10_07_25!$I:$AL,30,FALSE)</f>
        <v>0</v>
      </c>
      <c r="C3" s="9">
        <f>VLOOKUP(Table4[[#This Row],[Rescue_ID]],'Experiment Tracker'!$B:$P,7,FALSE)</f>
        <v>0</v>
      </c>
      <c r="D3" s="8">
        <f>VLOOKUP(Table4[[#This Row],[Rescue_ID]],'Experiment Tracker'!$B:$P,6,FALSE)</f>
        <v>0</v>
      </c>
      <c r="F3">
        <f>VLOOKUP(Table4[[#This Row],[Rescue_ID]],'Experiment Tracker'!$B:$I,8,FALSE)</f>
        <v>361.7</v>
      </c>
      <c r="H3" t="str">
        <f>VLOOKUP(Table4[[#This Row],[Primary_Breed]],'Breed Group'!$A:$B,2,FALSE)</f>
        <v>Stigma</v>
      </c>
      <c r="I3" t="str">
        <f>IF(VLOOKUP($K3,'Consolidated Data - Static'!$K:$AM,2,FALSE)&lt;&gt;VLOOKUP($K3,'Consolidated Data - Dynamic'!$D:$AF,2,FALSE),"Name-AdoptAPet Mismatch",IF(VLOOKUP($K3,'Consolidated Data - Static'!$K:$AM,3,FALSE)&lt;&gt;VLOOKUP($K3,'Consolidated Data - Dynamic'!$D:$AF,3,FALSE),"Name-PetPoint Mismatch",IF(VLOOKUP($K3,'Consolidated Data - Static'!$K:$AM,4,FALSE)&lt;&gt;VLOOKUP($K3,'Consolidated Data - Dynamic'!$D:$AF,4,FALSE),"Name-Inventory Mismatch", IF(VLOOKUP($K3,'Consolidated Data - Static'!$K:$AM,5,FALSE)&lt;&gt;VLOOKUP($K3,'Consolidated Data - Dynamic'!$D:$AF,5,FALSE),"Primary Breed Mismatch",IF(VLOOKUP($K3,'Consolidated Data - Static'!$K:$AM,6,FALSE)&lt;&gt;VLOOKUP($K3,'Consolidated Data - Dynamic'!$D:$AF,6,FALSE),"Secondary Breed Mismatch", IF(VLOOKUP($K3,'Consolidated Data - Static'!$K:$AM,7,FALSE)&lt;&gt;VLOOKUP($K3,'Consolidated Data - Dynamic'!$D:$AF,7,FALSE),"Color Mismatch",IF(VLOOKUP($K3,'Consolidated Data - Static'!$K:$AM,8,FALSE)&lt;&gt;VLOOKUP($K3,'Consolidated Data - Dynamic'!$D:$AF,8,FALSE),"Sex Mismatch",IF(VLOOKUP($K3,'Consolidated Data - Static'!$K:$AM,9,FALSE)&lt;&gt;VLOOKUP($K3,'Consolidated Data - Dynamic'!$D:$AF,9,FALSE),"Age Mismatch",IF(VLOOKUP($K3,'Consolidated Data - Static'!$K:$AM,10,FALSE)&lt;&gt;VLOOKUP($K3,'Consolidated Data - Dynamic'!$D:$AF,10,FALSE),"Size Mismatch",IF(VLOOKUP($K3,'Consolidated Data - Static'!$K:$AM,11,FALSE)&lt;&gt;VLOOKUP($K3,'Consolidated Data - Dynamic'!$D:$AF,11,FALSE),"Mixed Mismatch",IF(VLOOKUP($K3,'Consolidated Data - Static'!$K:$AM,12,FALSE)&lt;&gt;VLOOKUP($K3,'Consolidated Data - Dynamic'!$D:$AF,12,FALSE),"Altered Mismatch",IF(VLOOKUP($K3,'Consolidated Data - Static'!$K:$AM,13,FALSE)&lt;&gt;VLOOKUP($K3,'Consolidated Data - Dynamic'!$D:$AF,13,FALSE),"Shots Current Mismatch",IF(VLOOKUP($K3,'Consolidated Data - Static'!$K:$AM,14,FALSE)&lt;&gt;VLOOKUP($K3,'Consolidated Data - Dynamic'!$D:$AF,14,FALSE),"Housebroken Mismatch",IF(VLOOKUP($K3,'Consolidated Data - Static'!$K:$AM,15,FALSE)&lt;&gt;VLOOKUP($K3,'Consolidated Data - Dynamic'!$D:$AF,15,FALSE),"Special Needs Mismatch",IF(VLOOKUP($K3,'Consolidated Data - Static'!$K:$AM,16,FALSE)&lt;&gt;VLOOKUP($K3,'Consolidated Data - Dynamic'!$D:$AF,16,FALSE),"OK w/kids Mismatch",IF(VLOOKUP($K3,'Consolidated Data - Static'!$K:$AM,17,FALSE)&lt;&gt;VLOOKUP($K3,'Consolidated Data - Dynamic'!$D:$AF,17,FALSE),"OK w/dogs Mismatch",IF(VLOOKUP($K3,'Consolidated Data - Static'!$K:$AM,18,FALSE)&lt;&gt;VLOOKUP($K3,'Consolidated Data - Dynamic'!$D:$AF,18,FALSE),"OK w/cats Mismatch",IF(VLOOKUP($K3,'Consolidated Data - Static'!$K:$AM,19,FALSE)&lt;&gt;VLOOKUP($K3,'Consolidated Data - Dynamic'!$D:$AF,19,FALSE),"Pre Treatment Description Mismatch",IF(VLOOKUP($K3,'Consolidated Data - Static'!$K:$AM,20,FALSE)&lt;&gt;VLOOKUP($K3,'Consolidated Data - Dynamic'!$D:$AF,20,FALSE),"Stage Mismatch",IF(VLOOKUP($K3,'Consolidated Data - Static'!$K:$AM,21,FALSE)&lt;&gt;VLOOKUP($K3,'Consolidated Data - Dynamic'!$D:$AF,21,FALSE),"Primary Color Mismatch",IF(VLOOKUP($K3,'Consolidated Data - Static'!$K:$AM,22,FALSE)&lt;&gt;VLOOKUP($K3,'Consolidated Data - Dynamic'!$D:$AF,22,FALSE),"Location Mismatch",IF(VLOOKUP($K3,'Consolidated Data - Static'!$K:$AM,23,FALSE)&lt;&gt;VLOOKUP($K3,'Consolidated Data - Dynamic'!$D:$AF,23,FALSE),"Intake Type Mismatch",IF(VLOOKUP($K3,'Consolidated Data - Static'!$K:$AM,24,FALSE)&lt;&gt;VLOOKUP($K3,'Consolidated Data - Dynamic'!$D:$AF,24,FALSE),"Emancipation Date Mismatch",IF(VLOOKUP($K3,'Consolidated Data - Static'!$K:$AM,25,FALSE)&lt;&gt;VLOOKUP($K3,'Consolidated Data - Dynamic'!$D:$AF,25,FALSE),"Intake Date Mismatch",IF(VLOOKUP($K3,'Consolidated Data - Static'!$K:$AM,26,FALSE)&lt;&gt;VLOOKUP($K3,'Consolidated Data - Dynamic'!$D:$AF,26,FALSE),"LOS Days Mismatch",IF(VLOOKUP($K3,'Consolidated Data - Static'!$K:$AM,27,FALSE)&lt;&gt;VLOOKUP($K3,'Consolidated Data - Dynamic'!$D:$AF,27,FALSE),"Stage Change Mismatch",IF(VLOOKUP($K3,'Consolidated Data - Static'!$K:$AM,28,FALSE)&lt;&gt;VLOOKUP($K3,'Consolidated Data - Dynamic'!$D:$AF,28,FALSE),"Animal Weight Mismatch",IF(VLOOKUP($K3,'Consolidated Data - Static'!$K:$AM,29,FALSE)&lt;&gt;VLOOKUP($K3,'Consolidated Data - Dynamic'!$D:$AF,29,FALSE),"Number of Pictures Mismatch", "Record Match"))))))))))))))))))))))))))))</f>
        <v>Record Match</v>
      </c>
      <c r="J3">
        <v>43635040</v>
      </c>
      <c r="K3" t="s">
        <v>70</v>
      </c>
      <c r="L3" t="s">
        <v>2181</v>
      </c>
      <c r="M3" t="s">
        <v>1948</v>
      </c>
      <c r="N3" t="s">
        <v>1948</v>
      </c>
      <c r="O3" t="s">
        <v>72</v>
      </c>
      <c r="P3">
        <v>0</v>
      </c>
      <c r="Q3" t="s">
        <v>73</v>
      </c>
      <c r="R3" t="s">
        <v>48</v>
      </c>
      <c r="S3" t="s">
        <v>49</v>
      </c>
      <c r="T3" t="s">
        <v>74</v>
      </c>
      <c r="U3" t="s">
        <v>41</v>
      </c>
      <c r="V3" t="s">
        <v>39</v>
      </c>
      <c r="W3" t="s">
        <v>39</v>
      </c>
      <c r="X3" t="s">
        <v>41</v>
      </c>
      <c r="Y3" t="s">
        <v>41</v>
      </c>
      <c r="Z3" t="s">
        <v>39</v>
      </c>
      <c r="AA3" t="s">
        <v>39</v>
      </c>
      <c r="AB3" t="s">
        <v>40</v>
      </c>
      <c r="AC3" t="s">
        <v>41</v>
      </c>
      <c r="AD3" t="s">
        <v>461</v>
      </c>
      <c r="AE3" t="s">
        <v>138</v>
      </c>
      <c r="AF3" t="s">
        <v>446</v>
      </c>
      <c r="AG3" t="s">
        <v>887</v>
      </c>
      <c r="AH3" s="9">
        <v>45593.788194444445</v>
      </c>
      <c r="AI3" s="9">
        <v>45588.788194444445</v>
      </c>
      <c r="AJ3">
        <v>390</v>
      </c>
      <c r="AK3">
        <v>0</v>
      </c>
      <c r="AL3" t="s">
        <v>955</v>
      </c>
      <c r="AM3">
        <v>3</v>
      </c>
      <c r="AN3" t="s">
        <v>1703</v>
      </c>
      <c r="AO3" t="s">
        <v>1704</v>
      </c>
      <c r="AP3" t="s">
        <v>1705</v>
      </c>
      <c r="AQ3" t="s">
        <v>539</v>
      </c>
      <c r="AR3" t="s">
        <v>1323</v>
      </c>
      <c r="AS3" t="s">
        <v>1706</v>
      </c>
      <c r="AT3" t="s">
        <v>1368</v>
      </c>
    </row>
    <row r="4" spans="1:46" x14ac:dyDescent="0.2">
      <c r="A4">
        <f>VLOOKUP(Table4[[#This Row],[Rescue_ID]],Randomize_10_20_25!$B:$D,3,FALSE)</f>
        <v>0</v>
      </c>
      <c r="B4">
        <f>VLOOKUP(Table4[[#This Row],[Rescue_ID]],InitialRandom_10_07_25!$I:$AL,30,FALSE)</f>
        <v>0</v>
      </c>
      <c r="C4" s="9">
        <f>VLOOKUP(Table4[[#This Row],[Rescue_ID]],'Experiment Tracker'!$B:$P,7,FALSE)</f>
        <v>0</v>
      </c>
      <c r="D4" s="8">
        <f>VLOOKUP(Table4[[#This Row],[Rescue_ID]],'Experiment Tracker'!$B:$P,6,FALSE)</f>
        <v>0</v>
      </c>
      <c r="F4">
        <f>VLOOKUP(Table4[[#This Row],[Rescue_ID]],'Experiment Tracker'!$B:$I,8,FALSE)</f>
        <v>251.1</v>
      </c>
      <c r="H4" t="str">
        <f>VLOOKUP(Table4[[#This Row],[Primary_Breed]],'Breed Group'!$A:$B,2,FALSE)</f>
        <v>Stigma</v>
      </c>
      <c r="I4" t="str">
        <f>IF(VLOOKUP($K4,'Consolidated Data - Static'!$K:$AM,2,FALSE)&lt;&gt;VLOOKUP($K4,'Consolidated Data - Dynamic'!$D:$AF,2,FALSE),"Name-AdoptAPet Mismatch",IF(VLOOKUP($K4,'Consolidated Data - Static'!$K:$AM,3,FALSE)&lt;&gt;VLOOKUP($K4,'Consolidated Data - Dynamic'!$D:$AF,3,FALSE),"Name-PetPoint Mismatch",IF(VLOOKUP($K4,'Consolidated Data - Static'!$K:$AM,4,FALSE)&lt;&gt;VLOOKUP($K4,'Consolidated Data - Dynamic'!$D:$AF,4,FALSE),"Name-Inventory Mismatch", IF(VLOOKUP($K4,'Consolidated Data - Static'!$K:$AM,5,FALSE)&lt;&gt;VLOOKUP($K4,'Consolidated Data - Dynamic'!$D:$AF,5,FALSE),"Primary Breed Mismatch",IF(VLOOKUP($K4,'Consolidated Data - Static'!$K:$AM,6,FALSE)&lt;&gt;VLOOKUP($K4,'Consolidated Data - Dynamic'!$D:$AF,6,FALSE),"Secondary Breed Mismatch", IF(VLOOKUP($K4,'Consolidated Data - Static'!$K:$AM,7,FALSE)&lt;&gt;VLOOKUP($K4,'Consolidated Data - Dynamic'!$D:$AF,7,FALSE),"Color Mismatch",IF(VLOOKUP($K4,'Consolidated Data - Static'!$K:$AM,8,FALSE)&lt;&gt;VLOOKUP($K4,'Consolidated Data - Dynamic'!$D:$AF,8,FALSE),"Sex Mismatch",IF(VLOOKUP($K4,'Consolidated Data - Static'!$K:$AM,9,FALSE)&lt;&gt;VLOOKUP($K4,'Consolidated Data - Dynamic'!$D:$AF,9,FALSE),"Age Mismatch",IF(VLOOKUP($K4,'Consolidated Data - Static'!$K:$AM,10,FALSE)&lt;&gt;VLOOKUP($K4,'Consolidated Data - Dynamic'!$D:$AF,10,FALSE),"Size Mismatch",IF(VLOOKUP($K4,'Consolidated Data - Static'!$K:$AM,11,FALSE)&lt;&gt;VLOOKUP($K4,'Consolidated Data - Dynamic'!$D:$AF,11,FALSE),"Mixed Mismatch",IF(VLOOKUP($K4,'Consolidated Data - Static'!$K:$AM,12,FALSE)&lt;&gt;VLOOKUP($K4,'Consolidated Data - Dynamic'!$D:$AF,12,FALSE),"Altered Mismatch",IF(VLOOKUP($K4,'Consolidated Data - Static'!$K:$AM,13,FALSE)&lt;&gt;VLOOKUP($K4,'Consolidated Data - Dynamic'!$D:$AF,13,FALSE),"Shots Current Mismatch",IF(VLOOKUP($K4,'Consolidated Data - Static'!$K:$AM,14,FALSE)&lt;&gt;VLOOKUP($K4,'Consolidated Data - Dynamic'!$D:$AF,14,FALSE),"Housebroken Mismatch",IF(VLOOKUP($K4,'Consolidated Data - Static'!$K:$AM,15,FALSE)&lt;&gt;VLOOKUP($K4,'Consolidated Data - Dynamic'!$D:$AF,15,FALSE),"Special Needs Mismatch",IF(VLOOKUP($K4,'Consolidated Data - Static'!$K:$AM,16,FALSE)&lt;&gt;VLOOKUP($K4,'Consolidated Data - Dynamic'!$D:$AF,16,FALSE),"OK w/kids Mismatch",IF(VLOOKUP($K4,'Consolidated Data - Static'!$K:$AM,17,FALSE)&lt;&gt;VLOOKUP($K4,'Consolidated Data - Dynamic'!$D:$AF,17,FALSE),"OK w/dogs Mismatch",IF(VLOOKUP($K4,'Consolidated Data - Static'!$K:$AM,18,FALSE)&lt;&gt;VLOOKUP($K4,'Consolidated Data - Dynamic'!$D:$AF,18,FALSE),"OK w/cats Mismatch",IF(VLOOKUP($K4,'Consolidated Data - Static'!$K:$AM,19,FALSE)&lt;&gt;VLOOKUP($K4,'Consolidated Data - Dynamic'!$D:$AF,19,FALSE),"Pre Treatment Description Mismatch",IF(VLOOKUP($K4,'Consolidated Data - Static'!$K:$AM,20,FALSE)&lt;&gt;VLOOKUP($K4,'Consolidated Data - Dynamic'!$D:$AF,20,FALSE),"Stage Mismatch",IF(VLOOKUP($K4,'Consolidated Data - Static'!$K:$AM,21,FALSE)&lt;&gt;VLOOKUP($K4,'Consolidated Data - Dynamic'!$D:$AF,21,FALSE),"Primary Color Mismatch",IF(VLOOKUP($K4,'Consolidated Data - Static'!$K:$AM,22,FALSE)&lt;&gt;VLOOKUP($K4,'Consolidated Data - Dynamic'!$D:$AF,22,FALSE),"Location Mismatch",IF(VLOOKUP($K4,'Consolidated Data - Static'!$K:$AM,23,FALSE)&lt;&gt;VLOOKUP($K4,'Consolidated Data - Dynamic'!$D:$AF,23,FALSE),"Intake Type Mismatch",IF(VLOOKUP($K4,'Consolidated Data - Static'!$K:$AM,24,FALSE)&lt;&gt;VLOOKUP($K4,'Consolidated Data - Dynamic'!$D:$AF,24,FALSE),"Emancipation Date Mismatch",IF(VLOOKUP($K4,'Consolidated Data - Static'!$K:$AM,25,FALSE)&lt;&gt;VLOOKUP($K4,'Consolidated Data - Dynamic'!$D:$AF,25,FALSE),"Intake Date Mismatch",IF(VLOOKUP($K4,'Consolidated Data - Static'!$K:$AM,26,FALSE)&lt;&gt;VLOOKUP($K4,'Consolidated Data - Dynamic'!$D:$AF,26,FALSE),"LOS Days Mismatch",IF(VLOOKUP($K4,'Consolidated Data - Static'!$K:$AM,27,FALSE)&lt;&gt;VLOOKUP($K4,'Consolidated Data - Dynamic'!$D:$AF,27,FALSE),"Stage Change Mismatch",IF(VLOOKUP($K4,'Consolidated Data - Static'!$K:$AM,28,FALSE)&lt;&gt;VLOOKUP($K4,'Consolidated Data - Dynamic'!$D:$AF,28,FALSE),"Animal Weight Mismatch",IF(VLOOKUP($K4,'Consolidated Data - Static'!$K:$AM,29,FALSE)&lt;&gt;VLOOKUP($K4,'Consolidated Data - Dynamic'!$D:$AF,29,FALSE),"Number of Pictures Mismatch", "Record Match"))))))))))))))))))))))))))))</f>
        <v>Record Match</v>
      </c>
      <c r="J4">
        <v>44475813</v>
      </c>
      <c r="K4" t="s">
        <v>99</v>
      </c>
      <c r="L4" t="s">
        <v>100</v>
      </c>
      <c r="M4" t="s">
        <v>100</v>
      </c>
      <c r="N4" t="s">
        <v>100</v>
      </c>
      <c r="O4" t="s">
        <v>53</v>
      </c>
      <c r="P4" t="s">
        <v>46</v>
      </c>
      <c r="Q4" t="s">
        <v>82</v>
      </c>
      <c r="R4" t="s">
        <v>48</v>
      </c>
      <c r="S4" t="s">
        <v>49</v>
      </c>
      <c r="T4" t="s">
        <v>74</v>
      </c>
      <c r="U4" t="s">
        <v>39</v>
      </c>
      <c r="V4" t="s">
        <v>39</v>
      </c>
      <c r="W4" t="s">
        <v>39</v>
      </c>
      <c r="X4" t="s">
        <v>41</v>
      </c>
      <c r="Y4" t="s">
        <v>41</v>
      </c>
      <c r="Z4" t="s">
        <v>39</v>
      </c>
      <c r="AA4" t="s">
        <v>39</v>
      </c>
      <c r="AB4" t="s">
        <v>40</v>
      </c>
      <c r="AC4" t="s">
        <v>41</v>
      </c>
      <c r="AD4" t="s">
        <v>461</v>
      </c>
      <c r="AE4" t="s">
        <v>477</v>
      </c>
      <c r="AF4" t="s">
        <v>492</v>
      </c>
      <c r="AG4" t="s">
        <v>887</v>
      </c>
      <c r="AH4" s="9">
        <v>45704.376388888886</v>
      </c>
      <c r="AI4" s="9">
        <v>45699.376388888886</v>
      </c>
      <c r="AJ4">
        <v>279.39999999999998</v>
      </c>
      <c r="AK4">
        <v>0</v>
      </c>
      <c r="AL4" t="s">
        <v>965</v>
      </c>
      <c r="AM4">
        <v>3</v>
      </c>
      <c r="AN4" t="s">
        <v>1279</v>
      </c>
      <c r="AO4" t="s">
        <v>1688</v>
      </c>
      <c r="AP4" t="s">
        <v>1689</v>
      </c>
      <c r="AQ4" t="s">
        <v>525</v>
      </c>
      <c r="AR4" t="s">
        <v>1384</v>
      </c>
      <c r="AS4" t="s">
        <v>1681</v>
      </c>
      <c r="AT4" t="s">
        <v>1368</v>
      </c>
    </row>
    <row r="5" spans="1:46" x14ac:dyDescent="0.2">
      <c r="A5">
        <f>VLOOKUP(Table4[[#This Row],[Rescue_ID]],Randomize_10_20_25!$B:$D,3,FALSE)</f>
        <v>1</v>
      </c>
      <c r="B5">
        <f>VLOOKUP(Table4[[#This Row],[Rescue_ID]],InitialRandom_10_07_25!$I:$AL,30,FALSE)</f>
        <v>1</v>
      </c>
      <c r="C5" s="9">
        <f>VLOOKUP(Table4[[#This Row],[Rescue_ID]],'Experiment Tracker'!$B:$P,7,FALSE)</f>
        <v>45950</v>
      </c>
      <c r="D5" s="8" t="str">
        <f>VLOOKUP(Table4[[#This Row],[Rescue_ID]],'Experiment Tracker'!$B:$P,6,FALSE)</f>
        <v>Goose is a gentle giant with a heart as big as his paws. This handsome brindle Bullmastiff has a calm, mellow spirit and an independent streak that makes him easy to have around. He may be shy at first, but once he trusts you, Goose shows his soft, loyal side—a quiet companion who’s happiest just being near his people. He’s past the puppy chaos and prefers peaceful walks, cozy naps, and a calm home where he can feel safe and loved. If you’re looking for a loyal friend who asks for little but gives a lot in return, Goose is ready to waddle his way into your heart.</v>
      </c>
      <c r="F5">
        <f>VLOOKUP(Table4[[#This Row],[Rescue_ID]],'Experiment Tracker'!$B:$I,8,FALSE)</f>
        <v>241.9</v>
      </c>
      <c r="H5" t="str">
        <f>VLOOKUP(Table4[[#This Row],[Primary_Breed]],'Breed Group'!$A:$B,2,FALSE)</f>
        <v>Stigma</v>
      </c>
      <c r="I5" t="str">
        <f>IF(VLOOKUP($K5,'Consolidated Data - Static'!$K:$AM,2,FALSE)&lt;&gt;VLOOKUP($K5,'Consolidated Data - Dynamic'!$D:$AF,2,FALSE),"Name-AdoptAPet Mismatch",IF(VLOOKUP($K5,'Consolidated Data - Static'!$K:$AM,3,FALSE)&lt;&gt;VLOOKUP($K5,'Consolidated Data - Dynamic'!$D:$AF,3,FALSE),"Name-PetPoint Mismatch",IF(VLOOKUP($K5,'Consolidated Data - Static'!$K:$AM,4,FALSE)&lt;&gt;VLOOKUP($K5,'Consolidated Data - Dynamic'!$D:$AF,4,FALSE),"Name-Inventory Mismatch", IF(VLOOKUP($K5,'Consolidated Data - Static'!$K:$AM,5,FALSE)&lt;&gt;VLOOKUP($K5,'Consolidated Data - Dynamic'!$D:$AF,5,FALSE),"Primary Breed Mismatch",IF(VLOOKUP($K5,'Consolidated Data - Static'!$K:$AM,6,FALSE)&lt;&gt;VLOOKUP($K5,'Consolidated Data - Dynamic'!$D:$AF,6,FALSE),"Secondary Breed Mismatch", IF(VLOOKUP($K5,'Consolidated Data - Static'!$K:$AM,7,FALSE)&lt;&gt;VLOOKUP($K5,'Consolidated Data - Dynamic'!$D:$AF,7,FALSE),"Color Mismatch",IF(VLOOKUP($K5,'Consolidated Data - Static'!$K:$AM,8,FALSE)&lt;&gt;VLOOKUP($K5,'Consolidated Data - Dynamic'!$D:$AF,8,FALSE),"Sex Mismatch",IF(VLOOKUP($K5,'Consolidated Data - Static'!$K:$AM,9,FALSE)&lt;&gt;VLOOKUP($K5,'Consolidated Data - Dynamic'!$D:$AF,9,FALSE),"Age Mismatch",IF(VLOOKUP($K5,'Consolidated Data - Static'!$K:$AM,10,FALSE)&lt;&gt;VLOOKUP($K5,'Consolidated Data - Dynamic'!$D:$AF,10,FALSE),"Size Mismatch",IF(VLOOKUP($K5,'Consolidated Data - Static'!$K:$AM,11,FALSE)&lt;&gt;VLOOKUP($K5,'Consolidated Data - Dynamic'!$D:$AF,11,FALSE),"Mixed Mismatch",IF(VLOOKUP($K5,'Consolidated Data - Static'!$K:$AM,12,FALSE)&lt;&gt;VLOOKUP($K5,'Consolidated Data - Dynamic'!$D:$AF,12,FALSE),"Altered Mismatch",IF(VLOOKUP($K5,'Consolidated Data - Static'!$K:$AM,13,FALSE)&lt;&gt;VLOOKUP($K5,'Consolidated Data - Dynamic'!$D:$AF,13,FALSE),"Shots Current Mismatch",IF(VLOOKUP($K5,'Consolidated Data - Static'!$K:$AM,14,FALSE)&lt;&gt;VLOOKUP($K5,'Consolidated Data - Dynamic'!$D:$AF,14,FALSE),"Housebroken Mismatch",IF(VLOOKUP($K5,'Consolidated Data - Static'!$K:$AM,15,FALSE)&lt;&gt;VLOOKUP($K5,'Consolidated Data - Dynamic'!$D:$AF,15,FALSE),"Special Needs Mismatch",IF(VLOOKUP($K5,'Consolidated Data - Static'!$K:$AM,16,FALSE)&lt;&gt;VLOOKUP($K5,'Consolidated Data - Dynamic'!$D:$AF,16,FALSE),"OK w/kids Mismatch",IF(VLOOKUP($K5,'Consolidated Data - Static'!$K:$AM,17,FALSE)&lt;&gt;VLOOKUP($K5,'Consolidated Data - Dynamic'!$D:$AF,17,FALSE),"OK w/dogs Mismatch",IF(VLOOKUP($K5,'Consolidated Data - Static'!$K:$AM,18,FALSE)&lt;&gt;VLOOKUP($K5,'Consolidated Data - Dynamic'!$D:$AF,18,FALSE),"OK w/cats Mismatch",IF(VLOOKUP($K5,'Consolidated Data - Static'!$K:$AM,19,FALSE)&lt;&gt;VLOOKUP($K5,'Consolidated Data - Dynamic'!$D:$AF,19,FALSE),"Pre Treatment Description Mismatch",IF(VLOOKUP($K5,'Consolidated Data - Static'!$K:$AM,20,FALSE)&lt;&gt;VLOOKUP($K5,'Consolidated Data - Dynamic'!$D:$AF,20,FALSE),"Stage Mismatch",IF(VLOOKUP($K5,'Consolidated Data - Static'!$K:$AM,21,FALSE)&lt;&gt;VLOOKUP($K5,'Consolidated Data - Dynamic'!$D:$AF,21,FALSE),"Primary Color Mismatch",IF(VLOOKUP($K5,'Consolidated Data - Static'!$K:$AM,22,FALSE)&lt;&gt;VLOOKUP($K5,'Consolidated Data - Dynamic'!$D:$AF,22,FALSE),"Location Mismatch",IF(VLOOKUP($K5,'Consolidated Data - Static'!$K:$AM,23,FALSE)&lt;&gt;VLOOKUP($K5,'Consolidated Data - Dynamic'!$D:$AF,23,FALSE),"Intake Type Mismatch",IF(VLOOKUP($K5,'Consolidated Data - Static'!$K:$AM,24,FALSE)&lt;&gt;VLOOKUP($K5,'Consolidated Data - Dynamic'!$D:$AF,24,FALSE),"Emancipation Date Mismatch",IF(VLOOKUP($K5,'Consolidated Data - Static'!$K:$AM,25,FALSE)&lt;&gt;VLOOKUP($K5,'Consolidated Data - Dynamic'!$D:$AF,25,FALSE),"Intake Date Mismatch",IF(VLOOKUP($K5,'Consolidated Data - Static'!$K:$AM,26,FALSE)&lt;&gt;VLOOKUP($K5,'Consolidated Data - Dynamic'!$D:$AF,26,FALSE),"LOS Days Mismatch",IF(VLOOKUP($K5,'Consolidated Data - Static'!$K:$AM,27,FALSE)&lt;&gt;VLOOKUP($K5,'Consolidated Data - Dynamic'!$D:$AF,27,FALSE),"Stage Change Mismatch",IF(VLOOKUP($K5,'Consolidated Data - Static'!$K:$AM,28,FALSE)&lt;&gt;VLOOKUP($K5,'Consolidated Data - Dynamic'!$D:$AF,28,FALSE),"Animal Weight Mismatch",IF(VLOOKUP($K5,'Consolidated Data - Static'!$K:$AM,29,FALSE)&lt;&gt;VLOOKUP($K5,'Consolidated Data - Dynamic'!$D:$AF,29,FALSE),"Number of Pictures Mismatch", "Record Match"))))))))))))))))))))))))))))</f>
        <v>Record Match</v>
      </c>
      <c r="J5">
        <v>44937909</v>
      </c>
      <c r="K5" t="s">
        <v>109</v>
      </c>
      <c r="L5" t="s">
        <v>2186</v>
      </c>
      <c r="M5" t="s">
        <v>2916</v>
      </c>
      <c r="N5" t="s">
        <v>2916</v>
      </c>
      <c r="O5" t="s">
        <v>111</v>
      </c>
      <c r="P5">
        <v>0</v>
      </c>
      <c r="Q5" t="s">
        <v>112</v>
      </c>
      <c r="R5" t="s">
        <v>48</v>
      </c>
      <c r="S5" t="s">
        <v>49</v>
      </c>
      <c r="T5" t="s">
        <v>74</v>
      </c>
      <c r="U5" t="s">
        <v>39</v>
      </c>
      <c r="V5" t="s">
        <v>39</v>
      </c>
      <c r="W5" t="s">
        <v>39</v>
      </c>
      <c r="X5" t="s">
        <v>41</v>
      </c>
      <c r="Y5" t="s">
        <v>41</v>
      </c>
      <c r="Z5" t="s">
        <v>39</v>
      </c>
      <c r="AA5" t="s">
        <v>39</v>
      </c>
      <c r="AB5" t="s">
        <v>40</v>
      </c>
      <c r="AC5" t="s">
        <v>39</v>
      </c>
      <c r="AD5" t="s">
        <v>461</v>
      </c>
      <c r="AE5" t="s">
        <v>112</v>
      </c>
      <c r="AF5" t="s">
        <v>446</v>
      </c>
      <c r="AG5" t="s">
        <v>956</v>
      </c>
      <c r="AH5" s="9">
        <v>0</v>
      </c>
      <c r="AI5" s="9">
        <v>45708.541666666664</v>
      </c>
      <c r="AJ5">
        <v>270.2</v>
      </c>
      <c r="AK5">
        <v>0</v>
      </c>
      <c r="AL5" t="s">
        <v>944</v>
      </c>
      <c r="AM5">
        <v>3</v>
      </c>
      <c r="AN5" t="s">
        <v>1562</v>
      </c>
      <c r="AO5" t="s">
        <v>1286</v>
      </c>
      <c r="AP5" t="s">
        <v>1563</v>
      </c>
      <c r="AQ5" t="s">
        <v>457</v>
      </c>
      <c r="AR5" t="s">
        <v>1343</v>
      </c>
      <c r="AS5" t="s">
        <v>1367</v>
      </c>
      <c r="AT5" t="s">
        <v>1564</v>
      </c>
    </row>
    <row r="6" spans="1:46" x14ac:dyDescent="0.2">
      <c r="A6">
        <f>VLOOKUP(Table4[[#This Row],[Rescue_ID]],Randomize_10_20_25!$B:$D,3,FALSE)</f>
        <v>1</v>
      </c>
      <c r="B6">
        <f>VLOOKUP(Table4[[#This Row],[Rescue_ID]],InitialRandom_10_07_25!$I:$AL,30,FALSE)</f>
        <v>1</v>
      </c>
      <c r="C6" s="9">
        <f>VLOOKUP(Table4[[#This Row],[Rescue_ID]],'Experiment Tracker'!$B:$P,7,FALSE)</f>
        <v>45950</v>
      </c>
      <c r="D6" s="8" t="str">
        <f>VLOOKUP(Table4[[#This Row],[Rescue_ID]],'Experiment Tracker'!$B:$P,6,FALSE)</f>
        <v>Zorua is the definition of a gentle soul. This lovely black-and-white Pittie mix is as sweet and loyal as they come, with a heart that melts the moment you meet her. She’s laid-back and affectionate, happiest when she’s soaking up belly rubs or snuggling by your side for hours. Zorua is wonderful on the leash and loves a nice, calm evening walk followed by quiet time with her people. She’s the perfect mix of cuddly and composed—easy to love and even easier to live with. If you’re looking for a loving companion who will fill your days with warmth and your nights with cozy cuddles, Zorua is your girl.</v>
      </c>
      <c r="F6">
        <f>VLOOKUP(Table4[[#This Row],[Rescue_ID]],'Experiment Tracker'!$B:$I,8,FALSE)</f>
        <v>219.8</v>
      </c>
      <c r="H6" t="str">
        <f>VLOOKUP(Table4[[#This Row],[Primary_Breed]],'Breed Group'!$A:$B,2,FALSE)</f>
        <v>Stigma</v>
      </c>
      <c r="I6" t="str">
        <f>IF(VLOOKUP($K6,'Consolidated Data - Static'!$K:$AM,2,FALSE)&lt;&gt;VLOOKUP($K6,'Consolidated Data - Dynamic'!$D:$AF,2,FALSE),"Name-AdoptAPet Mismatch",IF(VLOOKUP($K6,'Consolidated Data - Static'!$K:$AM,3,FALSE)&lt;&gt;VLOOKUP($K6,'Consolidated Data - Dynamic'!$D:$AF,3,FALSE),"Name-PetPoint Mismatch",IF(VLOOKUP($K6,'Consolidated Data - Static'!$K:$AM,4,FALSE)&lt;&gt;VLOOKUP($K6,'Consolidated Data - Dynamic'!$D:$AF,4,FALSE),"Name-Inventory Mismatch", IF(VLOOKUP($K6,'Consolidated Data - Static'!$K:$AM,5,FALSE)&lt;&gt;VLOOKUP($K6,'Consolidated Data - Dynamic'!$D:$AF,5,FALSE),"Primary Breed Mismatch",IF(VLOOKUP($K6,'Consolidated Data - Static'!$K:$AM,6,FALSE)&lt;&gt;VLOOKUP($K6,'Consolidated Data - Dynamic'!$D:$AF,6,FALSE),"Secondary Breed Mismatch", IF(VLOOKUP($K6,'Consolidated Data - Static'!$K:$AM,7,FALSE)&lt;&gt;VLOOKUP($K6,'Consolidated Data - Dynamic'!$D:$AF,7,FALSE),"Color Mismatch",IF(VLOOKUP($K6,'Consolidated Data - Static'!$K:$AM,8,FALSE)&lt;&gt;VLOOKUP($K6,'Consolidated Data - Dynamic'!$D:$AF,8,FALSE),"Sex Mismatch",IF(VLOOKUP($K6,'Consolidated Data - Static'!$K:$AM,9,FALSE)&lt;&gt;VLOOKUP($K6,'Consolidated Data - Dynamic'!$D:$AF,9,FALSE),"Age Mismatch",IF(VLOOKUP($K6,'Consolidated Data - Static'!$K:$AM,10,FALSE)&lt;&gt;VLOOKUP($K6,'Consolidated Data - Dynamic'!$D:$AF,10,FALSE),"Size Mismatch",IF(VLOOKUP($K6,'Consolidated Data - Static'!$K:$AM,11,FALSE)&lt;&gt;VLOOKUP($K6,'Consolidated Data - Dynamic'!$D:$AF,11,FALSE),"Mixed Mismatch",IF(VLOOKUP($K6,'Consolidated Data - Static'!$K:$AM,12,FALSE)&lt;&gt;VLOOKUP($K6,'Consolidated Data - Dynamic'!$D:$AF,12,FALSE),"Altered Mismatch",IF(VLOOKUP($K6,'Consolidated Data - Static'!$K:$AM,13,FALSE)&lt;&gt;VLOOKUP($K6,'Consolidated Data - Dynamic'!$D:$AF,13,FALSE),"Shots Current Mismatch",IF(VLOOKUP($K6,'Consolidated Data - Static'!$K:$AM,14,FALSE)&lt;&gt;VLOOKUP($K6,'Consolidated Data - Dynamic'!$D:$AF,14,FALSE),"Housebroken Mismatch",IF(VLOOKUP($K6,'Consolidated Data - Static'!$K:$AM,15,FALSE)&lt;&gt;VLOOKUP($K6,'Consolidated Data - Dynamic'!$D:$AF,15,FALSE),"Special Needs Mismatch",IF(VLOOKUP($K6,'Consolidated Data - Static'!$K:$AM,16,FALSE)&lt;&gt;VLOOKUP($K6,'Consolidated Data - Dynamic'!$D:$AF,16,FALSE),"OK w/kids Mismatch",IF(VLOOKUP($K6,'Consolidated Data - Static'!$K:$AM,17,FALSE)&lt;&gt;VLOOKUP($K6,'Consolidated Data - Dynamic'!$D:$AF,17,FALSE),"OK w/dogs Mismatch",IF(VLOOKUP($K6,'Consolidated Data - Static'!$K:$AM,18,FALSE)&lt;&gt;VLOOKUP($K6,'Consolidated Data - Dynamic'!$D:$AF,18,FALSE),"OK w/cats Mismatch",IF(VLOOKUP($K6,'Consolidated Data - Static'!$K:$AM,19,FALSE)&lt;&gt;VLOOKUP($K6,'Consolidated Data - Dynamic'!$D:$AF,19,FALSE),"Pre Treatment Description Mismatch",IF(VLOOKUP($K6,'Consolidated Data - Static'!$K:$AM,20,FALSE)&lt;&gt;VLOOKUP($K6,'Consolidated Data - Dynamic'!$D:$AF,20,FALSE),"Stage Mismatch",IF(VLOOKUP($K6,'Consolidated Data - Static'!$K:$AM,21,FALSE)&lt;&gt;VLOOKUP($K6,'Consolidated Data - Dynamic'!$D:$AF,21,FALSE),"Primary Color Mismatch",IF(VLOOKUP($K6,'Consolidated Data - Static'!$K:$AM,22,FALSE)&lt;&gt;VLOOKUP($K6,'Consolidated Data - Dynamic'!$D:$AF,22,FALSE),"Location Mismatch",IF(VLOOKUP($K6,'Consolidated Data - Static'!$K:$AM,23,FALSE)&lt;&gt;VLOOKUP($K6,'Consolidated Data - Dynamic'!$D:$AF,23,FALSE),"Intake Type Mismatch",IF(VLOOKUP($K6,'Consolidated Data - Static'!$K:$AM,24,FALSE)&lt;&gt;VLOOKUP($K6,'Consolidated Data - Dynamic'!$D:$AF,24,FALSE),"Emancipation Date Mismatch",IF(VLOOKUP($K6,'Consolidated Data - Static'!$K:$AM,25,FALSE)&lt;&gt;VLOOKUP($K6,'Consolidated Data - Dynamic'!$D:$AF,25,FALSE),"Intake Date Mismatch",IF(VLOOKUP($K6,'Consolidated Data - Static'!$K:$AM,26,FALSE)&lt;&gt;VLOOKUP($K6,'Consolidated Data - Dynamic'!$D:$AF,26,FALSE),"LOS Days Mismatch",IF(VLOOKUP($K6,'Consolidated Data - Static'!$K:$AM,27,FALSE)&lt;&gt;VLOOKUP($K6,'Consolidated Data - Dynamic'!$D:$AF,27,FALSE),"Stage Change Mismatch",IF(VLOOKUP($K6,'Consolidated Data - Static'!$K:$AM,28,FALSE)&lt;&gt;VLOOKUP($K6,'Consolidated Data - Dynamic'!$D:$AF,28,FALSE),"Animal Weight Mismatch",IF(VLOOKUP($K6,'Consolidated Data - Static'!$K:$AM,29,FALSE)&lt;&gt;VLOOKUP($K6,'Consolidated Data - Dynamic'!$D:$AF,29,FALSE),"Number of Pictures Mismatch", "Record Match"))))))))))))))))))))))))))))</f>
        <v>Record Match</v>
      </c>
      <c r="J6">
        <v>44937929</v>
      </c>
      <c r="K6" t="s">
        <v>156</v>
      </c>
      <c r="L6" t="s">
        <v>157</v>
      </c>
      <c r="M6" t="s">
        <v>528</v>
      </c>
      <c r="N6" t="s">
        <v>528</v>
      </c>
      <c r="O6" t="s">
        <v>53</v>
      </c>
      <c r="P6" t="s">
        <v>46</v>
      </c>
      <c r="Q6" t="s">
        <v>154</v>
      </c>
      <c r="R6" t="s">
        <v>36</v>
      </c>
      <c r="S6" t="s">
        <v>49</v>
      </c>
      <c r="T6" t="s">
        <v>50</v>
      </c>
      <c r="U6" t="s">
        <v>39</v>
      </c>
      <c r="V6" t="s">
        <v>39</v>
      </c>
      <c r="W6" t="s">
        <v>39</v>
      </c>
      <c r="X6" t="s">
        <v>41</v>
      </c>
      <c r="Y6" t="s">
        <v>41</v>
      </c>
      <c r="Z6" t="s">
        <v>39</v>
      </c>
      <c r="AA6" t="s">
        <v>39</v>
      </c>
      <c r="AB6" t="s">
        <v>40</v>
      </c>
      <c r="AC6" t="s">
        <v>39</v>
      </c>
      <c r="AD6" t="s">
        <v>461</v>
      </c>
      <c r="AE6" t="s">
        <v>138</v>
      </c>
      <c r="AF6" t="s">
        <v>446</v>
      </c>
      <c r="AG6" t="s">
        <v>922</v>
      </c>
      <c r="AH6" s="9">
        <v>45735.629861111112</v>
      </c>
      <c r="AI6" s="9">
        <v>45730.629861111112</v>
      </c>
      <c r="AJ6">
        <v>248.1</v>
      </c>
      <c r="AK6">
        <v>0</v>
      </c>
      <c r="AL6" t="s">
        <v>960</v>
      </c>
      <c r="AM6">
        <v>3</v>
      </c>
      <c r="AN6" t="s">
        <v>1314</v>
      </c>
      <c r="AO6" t="s">
        <v>1725</v>
      </c>
      <c r="AP6" t="s">
        <v>1726</v>
      </c>
      <c r="AQ6" t="s">
        <v>491</v>
      </c>
      <c r="AR6" t="s">
        <v>1344</v>
      </c>
      <c r="AS6" t="s">
        <v>1326</v>
      </c>
      <c r="AT6" t="s">
        <v>1269</v>
      </c>
    </row>
    <row r="7" spans="1:46" x14ac:dyDescent="0.2">
      <c r="A7">
        <f>VLOOKUP(Table4[[#This Row],[Rescue_ID]],Randomize_10_20_25!$B:$D,3,FALSE)</f>
        <v>0</v>
      </c>
      <c r="B7">
        <f>VLOOKUP(Table4[[#This Row],[Rescue_ID]],InitialRandom_10_07_25!$I:$AL,30,FALSE)</f>
        <v>0</v>
      </c>
      <c r="C7" s="9">
        <f>VLOOKUP(Table4[[#This Row],[Rescue_ID]],'Experiment Tracker'!$B:$P,7,FALSE)</f>
        <v>0</v>
      </c>
      <c r="D7" s="8">
        <f>VLOOKUP(Table4[[#This Row],[Rescue_ID]],'Experiment Tracker'!$B:$P,6,FALSE)</f>
        <v>0</v>
      </c>
      <c r="F7">
        <f>VLOOKUP(Table4[[#This Row],[Rescue_ID]],'Experiment Tracker'!$B:$I,8,FALSE)</f>
        <v>125.9</v>
      </c>
      <c r="H7" t="str">
        <f>VLOOKUP(Table4[[#This Row],[Primary_Breed]],'Breed Group'!$A:$B,2,FALSE)</f>
        <v>Stigma</v>
      </c>
      <c r="I7" t="str">
        <f>IF(VLOOKUP($K7,'Consolidated Data - Static'!$K:$AM,2,FALSE)&lt;&gt;VLOOKUP($K7,'Consolidated Data - Dynamic'!$D:$AF,2,FALSE),"Name-AdoptAPet Mismatch",IF(VLOOKUP($K7,'Consolidated Data - Static'!$K:$AM,3,FALSE)&lt;&gt;VLOOKUP($K7,'Consolidated Data - Dynamic'!$D:$AF,3,FALSE),"Name-PetPoint Mismatch",IF(VLOOKUP($K7,'Consolidated Data - Static'!$K:$AM,4,FALSE)&lt;&gt;VLOOKUP($K7,'Consolidated Data - Dynamic'!$D:$AF,4,FALSE),"Name-Inventory Mismatch", IF(VLOOKUP($K7,'Consolidated Data - Static'!$K:$AM,5,FALSE)&lt;&gt;VLOOKUP($K7,'Consolidated Data - Dynamic'!$D:$AF,5,FALSE),"Primary Breed Mismatch",IF(VLOOKUP($K7,'Consolidated Data - Static'!$K:$AM,6,FALSE)&lt;&gt;VLOOKUP($K7,'Consolidated Data - Dynamic'!$D:$AF,6,FALSE),"Secondary Breed Mismatch", IF(VLOOKUP($K7,'Consolidated Data - Static'!$K:$AM,7,FALSE)&lt;&gt;VLOOKUP($K7,'Consolidated Data - Dynamic'!$D:$AF,7,FALSE),"Color Mismatch",IF(VLOOKUP($K7,'Consolidated Data - Static'!$K:$AM,8,FALSE)&lt;&gt;VLOOKUP($K7,'Consolidated Data - Dynamic'!$D:$AF,8,FALSE),"Sex Mismatch",IF(VLOOKUP($K7,'Consolidated Data - Static'!$K:$AM,9,FALSE)&lt;&gt;VLOOKUP($K7,'Consolidated Data - Dynamic'!$D:$AF,9,FALSE),"Age Mismatch",IF(VLOOKUP($K7,'Consolidated Data - Static'!$K:$AM,10,FALSE)&lt;&gt;VLOOKUP($K7,'Consolidated Data - Dynamic'!$D:$AF,10,FALSE),"Size Mismatch",IF(VLOOKUP($K7,'Consolidated Data - Static'!$K:$AM,11,FALSE)&lt;&gt;VLOOKUP($K7,'Consolidated Data - Dynamic'!$D:$AF,11,FALSE),"Mixed Mismatch",IF(VLOOKUP($K7,'Consolidated Data - Static'!$K:$AM,12,FALSE)&lt;&gt;VLOOKUP($K7,'Consolidated Data - Dynamic'!$D:$AF,12,FALSE),"Altered Mismatch",IF(VLOOKUP($K7,'Consolidated Data - Static'!$K:$AM,13,FALSE)&lt;&gt;VLOOKUP($K7,'Consolidated Data - Dynamic'!$D:$AF,13,FALSE),"Shots Current Mismatch",IF(VLOOKUP($K7,'Consolidated Data - Static'!$K:$AM,14,FALSE)&lt;&gt;VLOOKUP($K7,'Consolidated Data - Dynamic'!$D:$AF,14,FALSE),"Housebroken Mismatch",IF(VLOOKUP($K7,'Consolidated Data - Static'!$K:$AM,15,FALSE)&lt;&gt;VLOOKUP($K7,'Consolidated Data - Dynamic'!$D:$AF,15,FALSE),"Special Needs Mismatch",IF(VLOOKUP($K7,'Consolidated Data - Static'!$K:$AM,16,FALSE)&lt;&gt;VLOOKUP($K7,'Consolidated Data - Dynamic'!$D:$AF,16,FALSE),"OK w/kids Mismatch",IF(VLOOKUP($K7,'Consolidated Data - Static'!$K:$AM,17,FALSE)&lt;&gt;VLOOKUP($K7,'Consolidated Data - Dynamic'!$D:$AF,17,FALSE),"OK w/dogs Mismatch",IF(VLOOKUP($K7,'Consolidated Data - Static'!$K:$AM,18,FALSE)&lt;&gt;VLOOKUP($K7,'Consolidated Data - Dynamic'!$D:$AF,18,FALSE),"OK w/cats Mismatch",IF(VLOOKUP($K7,'Consolidated Data - Static'!$K:$AM,19,FALSE)&lt;&gt;VLOOKUP($K7,'Consolidated Data - Dynamic'!$D:$AF,19,FALSE),"Pre Treatment Description Mismatch",IF(VLOOKUP($K7,'Consolidated Data - Static'!$K:$AM,20,FALSE)&lt;&gt;VLOOKUP($K7,'Consolidated Data - Dynamic'!$D:$AF,20,FALSE),"Stage Mismatch",IF(VLOOKUP($K7,'Consolidated Data - Static'!$K:$AM,21,FALSE)&lt;&gt;VLOOKUP($K7,'Consolidated Data - Dynamic'!$D:$AF,21,FALSE),"Primary Color Mismatch",IF(VLOOKUP($K7,'Consolidated Data - Static'!$K:$AM,22,FALSE)&lt;&gt;VLOOKUP($K7,'Consolidated Data - Dynamic'!$D:$AF,22,FALSE),"Location Mismatch",IF(VLOOKUP($K7,'Consolidated Data - Static'!$K:$AM,23,FALSE)&lt;&gt;VLOOKUP($K7,'Consolidated Data - Dynamic'!$D:$AF,23,FALSE),"Intake Type Mismatch",IF(VLOOKUP($K7,'Consolidated Data - Static'!$K:$AM,24,FALSE)&lt;&gt;VLOOKUP($K7,'Consolidated Data - Dynamic'!$D:$AF,24,FALSE),"Emancipation Date Mismatch",IF(VLOOKUP($K7,'Consolidated Data - Static'!$K:$AM,25,FALSE)&lt;&gt;VLOOKUP($K7,'Consolidated Data - Dynamic'!$D:$AF,25,FALSE),"Intake Date Mismatch",IF(VLOOKUP($K7,'Consolidated Data - Static'!$K:$AM,26,FALSE)&lt;&gt;VLOOKUP($K7,'Consolidated Data - Dynamic'!$D:$AF,26,FALSE),"LOS Days Mismatch",IF(VLOOKUP($K7,'Consolidated Data - Static'!$K:$AM,27,FALSE)&lt;&gt;VLOOKUP($K7,'Consolidated Data - Dynamic'!$D:$AF,27,FALSE),"Stage Change Mismatch",IF(VLOOKUP($K7,'Consolidated Data - Static'!$K:$AM,28,FALSE)&lt;&gt;VLOOKUP($K7,'Consolidated Data - Dynamic'!$D:$AF,28,FALSE),"Animal Weight Mismatch",IF(VLOOKUP($K7,'Consolidated Data - Static'!$K:$AM,29,FALSE)&lt;&gt;VLOOKUP($K7,'Consolidated Data - Dynamic'!$D:$AF,29,FALSE),"Number of Pictures Mismatch", "Record Match"))))))))))))))))))))))))))))</f>
        <v>Record Match</v>
      </c>
      <c r="J7">
        <v>45190855</v>
      </c>
      <c r="K7" t="s">
        <v>171</v>
      </c>
      <c r="L7" t="s">
        <v>2191</v>
      </c>
      <c r="M7" t="s">
        <v>2826</v>
      </c>
      <c r="N7" t="s">
        <v>2826</v>
      </c>
      <c r="O7" t="s">
        <v>53</v>
      </c>
      <c r="P7" t="s">
        <v>173</v>
      </c>
      <c r="Q7" t="s">
        <v>69</v>
      </c>
      <c r="R7" t="s">
        <v>36</v>
      </c>
      <c r="S7" t="s">
        <v>49</v>
      </c>
      <c r="T7" t="s">
        <v>74</v>
      </c>
      <c r="U7" t="s">
        <v>39</v>
      </c>
      <c r="V7" t="s">
        <v>39</v>
      </c>
      <c r="W7" t="s">
        <v>39</v>
      </c>
      <c r="X7" t="s">
        <v>41</v>
      </c>
      <c r="Y7" t="s">
        <v>41</v>
      </c>
      <c r="Z7" t="s">
        <v>39</v>
      </c>
      <c r="AA7" t="s">
        <v>39</v>
      </c>
      <c r="AB7" t="s">
        <v>40</v>
      </c>
      <c r="AC7" t="s">
        <v>41</v>
      </c>
      <c r="AD7" t="s">
        <v>452</v>
      </c>
      <c r="AE7" t="s">
        <v>448</v>
      </c>
      <c r="AF7" t="s">
        <v>446</v>
      </c>
      <c r="AG7" t="s">
        <v>963</v>
      </c>
      <c r="AH7" s="9">
        <v>45829.554166666669</v>
      </c>
      <c r="AI7" s="9">
        <v>45824.554166666669</v>
      </c>
      <c r="AJ7">
        <v>154.19999999999999</v>
      </c>
      <c r="AK7">
        <v>0</v>
      </c>
      <c r="AL7" t="s">
        <v>962</v>
      </c>
      <c r="AM7">
        <v>3</v>
      </c>
      <c r="AN7" t="s">
        <v>1530</v>
      </c>
      <c r="AO7" t="s">
        <v>1531</v>
      </c>
      <c r="AP7" t="s">
        <v>1532</v>
      </c>
      <c r="AQ7" t="s">
        <v>1344</v>
      </c>
      <c r="AR7" t="s">
        <v>1533</v>
      </c>
      <c r="AS7" t="s">
        <v>1326</v>
      </c>
      <c r="AT7" t="s">
        <v>1513</v>
      </c>
    </row>
    <row r="8" spans="1:46" x14ac:dyDescent="0.2">
      <c r="A8">
        <f>VLOOKUP(Table4[[#This Row],[Rescue_ID]],Randomize_10_20_25!$B:$D,3,FALSE)</f>
        <v>1</v>
      </c>
      <c r="B8">
        <f>VLOOKUP(Table4[[#This Row],[Rescue_ID]],InitialRandom_10_07_25!$I:$AL,30,FALSE)</f>
        <v>1</v>
      </c>
      <c r="C8" s="9">
        <f>VLOOKUP(Table4[[#This Row],[Rescue_ID]],'Experiment Tracker'!$B:$P,7,FALSE)</f>
        <v>45950</v>
      </c>
      <c r="D8" s="8" t="str">
        <f>VLOOKUP(Table4[[#This Row],[Rescue_ID]],'Experiment Tracker'!$B:$P,6,FALSE)</f>
        <v>Cole is the total package—sweet, social, and full of life! This handsome black Lab/Hound mix is a gentle playmate who gets along wonderfully with other dogs, cats, and kids. He loves to run, chase, and explore outside, but he’s just as happy curling up for cuddles afterward. Cole has an easygoing, playful energy and a soft heart that makes him a joy to be around. He rides great in the car, walks nicely on a leash, and always brings a little sunshine wherever he goes. If you’re looking for a fun, affectionate companion who’s ready to join you on every adventure (and every couch snuggle), Cole is your guy.</v>
      </c>
      <c r="F8">
        <f>VLOOKUP(Table4[[#This Row],[Rescue_ID]],'Experiment Tracker'!$B:$I,8,FALSE)</f>
        <v>128.9</v>
      </c>
      <c r="H8" t="str">
        <f>VLOOKUP(Table4[[#This Row],[Primary_Breed]],'Breed Group'!$A:$B,2,FALSE)</f>
        <v>Non-Stigma</v>
      </c>
      <c r="I8" t="str">
        <f>IF(VLOOKUP($K8,'Consolidated Data - Static'!$K:$AM,2,FALSE)&lt;&gt;VLOOKUP($K8,'Consolidated Data - Dynamic'!$D:$AF,2,FALSE),"Name-AdoptAPet Mismatch",IF(VLOOKUP($K8,'Consolidated Data - Static'!$K:$AM,3,FALSE)&lt;&gt;VLOOKUP($K8,'Consolidated Data - Dynamic'!$D:$AF,3,FALSE),"Name-PetPoint Mismatch",IF(VLOOKUP($K8,'Consolidated Data - Static'!$K:$AM,4,FALSE)&lt;&gt;VLOOKUP($K8,'Consolidated Data - Dynamic'!$D:$AF,4,FALSE),"Name-Inventory Mismatch", IF(VLOOKUP($K8,'Consolidated Data - Static'!$K:$AM,5,FALSE)&lt;&gt;VLOOKUP($K8,'Consolidated Data - Dynamic'!$D:$AF,5,FALSE),"Primary Breed Mismatch",IF(VLOOKUP($K8,'Consolidated Data - Static'!$K:$AM,6,FALSE)&lt;&gt;VLOOKUP($K8,'Consolidated Data - Dynamic'!$D:$AF,6,FALSE),"Secondary Breed Mismatch", IF(VLOOKUP($K8,'Consolidated Data - Static'!$K:$AM,7,FALSE)&lt;&gt;VLOOKUP($K8,'Consolidated Data - Dynamic'!$D:$AF,7,FALSE),"Color Mismatch",IF(VLOOKUP($K8,'Consolidated Data - Static'!$K:$AM,8,FALSE)&lt;&gt;VLOOKUP($K8,'Consolidated Data - Dynamic'!$D:$AF,8,FALSE),"Sex Mismatch",IF(VLOOKUP($K8,'Consolidated Data - Static'!$K:$AM,9,FALSE)&lt;&gt;VLOOKUP($K8,'Consolidated Data - Dynamic'!$D:$AF,9,FALSE),"Age Mismatch",IF(VLOOKUP($K8,'Consolidated Data - Static'!$K:$AM,10,FALSE)&lt;&gt;VLOOKUP($K8,'Consolidated Data - Dynamic'!$D:$AF,10,FALSE),"Size Mismatch",IF(VLOOKUP($K8,'Consolidated Data - Static'!$K:$AM,11,FALSE)&lt;&gt;VLOOKUP($K8,'Consolidated Data - Dynamic'!$D:$AF,11,FALSE),"Mixed Mismatch",IF(VLOOKUP($K8,'Consolidated Data - Static'!$K:$AM,12,FALSE)&lt;&gt;VLOOKUP($K8,'Consolidated Data - Dynamic'!$D:$AF,12,FALSE),"Altered Mismatch",IF(VLOOKUP($K8,'Consolidated Data - Static'!$K:$AM,13,FALSE)&lt;&gt;VLOOKUP($K8,'Consolidated Data - Dynamic'!$D:$AF,13,FALSE),"Shots Current Mismatch",IF(VLOOKUP($K8,'Consolidated Data - Static'!$K:$AM,14,FALSE)&lt;&gt;VLOOKUP($K8,'Consolidated Data - Dynamic'!$D:$AF,14,FALSE),"Housebroken Mismatch",IF(VLOOKUP($K8,'Consolidated Data - Static'!$K:$AM,15,FALSE)&lt;&gt;VLOOKUP($K8,'Consolidated Data - Dynamic'!$D:$AF,15,FALSE),"Special Needs Mismatch",IF(VLOOKUP($K8,'Consolidated Data - Static'!$K:$AM,16,FALSE)&lt;&gt;VLOOKUP($K8,'Consolidated Data - Dynamic'!$D:$AF,16,FALSE),"OK w/kids Mismatch",IF(VLOOKUP($K8,'Consolidated Data - Static'!$K:$AM,17,FALSE)&lt;&gt;VLOOKUP($K8,'Consolidated Data - Dynamic'!$D:$AF,17,FALSE),"OK w/dogs Mismatch",IF(VLOOKUP($K8,'Consolidated Data - Static'!$K:$AM,18,FALSE)&lt;&gt;VLOOKUP($K8,'Consolidated Data - Dynamic'!$D:$AF,18,FALSE),"OK w/cats Mismatch",IF(VLOOKUP($K8,'Consolidated Data - Static'!$K:$AM,19,FALSE)&lt;&gt;VLOOKUP($K8,'Consolidated Data - Dynamic'!$D:$AF,19,FALSE),"Pre Treatment Description Mismatch",IF(VLOOKUP($K8,'Consolidated Data - Static'!$K:$AM,20,FALSE)&lt;&gt;VLOOKUP($K8,'Consolidated Data - Dynamic'!$D:$AF,20,FALSE),"Stage Mismatch",IF(VLOOKUP($K8,'Consolidated Data - Static'!$K:$AM,21,FALSE)&lt;&gt;VLOOKUP($K8,'Consolidated Data - Dynamic'!$D:$AF,21,FALSE),"Primary Color Mismatch",IF(VLOOKUP($K8,'Consolidated Data - Static'!$K:$AM,22,FALSE)&lt;&gt;VLOOKUP($K8,'Consolidated Data - Dynamic'!$D:$AF,22,FALSE),"Location Mismatch",IF(VLOOKUP($K8,'Consolidated Data - Static'!$K:$AM,23,FALSE)&lt;&gt;VLOOKUP($K8,'Consolidated Data - Dynamic'!$D:$AF,23,FALSE),"Intake Type Mismatch",IF(VLOOKUP($K8,'Consolidated Data - Static'!$K:$AM,24,FALSE)&lt;&gt;VLOOKUP($K8,'Consolidated Data - Dynamic'!$D:$AF,24,FALSE),"Emancipation Date Mismatch",IF(VLOOKUP($K8,'Consolidated Data - Static'!$K:$AM,25,FALSE)&lt;&gt;VLOOKUP($K8,'Consolidated Data - Dynamic'!$D:$AF,25,FALSE),"Intake Date Mismatch",IF(VLOOKUP($K8,'Consolidated Data - Static'!$K:$AM,26,FALSE)&lt;&gt;VLOOKUP($K8,'Consolidated Data - Dynamic'!$D:$AF,26,FALSE),"LOS Days Mismatch",IF(VLOOKUP($K8,'Consolidated Data - Static'!$K:$AM,27,FALSE)&lt;&gt;VLOOKUP($K8,'Consolidated Data - Dynamic'!$D:$AF,27,FALSE),"Stage Change Mismatch",IF(VLOOKUP($K8,'Consolidated Data - Static'!$K:$AM,28,FALSE)&lt;&gt;VLOOKUP($K8,'Consolidated Data - Dynamic'!$D:$AF,28,FALSE),"Animal Weight Mismatch",IF(VLOOKUP($K8,'Consolidated Data - Static'!$K:$AM,29,FALSE)&lt;&gt;VLOOKUP($K8,'Consolidated Data - Dynamic'!$D:$AF,29,FALSE),"Number of Pictures Mismatch", "Record Match"))))))))))))))))))))))))))))</f>
        <v>Record Match</v>
      </c>
      <c r="J8">
        <v>45190845</v>
      </c>
      <c r="K8" t="s">
        <v>178</v>
      </c>
      <c r="L8" t="s">
        <v>179</v>
      </c>
      <c r="M8" t="s">
        <v>635</v>
      </c>
      <c r="N8" t="s">
        <v>635</v>
      </c>
      <c r="O8" t="s">
        <v>90</v>
      </c>
      <c r="P8" t="s">
        <v>96</v>
      </c>
      <c r="Q8" t="s">
        <v>138</v>
      </c>
      <c r="R8" t="s">
        <v>48</v>
      </c>
      <c r="S8" t="s">
        <v>37</v>
      </c>
      <c r="T8" t="s">
        <v>50</v>
      </c>
      <c r="U8" t="s">
        <v>39</v>
      </c>
      <c r="V8" t="s">
        <v>39</v>
      </c>
      <c r="W8" t="s">
        <v>39</v>
      </c>
      <c r="X8" t="s">
        <v>41</v>
      </c>
      <c r="Y8" t="s">
        <v>41</v>
      </c>
      <c r="Z8" t="s">
        <v>39</v>
      </c>
      <c r="AA8" t="s">
        <v>39</v>
      </c>
      <c r="AB8" t="s">
        <v>39</v>
      </c>
      <c r="AC8" t="s">
        <v>39</v>
      </c>
      <c r="AD8" t="s">
        <v>461</v>
      </c>
      <c r="AE8" t="s">
        <v>138</v>
      </c>
      <c r="AF8" t="s">
        <v>446</v>
      </c>
      <c r="AG8" t="s">
        <v>922</v>
      </c>
      <c r="AH8" s="9">
        <v>45826.588194444441</v>
      </c>
      <c r="AI8" s="9">
        <v>45821.588194444441</v>
      </c>
      <c r="AJ8">
        <v>157.19999999999999</v>
      </c>
      <c r="AK8">
        <v>0</v>
      </c>
      <c r="AL8" t="s">
        <v>982</v>
      </c>
      <c r="AM8">
        <v>3</v>
      </c>
      <c r="AN8" t="s">
        <v>1330</v>
      </c>
      <c r="AO8" t="s">
        <v>1506</v>
      </c>
      <c r="AP8" t="s">
        <v>1507</v>
      </c>
      <c r="AQ8" t="s">
        <v>1278</v>
      </c>
      <c r="AR8" t="s">
        <v>1389</v>
      </c>
      <c r="AS8" t="s">
        <v>1508</v>
      </c>
      <c r="AT8" t="s">
        <v>1509</v>
      </c>
    </row>
    <row r="9" spans="1:46" x14ac:dyDescent="0.2">
      <c r="A9">
        <f>VLOOKUP(Table4[[#This Row],[Rescue_ID]],Randomize_10_20_25!$B:$D,3,FALSE)</f>
        <v>1</v>
      </c>
      <c r="B9">
        <f>VLOOKUP(Table4[[#This Row],[Rescue_ID]],InitialRandom_10_07_25!$I:$AL,30,FALSE)</f>
        <v>1</v>
      </c>
      <c r="C9" s="9">
        <f>VLOOKUP(Table4[[#This Row],[Rescue_ID]],'Experiment Tracker'!$B:$P,7,FALSE)</f>
        <v>45950</v>
      </c>
      <c r="D9" s="8" t="str">
        <f>VLOOKUP(Table4[[#This Row],[Rescue_ID]],'Experiment Tracker'!$B:$P,6,FALSE)</f>
        <v>Kim is a playful sweetheart with a zest for life! This gorgeous black Lab/Pit mix loves to run, romp, and play—especially with her best friend, Taz. She’s friendly with everyone she meets and brings joy and laughter wherever she goes. Kim’s energetic spirit makes her the perfect companion for outdoor adventures, but she’s also happy to wind down with some cuddles once the fun is done. She has a big heart, a bright smile, and a tail that never stops wagging. If you’re looking for a loyal, loving dog who’s always up for playtime and companionship, Kim is ready to be your new best friend.</v>
      </c>
      <c r="F9">
        <f>VLOOKUP(Table4[[#This Row],[Rescue_ID]],'Experiment Tracker'!$B:$I,8,FALSE)</f>
        <v>124.8</v>
      </c>
      <c r="H9" t="str">
        <f>VLOOKUP(Table4[[#This Row],[Primary_Breed]],'Breed Group'!$A:$B,2,FALSE)</f>
        <v>Non-Stigma</v>
      </c>
      <c r="I9" t="str">
        <f>IF(VLOOKUP($K9,'Consolidated Data - Static'!$K:$AM,2,FALSE)&lt;&gt;VLOOKUP($K9,'Consolidated Data - Dynamic'!$D:$AF,2,FALSE),"Name-AdoptAPet Mismatch",IF(VLOOKUP($K9,'Consolidated Data - Static'!$K:$AM,3,FALSE)&lt;&gt;VLOOKUP($K9,'Consolidated Data - Dynamic'!$D:$AF,3,FALSE),"Name-PetPoint Mismatch",IF(VLOOKUP($K9,'Consolidated Data - Static'!$K:$AM,4,FALSE)&lt;&gt;VLOOKUP($K9,'Consolidated Data - Dynamic'!$D:$AF,4,FALSE),"Name-Inventory Mismatch", IF(VLOOKUP($K9,'Consolidated Data - Static'!$K:$AM,5,FALSE)&lt;&gt;VLOOKUP($K9,'Consolidated Data - Dynamic'!$D:$AF,5,FALSE),"Primary Breed Mismatch",IF(VLOOKUP($K9,'Consolidated Data - Static'!$K:$AM,6,FALSE)&lt;&gt;VLOOKUP($K9,'Consolidated Data - Dynamic'!$D:$AF,6,FALSE),"Secondary Breed Mismatch", IF(VLOOKUP($K9,'Consolidated Data - Static'!$K:$AM,7,FALSE)&lt;&gt;VLOOKUP($K9,'Consolidated Data - Dynamic'!$D:$AF,7,FALSE),"Color Mismatch",IF(VLOOKUP($K9,'Consolidated Data - Static'!$K:$AM,8,FALSE)&lt;&gt;VLOOKUP($K9,'Consolidated Data - Dynamic'!$D:$AF,8,FALSE),"Sex Mismatch",IF(VLOOKUP($K9,'Consolidated Data - Static'!$K:$AM,9,FALSE)&lt;&gt;VLOOKUP($K9,'Consolidated Data - Dynamic'!$D:$AF,9,FALSE),"Age Mismatch",IF(VLOOKUP($K9,'Consolidated Data - Static'!$K:$AM,10,FALSE)&lt;&gt;VLOOKUP($K9,'Consolidated Data - Dynamic'!$D:$AF,10,FALSE),"Size Mismatch",IF(VLOOKUP($K9,'Consolidated Data - Static'!$K:$AM,11,FALSE)&lt;&gt;VLOOKUP($K9,'Consolidated Data - Dynamic'!$D:$AF,11,FALSE),"Mixed Mismatch",IF(VLOOKUP($K9,'Consolidated Data - Static'!$K:$AM,12,FALSE)&lt;&gt;VLOOKUP($K9,'Consolidated Data - Dynamic'!$D:$AF,12,FALSE),"Altered Mismatch",IF(VLOOKUP($K9,'Consolidated Data - Static'!$K:$AM,13,FALSE)&lt;&gt;VLOOKUP($K9,'Consolidated Data - Dynamic'!$D:$AF,13,FALSE),"Shots Current Mismatch",IF(VLOOKUP($K9,'Consolidated Data - Static'!$K:$AM,14,FALSE)&lt;&gt;VLOOKUP($K9,'Consolidated Data - Dynamic'!$D:$AF,14,FALSE),"Housebroken Mismatch",IF(VLOOKUP($K9,'Consolidated Data - Static'!$K:$AM,15,FALSE)&lt;&gt;VLOOKUP($K9,'Consolidated Data - Dynamic'!$D:$AF,15,FALSE),"Special Needs Mismatch",IF(VLOOKUP($K9,'Consolidated Data - Static'!$K:$AM,16,FALSE)&lt;&gt;VLOOKUP($K9,'Consolidated Data - Dynamic'!$D:$AF,16,FALSE),"OK w/kids Mismatch",IF(VLOOKUP($K9,'Consolidated Data - Static'!$K:$AM,17,FALSE)&lt;&gt;VLOOKUP($K9,'Consolidated Data - Dynamic'!$D:$AF,17,FALSE),"OK w/dogs Mismatch",IF(VLOOKUP($K9,'Consolidated Data - Static'!$K:$AM,18,FALSE)&lt;&gt;VLOOKUP($K9,'Consolidated Data - Dynamic'!$D:$AF,18,FALSE),"OK w/cats Mismatch",IF(VLOOKUP($K9,'Consolidated Data - Static'!$K:$AM,19,FALSE)&lt;&gt;VLOOKUP($K9,'Consolidated Data - Dynamic'!$D:$AF,19,FALSE),"Pre Treatment Description Mismatch",IF(VLOOKUP($K9,'Consolidated Data - Static'!$K:$AM,20,FALSE)&lt;&gt;VLOOKUP($K9,'Consolidated Data - Dynamic'!$D:$AF,20,FALSE),"Stage Mismatch",IF(VLOOKUP($K9,'Consolidated Data - Static'!$K:$AM,21,FALSE)&lt;&gt;VLOOKUP($K9,'Consolidated Data - Dynamic'!$D:$AF,21,FALSE),"Primary Color Mismatch",IF(VLOOKUP($K9,'Consolidated Data - Static'!$K:$AM,22,FALSE)&lt;&gt;VLOOKUP($K9,'Consolidated Data - Dynamic'!$D:$AF,22,FALSE),"Location Mismatch",IF(VLOOKUP($K9,'Consolidated Data - Static'!$K:$AM,23,FALSE)&lt;&gt;VLOOKUP($K9,'Consolidated Data - Dynamic'!$D:$AF,23,FALSE),"Intake Type Mismatch",IF(VLOOKUP($K9,'Consolidated Data - Static'!$K:$AM,24,FALSE)&lt;&gt;VLOOKUP($K9,'Consolidated Data - Dynamic'!$D:$AF,24,FALSE),"Emancipation Date Mismatch",IF(VLOOKUP($K9,'Consolidated Data - Static'!$K:$AM,25,FALSE)&lt;&gt;VLOOKUP($K9,'Consolidated Data - Dynamic'!$D:$AF,25,FALSE),"Intake Date Mismatch",IF(VLOOKUP($K9,'Consolidated Data - Static'!$K:$AM,26,FALSE)&lt;&gt;VLOOKUP($K9,'Consolidated Data - Dynamic'!$D:$AF,26,FALSE),"LOS Days Mismatch",IF(VLOOKUP($K9,'Consolidated Data - Static'!$K:$AM,27,FALSE)&lt;&gt;VLOOKUP($K9,'Consolidated Data - Dynamic'!$D:$AF,27,FALSE),"Stage Change Mismatch",IF(VLOOKUP($K9,'Consolidated Data - Static'!$K:$AM,28,FALSE)&lt;&gt;VLOOKUP($K9,'Consolidated Data - Dynamic'!$D:$AF,28,FALSE),"Animal Weight Mismatch",IF(VLOOKUP($K9,'Consolidated Data - Static'!$K:$AM,29,FALSE)&lt;&gt;VLOOKUP($K9,'Consolidated Data - Dynamic'!$D:$AF,29,FALSE),"Number of Pictures Mismatch", "Record Match"))))))))))))))))))))))))))))</f>
        <v>Record Match</v>
      </c>
      <c r="J9">
        <v>45190901</v>
      </c>
      <c r="K9" t="s">
        <v>192</v>
      </c>
      <c r="L9" t="s">
        <v>193</v>
      </c>
      <c r="M9" t="s">
        <v>193</v>
      </c>
      <c r="N9" t="s">
        <v>193</v>
      </c>
      <c r="O9" t="s">
        <v>90</v>
      </c>
      <c r="P9" t="s">
        <v>46</v>
      </c>
      <c r="Q9" t="s">
        <v>138</v>
      </c>
      <c r="R9" t="s">
        <v>36</v>
      </c>
      <c r="S9" t="s">
        <v>49</v>
      </c>
      <c r="T9" t="s">
        <v>50</v>
      </c>
      <c r="U9" t="s">
        <v>39</v>
      </c>
      <c r="V9" t="s">
        <v>39</v>
      </c>
      <c r="W9" t="s">
        <v>39</v>
      </c>
      <c r="X9" t="s">
        <v>41</v>
      </c>
      <c r="Y9" t="s">
        <v>41</v>
      </c>
      <c r="Z9" t="s">
        <v>39</v>
      </c>
      <c r="AA9" t="s">
        <v>39</v>
      </c>
      <c r="AB9" t="s">
        <v>40</v>
      </c>
      <c r="AC9" t="s">
        <v>39</v>
      </c>
      <c r="AD9" t="s">
        <v>461</v>
      </c>
      <c r="AE9" t="s">
        <v>138</v>
      </c>
      <c r="AF9" t="s">
        <v>458</v>
      </c>
      <c r="AG9" t="s">
        <v>939</v>
      </c>
      <c r="AH9" s="9">
        <v>45830.703472222223</v>
      </c>
      <c r="AI9" s="9">
        <v>45825.703472222223</v>
      </c>
      <c r="AJ9">
        <v>153.1</v>
      </c>
      <c r="AK9">
        <v>0</v>
      </c>
      <c r="AL9" t="s">
        <v>905</v>
      </c>
      <c r="AM9">
        <v>3</v>
      </c>
      <c r="AN9" t="s">
        <v>1614</v>
      </c>
      <c r="AO9" t="s">
        <v>1615</v>
      </c>
      <c r="AP9" t="s">
        <v>1616</v>
      </c>
      <c r="AQ9" t="s">
        <v>530</v>
      </c>
      <c r="AR9" t="s">
        <v>1300</v>
      </c>
      <c r="AS9" t="s">
        <v>1555</v>
      </c>
      <c r="AT9" t="s">
        <v>1383</v>
      </c>
    </row>
    <row r="10" spans="1:46" x14ac:dyDescent="0.2">
      <c r="A10">
        <f>VLOOKUP(Table4[[#This Row],[Rescue_ID]],Randomize_10_20_25!$B:$D,3,FALSE)</f>
        <v>0</v>
      </c>
      <c r="B10">
        <f>VLOOKUP(Table4[[#This Row],[Rescue_ID]],InitialRandom_10_07_25!$I:$AL,30,FALSE)</f>
        <v>0</v>
      </c>
      <c r="C10" s="9">
        <f>VLOOKUP(Table4[[#This Row],[Rescue_ID]],'Experiment Tracker'!$B:$P,7,FALSE)</f>
        <v>0</v>
      </c>
      <c r="D10" s="8">
        <f>VLOOKUP(Table4[[#This Row],[Rescue_ID]],'Experiment Tracker'!$B:$P,6,FALSE)</f>
        <v>0</v>
      </c>
      <c r="F10">
        <f>VLOOKUP(Table4[[#This Row],[Rescue_ID]],'Experiment Tracker'!$B:$I,8,FALSE)</f>
        <v>119.9</v>
      </c>
      <c r="H10" t="str">
        <f>VLOOKUP(Table4[[#This Row],[Primary_Breed]],'Breed Group'!$A:$B,2,FALSE)</f>
        <v>Non-Stigma</v>
      </c>
      <c r="I10" t="str">
        <f>IF(VLOOKUP($K10,'Consolidated Data - Static'!$K:$AM,2,FALSE)&lt;&gt;VLOOKUP($K10,'Consolidated Data - Dynamic'!$D:$AF,2,FALSE),"Name-AdoptAPet Mismatch",IF(VLOOKUP($K10,'Consolidated Data - Static'!$K:$AM,3,FALSE)&lt;&gt;VLOOKUP($K10,'Consolidated Data - Dynamic'!$D:$AF,3,FALSE),"Name-PetPoint Mismatch",IF(VLOOKUP($K10,'Consolidated Data - Static'!$K:$AM,4,FALSE)&lt;&gt;VLOOKUP($K10,'Consolidated Data - Dynamic'!$D:$AF,4,FALSE),"Name-Inventory Mismatch", IF(VLOOKUP($K10,'Consolidated Data - Static'!$K:$AM,5,FALSE)&lt;&gt;VLOOKUP($K10,'Consolidated Data - Dynamic'!$D:$AF,5,FALSE),"Primary Breed Mismatch",IF(VLOOKUP($K10,'Consolidated Data - Static'!$K:$AM,6,FALSE)&lt;&gt;VLOOKUP($K10,'Consolidated Data - Dynamic'!$D:$AF,6,FALSE),"Secondary Breed Mismatch", IF(VLOOKUP($K10,'Consolidated Data - Static'!$K:$AM,7,FALSE)&lt;&gt;VLOOKUP($K10,'Consolidated Data - Dynamic'!$D:$AF,7,FALSE),"Color Mismatch",IF(VLOOKUP($K10,'Consolidated Data - Static'!$K:$AM,8,FALSE)&lt;&gt;VLOOKUP($K10,'Consolidated Data - Dynamic'!$D:$AF,8,FALSE),"Sex Mismatch",IF(VLOOKUP($K10,'Consolidated Data - Static'!$K:$AM,9,FALSE)&lt;&gt;VLOOKUP($K10,'Consolidated Data - Dynamic'!$D:$AF,9,FALSE),"Age Mismatch",IF(VLOOKUP($K10,'Consolidated Data - Static'!$K:$AM,10,FALSE)&lt;&gt;VLOOKUP($K10,'Consolidated Data - Dynamic'!$D:$AF,10,FALSE),"Size Mismatch",IF(VLOOKUP($K10,'Consolidated Data - Static'!$K:$AM,11,FALSE)&lt;&gt;VLOOKUP($K10,'Consolidated Data - Dynamic'!$D:$AF,11,FALSE),"Mixed Mismatch",IF(VLOOKUP($K10,'Consolidated Data - Static'!$K:$AM,12,FALSE)&lt;&gt;VLOOKUP($K10,'Consolidated Data - Dynamic'!$D:$AF,12,FALSE),"Altered Mismatch",IF(VLOOKUP($K10,'Consolidated Data - Static'!$K:$AM,13,FALSE)&lt;&gt;VLOOKUP($K10,'Consolidated Data - Dynamic'!$D:$AF,13,FALSE),"Shots Current Mismatch",IF(VLOOKUP($K10,'Consolidated Data - Static'!$K:$AM,14,FALSE)&lt;&gt;VLOOKUP($K10,'Consolidated Data - Dynamic'!$D:$AF,14,FALSE),"Housebroken Mismatch",IF(VLOOKUP($K10,'Consolidated Data - Static'!$K:$AM,15,FALSE)&lt;&gt;VLOOKUP($K10,'Consolidated Data - Dynamic'!$D:$AF,15,FALSE),"Special Needs Mismatch",IF(VLOOKUP($K10,'Consolidated Data - Static'!$K:$AM,16,FALSE)&lt;&gt;VLOOKUP($K10,'Consolidated Data - Dynamic'!$D:$AF,16,FALSE),"OK w/kids Mismatch",IF(VLOOKUP($K10,'Consolidated Data - Static'!$K:$AM,17,FALSE)&lt;&gt;VLOOKUP($K10,'Consolidated Data - Dynamic'!$D:$AF,17,FALSE),"OK w/dogs Mismatch",IF(VLOOKUP($K10,'Consolidated Data - Static'!$K:$AM,18,FALSE)&lt;&gt;VLOOKUP($K10,'Consolidated Data - Dynamic'!$D:$AF,18,FALSE),"OK w/cats Mismatch",IF(VLOOKUP($K10,'Consolidated Data - Static'!$K:$AM,19,FALSE)&lt;&gt;VLOOKUP($K10,'Consolidated Data - Dynamic'!$D:$AF,19,FALSE),"Pre Treatment Description Mismatch",IF(VLOOKUP($K10,'Consolidated Data - Static'!$K:$AM,20,FALSE)&lt;&gt;VLOOKUP($K10,'Consolidated Data - Dynamic'!$D:$AF,20,FALSE),"Stage Mismatch",IF(VLOOKUP($K10,'Consolidated Data - Static'!$K:$AM,21,FALSE)&lt;&gt;VLOOKUP($K10,'Consolidated Data - Dynamic'!$D:$AF,21,FALSE),"Primary Color Mismatch",IF(VLOOKUP($K10,'Consolidated Data - Static'!$K:$AM,22,FALSE)&lt;&gt;VLOOKUP($K10,'Consolidated Data - Dynamic'!$D:$AF,22,FALSE),"Location Mismatch",IF(VLOOKUP($K10,'Consolidated Data - Static'!$K:$AM,23,FALSE)&lt;&gt;VLOOKUP($K10,'Consolidated Data - Dynamic'!$D:$AF,23,FALSE),"Intake Type Mismatch",IF(VLOOKUP($K10,'Consolidated Data - Static'!$K:$AM,24,FALSE)&lt;&gt;VLOOKUP($K10,'Consolidated Data - Dynamic'!$D:$AF,24,FALSE),"Emancipation Date Mismatch",IF(VLOOKUP($K10,'Consolidated Data - Static'!$K:$AM,25,FALSE)&lt;&gt;VLOOKUP($K10,'Consolidated Data - Dynamic'!$D:$AF,25,FALSE),"Intake Date Mismatch",IF(VLOOKUP($K10,'Consolidated Data - Static'!$K:$AM,26,FALSE)&lt;&gt;VLOOKUP($K10,'Consolidated Data - Dynamic'!$D:$AF,26,FALSE),"LOS Days Mismatch",IF(VLOOKUP($K10,'Consolidated Data - Static'!$K:$AM,27,FALSE)&lt;&gt;VLOOKUP($K10,'Consolidated Data - Dynamic'!$D:$AF,27,FALSE),"Stage Change Mismatch",IF(VLOOKUP($K10,'Consolidated Data - Static'!$K:$AM,28,FALSE)&lt;&gt;VLOOKUP($K10,'Consolidated Data - Dynamic'!$D:$AF,28,FALSE),"Animal Weight Mismatch",IF(VLOOKUP($K10,'Consolidated Data - Static'!$K:$AM,29,FALSE)&lt;&gt;VLOOKUP($K10,'Consolidated Data - Dynamic'!$D:$AF,29,FALSE),"Number of Pictures Mismatch", "Record Match"))))))))))))))))))))))))))))</f>
        <v>Record Match</v>
      </c>
      <c r="J10">
        <v>45346221</v>
      </c>
      <c r="K10" t="s">
        <v>228</v>
      </c>
      <c r="L10" t="s">
        <v>229</v>
      </c>
      <c r="M10" t="s">
        <v>229</v>
      </c>
      <c r="N10" t="s">
        <v>229</v>
      </c>
      <c r="O10" t="s">
        <v>80</v>
      </c>
      <c r="P10" t="s">
        <v>90</v>
      </c>
      <c r="Q10" t="s">
        <v>98</v>
      </c>
      <c r="R10" t="s">
        <v>36</v>
      </c>
      <c r="S10" t="s">
        <v>230</v>
      </c>
      <c r="T10" t="s">
        <v>50</v>
      </c>
      <c r="U10" t="s">
        <v>39</v>
      </c>
      <c r="V10" t="s">
        <v>39</v>
      </c>
      <c r="W10" t="s">
        <v>39</v>
      </c>
      <c r="X10" t="s">
        <v>41</v>
      </c>
      <c r="Y10" t="s">
        <v>41</v>
      </c>
      <c r="Z10" t="s">
        <v>39</v>
      </c>
      <c r="AA10" t="s">
        <v>39</v>
      </c>
      <c r="AB10" t="s">
        <v>40</v>
      </c>
      <c r="AC10" t="s">
        <v>41</v>
      </c>
      <c r="AD10" t="s">
        <v>461</v>
      </c>
      <c r="AE10" t="s">
        <v>537</v>
      </c>
      <c r="AF10" t="s">
        <v>458</v>
      </c>
      <c r="AG10" t="s">
        <v>896</v>
      </c>
      <c r="AH10" s="9">
        <v>0</v>
      </c>
      <c r="AI10" s="9">
        <v>45830.552777777775</v>
      </c>
      <c r="AJ10">
        <v>148.19999999999999</v>
      </c>
      <c r="AK10">
        <v>0</v>
      </c>
      <c r="AL10" t="s">
        <v>898</v>
      </c>
      <c r="AM10">
        <v>3</v>
      </c>
      <c r="AN10" t="s">
        <v>1355</v>
      </c>
      <c r="AO10" t="s">
        <v>1710</v>
      </c>
      <c r="AP10" t="s">
        <v>1711</v>
      </c>
      <c r="AQ10" t="s">
        <v>467</v>
      </c>
      <c r="AR10" t="s">
        <v>1365</v>
      </c>
      <c r="AS10" t="s">
        <v>1712</v>
      </c>
      <c r="AT10" t="s">
        <v>1521</v>
      </c>
    </row>
    <row r="11" spans="1:46" x14ac:dyDescent="0.2">
      <c r="A11">
        <f>VLOOKUP(Table4[[#This Row],[Rescue_ID]],Randomize_10_20_25!$B:$D,3,FALSE)</f>
        <v>0</v>
      </c>
      <c r="B11">
        <f>VLOOKUP(Table4[[#This Row],[Rescue_ID]],InitialRandom_10_07_25!$I:$AL,30,FALSE)</f>
        <v>0</v>
      </c>
      <c r="C11" s="9">
        <f>VLOOKUP(Table4[[#This Row],[Rescue_ID]],'Experiment Tracker'!$B:$P,7,FALSE)</f>
        <v>0</v>
      </c>
      <c r="D11" s="8">
        <f>VLOOKUP(Table4[[#This Row],[Rescue_ID]],'Experiment Tracker'!$B:$P,6,FALSE)</f>
        <v>0</v>
      </c>
      <c r="F11">
        <f>VLOOKUP(Table4[[#This Row],[Rescue_ID]],'Experiment Tracker'!$B:$I,8,FALSE)</f>
        <v>103</v>
      </c>
      <c r="H11" t="str">
        <f>VLOOKUP(Table4[[#This Row],[Primary_Breed]],'Breed Group'!$A:$B,2,FALSE)</f>
        <v>Stigma</v>
      </c>
      <c r="I11" t="str">
        <f>IF(VLOOKUP($K11,'Consolidated Data - Static'!$K:$AM,2,FALSE)&lt;&gt;VLOOKUP($K11,'Consolidated Data - Dynamic'!$D:$AF,2,FALSE),"Name-AdoptAPet Mismatch",IF(VLOOKUP($K11,'Consolidated Data - Static'!$K:$AM,3,FALSE)&lt;&gt;VLOOKUP($K11,'Consolidated Data - Dynamic'!$D:$AF,3,FALSE),"Name-PetPoint Mismatch",IF(VLOOKUP($K11,'Consolidated Data - Static'!$K:$AM,4,FALSE)&lt;&gt;VLOOKUP($K11,'Consolidated Data - Dynamic'!$D:$AF,4,FALSE),"Name-Inventory Mismatch", IF(VLOOKUP($K11,'Consolidated Data - Static'!$K:$AM,5,FALSE)&lt;&gt;VLOOKUP($K11,'Consolidated Data - Dynamic'!$D:$AF,5,FALSE),"Primary Breed Mismatch",IF(VLOOKUP($K11,'Consolidated Data - Static'!$K:$AM,6,FALSE)&lt;&gt;VLOOKUP($K11,'Consolidated Data - Dynamic'!$D:$AF,6,FALSE),"Secondary Breed Mismatch", IF(VLOOKUP($K11,'Consolidated Data - Static'!$K:$AM,7,FALSE)&lt;&gt;VLOOKUP($K11,'Consolidated Data - Dynamic'!$D:$AF,7,FALSE),"Color Mismatch",IF(VLOOKUP($K11,'Consolidated Data - Static'!$K:$AM,8,FALSE)&lt;&gt;VLOOKUP($K11,'Consolidated Data - Dynamic'!$D:$AF,8,FALSE),"Sex Mismatch",IF(VLOOKUP($K11,'Consolidated Data - Static'!$K:$AM,9,FALSE)&lt;&gt;VLOOKUP($K11,'Consolidated Data - Dynamic'!$D:$AF,9,FALSE),"Age Mismatch",IF(VLOOKUP($K11,'Consolidated Data - Static'!$K:$AM,10,FALSE)&lt;&gt;VLOOKUP($K11,'Consolidated Data - Dynamic'!$D:$AF,10,FALSE),"Size Mismatch",IF(VLOOKUP($K11,'Consolidated Data - Static'!$K:$AM,11,FALSE)&lt;&gt;VLOOKUP($K11,'Consolidated Data - Dynamic'!$D:$AF,11,FALSE),"Mixed Mismatch",IF(VLOOKUP($K11,'Consolidated Data - Static'!$K:$AM,12,FALSE)&lt;&gt;VLOOKUP($K11,'Consolidated Data - Dynamic'!$D:$AF,12,FALSE),"Altered Mismatch",IF(VLOOKUP($K11,'Consolidated Data - Static'!$K:$AM,13,FALSE)&lt;&gt;VLOOKUP($K11,'Consolidated Data - Dynamic'!$D:$AF,13,FALSE),"Shots Current Mismatch",IF(VLOOKUP($K11,'Consolidated Data - Static'!$K:$AM,14,FALSE)&lt;&gt;VLOOKUP($K11,'Consolidated Data - Dynamic'!$D:$AF,14,FALSE),"Housebroken Mismatch",IF(VLOOKUP($K11,'Consolidated Data - Static'!$K:$AM,15,FALSE)&lt;&gt;VLOOKUP($K11,'Consolidated Data - Dynamic'!$D:$AF,15,FALSE),"Special Needs Mismatch",IF(VLOOKUP($K11,'Consolidated Data - Static'!$K:$AM,16,FALSE)&lt;&gt;VLOOKUP($K11,'Consolidated Data - Dynamic'!$D:$AF,16,FALSE),"OK w/kids Mismatch",IF(VLOOKUP($K11,'Consolidated Data - Static'!$K:$AM,17,FALSE)&lt;&gt;VLOOKUP($K11,'Consolidated Data - Dynamic'!$D:$AF,17,FALSE),"OK w/dogs Mismatch",IF(VLOOKUP($K11,'Consolidated Data - Static'!$K:$AM,18,FALSE)&lt;&gt;VLOOKUP($K11,'Consolidated Data - Dynamic'!$D:$AF,18,FALSE),"OK w/cats Mismatch",IF(VLOOKUP($K11,'Consolidated Data - Static'!$K:$AM,19,FALSE)&lt;&gt;VLOOKUP($K11,'Consolidated Data - Dynamic'!$D:$AF,19,FALSE),"Pre Treatment Description Mismatch",IF(VLOOKUP($K11,'Consolidated Data - Static'!$K:$AM,20,FALSE)&lt;&gt;VLOOKUP($K11,'Consolidated Data - Dynamic'!$D:$AF,20,FALSE),"Stage Mismatch",IF(VLOOKUP($K11,'Consolidated Data - Static'!$K:$AM,21,FALSE)&lt;&gt;VLOOKUP($K11,'Consolidated Data - Dynamic'!$D:$AF,21,FALSE),"Primary Color Mismatch",IF(VLOOKUP($K11,'Consolidated Data - Static'!$K:$AM,22,FALSE)&lt;&gt;VLOOKUP($K11,'Consolidated Data - Dynamic'!$D:$AF,22,FALSE),"Location Mismatch",IF(VLOOKUP($K11,'Consolidated Data - Static'!$K:$AM,23,FALSE)&lt;&gt;VLOOKUP($K11,'Consolidated Data - Dynamic'!$D:$AF,23,FALSE),"Intake Type Mismatch",IF(VLOOKUP($K11,'Consolidated Data - Static'!$K:$AM,24,FALSE)&lt;&gt;VLOOKUP($K11,'Consolidated Data - Dynamic'!$D:$AF,24,FALSE),"Emancipation Date Mismatch",IF(VLOOKUP($K11,'Consolidated Data - Static'!$K:$AM,25,FALSE)&lt;&gt;VLOOKUP($K11,'Consolidated Data - Dynamic'!$D:$AF,25,FALSE),"Intake Date Mismatch",IF(VLOOKUP($K11,'Consolidated Data - Static'!$K:$AM,26,FALSE)&lt;&gt;VLOOKUP($K11,'Consolidated Data - Dynamic'!$D:$AF,26,FALSE),"LOS Days Mismatch",IF(VLOOKUP($K11,'Consolidated Data - Static'!$K:$AM,27,FALSE)&lt;&gt;VLOOKUP($K11,'Consolidated Data - Dynamic'!$D:$AF,27,FALSE),"Stage Change Mismatch",IF(VLOOKUP($K11,'Consolidated Data - Static'!$K:$AM,28,FALSE)&lt;&gt;VLOOKUP($K11,'Consolidated Data - Dynamic'!$D:$AF,28,FALSE),"Animal Weight Mismatch",IF(VLOOKUP($K11,'Consolidated Data - Static'!$K:$AM,29,FALSE)&lt;&gt;VLOOKUP($K11,'Consolidated Data - Dynamic'!$D:$AF,29,FALSE),"Number of Pictures Mismatch", "Record Match"))))))))))))))))))))))))))))</f>
        <v>Record Match</v>
      </c>
      <c r="J11">
        <v>45472786</v>
      </c>
      <c r="K11" t="s">
        <v>245</v>
      </c>
      <c r="L11" t="s">
        <v>666</v>
      </c>
      <c r="M11" t="s">
        <v>666</v>
      </c>
      <c r="N11" t="s">
        <v>666</v>
      </c>
      <c r="O11" t="s">
        <v>46</v>
      </c>
      <c r="P11" t="s">
        <v>53</v>
      </c>
      <c r="Q11" t="s">
        <v>82</v>
      </c>
      <c r="R11" t="s">
        <v>36</v>
      </c>
      <c r="S11" t="s">
        <v>37</v>
      </c>
      <c r="T11" t="s">
        <v>50</v>
      </c>
      <c r="U11" t="s">
        <v>39</v>
      </c>
      <c r="V11" t="s">
        <v>39</v>
      </c>
      <c r="W11" t="s">
        <v>39</v>
      </c>
      <c r="X11" t="s">
        <v>41</v>
      </c>
      <c r="Y11" t="s">
        <v>41</v>
      </c>
      <c r="Z11" t="s">
        <v>39</v>
      </c>
      <c r="AA11" t="s">
        <v>39</v>
      </c>
      <c r="AB11" t="s">
        <v>40</v>
      </c>
      <c r="AC11" t="s">
        <v>41</v>
      </c>
      <c r="AD11" t="s">
        <v>461</v>
      </c>
      <c r="AE11" t="s">
        <v>477</v>
      </c>
      <c r="AF11" t="s">
        <v>492</v>
      </c>
      <c r="AG11" t="s">
        <v>922</v>
      </c>
      <c r="AH11" s="9">
        <v>45852.512499999997</v>
      </c>
      <c r="AI11" s="9">
        <v>45847.512499999997</v>
      </c>
      <c r="AJ11">
        <v>131.30000000000001</v>
      </c>
      <c r="AK11" t="s">
        <v>990</v>
      </c>
      <c r="AL11" t="s">
        <v>936</v>
      </c>
      <c r="AM11">
        <v>1</v>
      </c>
      <c r="AN11" t="s">
        <v>1367</v>
      </c>
      <c r="AO11" t="s">
        <v>1565</v>
      </c>
      <c r="AP11" t="s">
        <v>1566</v>
      </c>
      <c r="AQ11" t="s">
        <v>525</v>
      </c>
      <c r="AR11" t="s">
        <v>1384</v>
      </c>
      <c r="AS11" t="s">
        <v>1567</v>
      </c>
      <c r="AT11" t="s">
        <v>1517</v>
      </c>
    </row>
    <row r="12" spans="1:46" x14ac:dyDescent="0.2">
      <c r="A12">
        <f>VLOOKUP(Table4[[#This Row],[Rescue_ID]],Randomize_10_20_25!$B:$D,3,FALSE)</f>
        <v>0</v>
      </c>
      <c r="B12">
        <f>VLOOKUP(Table4[[#This Row],[Rescue_ID]],InitialRandom_10_07_25!$I:$AL,30,FALSE)</f>
        <v>0</v>
      </c>
      <c r="C12" s="9">
        <f>VLOOKUP(Table4[[#This Row],[Rescue_ID]],'Experiment Tracker'!$B:$P,7,FALSE)</f>
        <v>0</v>
      </c>
      <c r="D12" s="8">
        <f>VLOOKUP(Table4[[#This Row],[Rescue_ID]],'Experiment Tracker'!$B:$P,6,FALSE)</f>
        <v>0</v>
      </c>
      <c r="F12">
        <f>VLOOKUP(Table4[[#This Row],[Rescue_ID]],'Experiment Tracker'!$B:$I,8,FALSE)</f>
        <v>101.9</v>
      </c>
      <c r="H12" t="str">
        <f>VLOOKUP(Table4[[#This Row],[Primary_Breed]],'Breed Group'!$A:$B,2,FALSE)</f>
        <v>Non-Stigma</v>
      </c>
      <c r="I12" t="str">
        <f>IF(VLOOKUP($K12,'Consolidated Data - Static'!$K:$AM,2,FALSE)&lt;&gt;VLOOKUP($K12,'Consolidated Data - Dynamic'!$D:$AF,2,FALSE),"Name-AdoptAPet Mismatch",IF(VLOOKUP($K12,'Consolidated Data - Static'!$K:$AM,3,FALSE)&lt;&gt;VLOOKUP($K12,'Consolidated Data - Dynamic'!$D:$AF,3,FALSE),"Name-PetPoint Mismatch",IF(VLOOKUP($K12,'Consolidated Data - Static'!$K:$AM,4,FALSE)&lt;&gt;VLOOKUP($K12,'Consolidated Data - Dynamic'!$D:$AF,4,FALSE),"Name-Inventory Mismatch", IF(VLOOKUP($K12,'Consolidated Data - Static'!$K:$AM,5,FALSE)&lt;&gt;VLOOKUP($K12,'Consolidated Data - Dynamic'!$D:$AF,5,FALSE),"Primary Breed Mismatch",IF(VLOOKUP($K12,'Consolidated Data - Static'!$K:$AM,6,FALSE)&lt;&gt;VLOOKUP($K12,'Consolidated Data - Dynamic'!$D:$AF,6,FALSE),"Secondary Breed Mismatch", IF(VLOOKUP($K12,'Consolidated Data - Static'!$K:$AM,7,FALSE)&lt;&gt;VLOOKUP($K12,'Consolidated Data - Dynamic'!$D:$AF,7,FALSE),"Color Mismatch",IF(VLOOKUP($K12,'Consolidated Data - Static'!$K:$AM,8,FALSE)&lt;&gt;VLOOKUP($K12,'Consolidated Data - Dynamic'!$D:$AF,8,FALSE),"Sex Mismatch",IF(VLOOKUP($K12,'Consolidated Data - Static'!$K:$AM,9,FALSE)&lt;&gt;VLOOKUP($K12,'Consolidated Data - Dynamic'!$D:$AF,9,FALSE),"Age Mismatch",IF(VLOOKUP($K12,'Consolidated Data - Static'!$K:$AM,10,FALSE)&lt;&gt;VLOOKUP($K12,'Consolidated Data - Dynamic'!$D:$AF,10,FALSE),"Size Mismatch",IF(VLOOKUP($K12,'Consolidated Data - Static'!$K:$AM,11,FALSE)&lt;&gt;VLOOKUP($K12,'Consolidated Data - Dynamic'!$D:$AF,11,FALSE),"Mixed Mismatch",IF(VLOOKUP($K12,'Consolidated Data - Static'!$K:$AM,12,FALSE)&lt;&gt;VLOOKUP($K12,'Consolidated Data - Dynamic'!$D:$AF,12,FALSE),"Altered Mismatch",IF(VLOOKUP($K12,'Consolidated Data - Static'!$K:$AM,13,FALSE)&lt;&gt;VLOOKUP($K12,'Consolidated Data - Dynamic'!$D:$AF,13,FALSE),"Shots Current Mismatch",IF(VLOOKUP($K12,'Consolidated Data - Static'!$K:$AM,14,FALSE)&lt;&gt;VLOOKUP($K12,'Consolidated Data - Dynamic'!$D:$AF,14,FALSE),"Housebroken Mismatch",IF(VLOOKUP($K12,'Consolidated Data - Static'!$K:$AM,15,FALSE)&lt;&gt;VLOOKUP($K12,'Consolidated Data - Dynamic'!$D:$AF,15,FALSE),"Special Needs Mismatch",IF(VLOOKUP($K12,'Consolidated Data - Static'!$K:$AM,16,FALSE)&lt;&gt;VLOOKUP($K12,'Consolidated Data - Dynamic'!$D:$AF,16,FALSE),"OK w/kids Mismatch",IF(VLOOKUP($K12,'Consolidated Data - Static'!$K:$AM,17,FALSE)&lt;&gt;VLOOKUP($K12,'Consolidated Data - Dynamic'!$D:$AF,17,FALSE),"OK w/dogs Mismatch",IF(VLOOKUP($K12,'Consolidated Data - Static'!$K:$AM,18,FALSE)&lt;&gt;VLOOKUP($K12,'Consolidated Data - Dynamic'!$D:$AF,18,FALSE),"OK w/cats Mismatch",IF(VLOOKUP($K12,'Consolidated Data - Static'!$K:$AM,19,FALSE)&lt;&gt;VLOOKUP($K12,'Consolidated Data - Dynamic'!$D:$AF,19,FALSE),"Pre Treatment Description Mismatch",IF(VLOOKUP($K12,'Consolidated Data - Static'!$K:$AM,20,FALSE)&lt;&gt;VLOOKUP($K12,'Consolidated Data - Dynamic'!$D:$AF,20,FALSE),"Stage Mismatch",IF(VLOOKUP($K12,'Consolidated Data - Static'!$K:$AM,21,FALSE)&lt;&gt;VLOOKUP($K12,'Consolidated Data - Dynamic'!$D:$AF,21,FALSE),"Primary Color Mismatch",IF(VLOOKUP($K12,'Consolidated Data - Static'!$K:$AM,22,FALSE)&lt;&gt;VLOOKUP($K12,'Consolidated Data - Dynamic'!$D:$AF,22,FALSE),"Location Mismatch",IF(VLOOKUP($K12,'Consolidated Data - Static'!$K:$AM,23,FALSE)&lt;&gt;VLOOKUP($K12,'Consolidated Data - Dynamic'!$D:$AF,23,FALSE),"Intake Type Mismatch",IF(VLOOKUP($K12,'Consolidated Data - Static'!$K:$AM,24,FALSE)&lt;&gt;VLOOKUP($K12,'Consolidated Data - Dynamic'!$D:$AF,24,FALSE),"Emancipation Date Mismatch",IF(VLOOKUP($K12,'Consolidated Data - Static'!$K:$AM,25,FALSE)&lt;&gt;VLOOKUP($K12,'Consolidated Data - Dynamic'!$D:$AF,25,FALSE),"Intake Date Mismatch",IF(VLOOKUP($K12,'Consolidated Data - Static'!$K:$AM,26,FALSE)&lt;&gt;VLOOKUP($K12,'Consolidated Data - Dynamic'!$D:$AF,26,FALSE),"LOS Days Mismatch",IF(VLOOKUP($K12,'Consolidated Data - Static'!$K:$AM,27,FALSE)&lt;&gt;VLOOKUP($K12,'Consolidated Data - Dynamic'!$D:$AF,27,FALSE),"Stage Change Mismatch",IF(VLOOKUP($K12,'Consolidated Data - Static'!$K:$AM,28,FALSE)&lt;&gt;VLOOKUP($K12,'Consolidated Data - Dynamic'!$D:$AF,28,FALSE),"Animal Weight Mismatch",IF(VLOOKUP($K12,'Consolidated Data - Static'!$K:$AM,29,FALSE)&lt;&gt;VLOOKUP($K12,'Consolidated Data - Dynamic'!$D:$AF,29,FALSE),"Number of Pictures Mismatch", "Record Match"))))))))))))))))))))))))))))</f>
        <v>Record Match</v>
      </c>
      <c r="J12">
        <v>45472762</v>
      </c>
      <c r="K12" t="s">
        <v>250</v>
      </c>
      <c r="L12" t="s">
        <v>251</v>
      </c>
      <c r="M12" t="s">
        <v>670</v>
      </c>
      <c r="N12" t="s">
        <v>670</v>
      </c>
      <c r="O12" t="s">
        <v>252</v>
      </c>
      <c r="P12" t="s">
        <v>253</v>
      </c>
      <c r="Q12" t="s">
        <v>254</v>
      </c>
      <c r="R12" t="s">
        <v>48</v>
      </c>
      <c r="S12" t="s">
        <v>49</v>
      </c>
      <c r="T12" t="s">
        <v>74</v>
      </c>
      <c r="U12" t="s">
        <v>39</v>
      </c>
      <c r="V12" t="s">
        <v>39</v>
      </c>
      <c r="W12" t="s">
        <v>39</v>
      </c>
      <c r="X12" t="s">
        <v>41</v>
      </c>
      <c r="Y12" t="s">
        <v>41</v>
      </c>
      <c r="Z12" t="s">
        <v>39</v>
      </c>
      <c r="AA12" t="s">
        <v>39</v>
      </c>
      <c r="AB12" t="s">
        <v>39</v>
      </c>
      <c r="AC12" t="s">
        <v>41</v>
      </c>
      <c r="AD12" t="s">
        <v>461</v>
      </c>
      <c r="AE12" t="s">
        <v>138</v>
      </c>
      <c r="AF12" t="s">
        <v>446</v>
      </c>
      <c r="AG12" t="s">
        <v>922</v>
      </c>
      <c r="AH12" s="9">
        <v>45853.550694444442</v>
      </c>
      <c r="AI12" s="9">
        <v>45848.550694444442</v>
      </c>
      <c r="AJ12">
        <v>130.19999999999999</v>
      </c>
      <c r="AK12">
        <v>0</v>
      </c>
      <c r="AL12" t="s">
        <v>979</v>
      </c>
      <c r="AM12">
        <v>1</v>
      </c>
      <c r="AN12" t="s">
        <v>1360</v>
      </c>
      <c r="AO12" t="s">
        <v>1577</v>
      </c>
      <c r="AP12" t="s">
        <v>1578</v>
      </c>
      <c r="AQ12" t="s">
        <v>676</v>
      </c>
      <c r="AR12" t="s">
        <v>1284</v>
      </c>
      <c r="AS12" t="s">
        <v>1579</v>
      </c>
      <c r="AT12" t="s">
        <v>1576</v>
      </c>
    </row>
    <row r="13" spans="1:46" x14ac:dyDescent="0.2">
      <c r="A13">
        <f>VLOOKUP(Table4[[#This Row],[Rescue_ID]],Randomize_10_20_25!$B:$D,3,FALSE)</f>
        <v>1</v>
      </c>
      <c r="B13">
        <f>VLOOKUP(Table4[[#This Row],[Rescue_ID]],InitialRandom_10_07_25!$I:$AL,30,FALSE)</f>
        <v>1</v>
      </c>
      <c r="C13" s="9">
        <f>VLOOKUP(Table4[[#This Row],[Rescue_ID]],'Experiment Tracker'!$B:$P,7,FALSE)</f>
        <v>45950</v>
      </c>
      <c r="D13" s="8" t="str">
        <f>VLOOKUP(Table4[[#This Row],[Rescue_ID]],'Experiment Tracker'!$B:$P,6,FALSE)</f>
        <v>Kirby is a gentle giant with a heart as big as his paws. This stunning gray-and-white Rottweiler/Cane Corso mix turns heads wherever he goes, but it’s his sweet, calm nature that truly stands out. Kirby is affectionate, well-mannered, and loves nothing more than being close to his people. Despite his impressive size, he’s gentle and kind—a big softie who just wants love and a comfy spot to rest. Whether he’s lounging at your feet or leaning in for pets, Kirby’s quiet presence brings warmth and peace to any home. If you’re looking for a loyal, loving companion with a heart of gold, Kirby is your guy.</v>
      </c>
      <c r="F13">
        <f>VLOOKUP(Table4[[#This Row],[Rescue_ID]],'Experiment Tracker'!$B:$I,8,FALSE)</f>
        <v>119.9</v>
      </c>
      <c r="H13" t="str">
        <f>VLOOKUP(Table4[[#This Row],[Primary_Breed]],'Breed Group'!$A:$B,2,FALSE)</f>
        <v>Stigma</v>
      </c>
      <c r="I13" t="str">
        <f>IF(VLOOKUP($K13,'Consolidated Data - Static'!$K:$AM,2,FALSE)&lt;&gt;VLOOKUP($K13,'Consolidated Data - Dynamic'!$D:$AF,2,FALSE),"Name-AdoptAPet Mismatch",IF(VLOOKUP($K13,'Consolidated Data - Static'!$K:$AM,3,FALSE)&lt;&gt;VLOOKUP($K13,'Consolidated Data - Dynamic'!$D:$AF,3,FALSE),"Name-PetPoint Mismatch",IF(VLOOKUP($K13,'Consolidated Data - Static'!$K:$AM,4,FALSE)&lt;&gt;VLOOKUP($K13,'Consolidated Data - Dynamic'!$D:$AF,4,FALSE),"Name-Inventory Mismatch", IF(VLOOKUP($K13,'Consolidated Data - Static'!$K:$AM,5,FALSE)&lt;&gt;VLOOKUP($K13,'Consolidated Data - Dynamic'!$D:$AF,5,FALSE),"Primary Breed Mismatch",IF(VLOOKUP($K13,'Consolidated Data - Static'!$K:$AM,6,FALSE)&lt;&gt;VLOOKUP($K13,'Consolidated Data - Dynamic'!$D:$AF,6,FALSE),"Secondary Breed Mismatch", IF(VLOOKUP($K13,'Consolidated Data - Static'!$K:$AM,7,FALSE)&lt;&gt;VLOOKUP($K13,'Consolidated Data - Dynamic'!$D:$AF,7,FALSE),"Color Mismatch",IF(VLOOKUP($K13,'Consolidated Data - Static'!$K:$AM,8,FALSE)&lt;&gt;VLOOKUP($K13,'Consolidated Data - Dynamic'!$D:$AF,8,FALSE),"Sex Mismatch",IF(VLOOKUP($K13,'Consolidated Data - Static'!$K:$AM,9,FALSE)&lt;&gt;VLOOKUP($K13,'Consolidated Data - Dynamic'!$D:$AF,9,FALSE),"Age Mismatch",IF(VLOOKUP($K13,'Consolidated Data - Static'!$K:$AM,10,FALSE)&lt;&gt;VLOOKUP($K13,'Consolidated Data - Dynamic'!$D:$AF,10,FALSE),"Size Mismatch",IF(VLOOKUP($K13,'Consolidated Data - Static'!$K:$AM,11,FALSE)&lt;&gt;VLOOKUP($K13,'Consolidated Data - Dynamic'!$D:$AF,11,FALSE),"Mixed Mismatch",IF(VLOOKUP($K13,'Consolidated Data - Static'!$K:$AM,12,FALSE)&lt;&gt;VLOOKUP($K13,'Consolidated Data - Dynamic'!$D:$AF,12,FALSE),"Altered Mismatch",IF(VLOOKUP($K13,'Consolidated Data - Static'!$K:$AM,13,FALSE)&lt;&gt;VLOOKUP($K13,'Consolidated Data - Dynamic'!$D:$AF,13,FALSE),"Shots Current Mismatch",IF(VLOOKUP($K13,'Consolidated Data - Static'!$K:$AM,14,FALSE)&lt;&gt;VLOOKUP($K13,'Consolidated Data - Dynamic'!$D:$AF,14,FALSE),"Housebroken Mismatch",IF(VLOOKUP($K13,'Consolidated Data - Static'!$K:$AM,15,FALSE)&lt;&gt;VLOOKUP($K13,'Consolidated Data - Dynamic'!$D:$AF,15,FALSE),"Special Needs Mismatch",IF(VLOOKUP($K13,'Consolidated Data - Static'!$K:$AM,16,FALSE)&lt;&gt;VLOOKUP($K13,'Consolidated Data - Dynamic'!$D:$AF,16,FALSE),"OK w/kids Mismatch",IF(VLOOKUP($K13,'Consolidated Data - Static'!$K:$AM,17,FALSE)&lt;&gt;VLOOKUP($K13,'Consolidated Data - Dynamic'!$D:$AF,17,FALSE),"OK w/dogs Mismatch",IF(VLOOKUP($K13,'Consolidated Data - Static'!$K:$AM,18,FALSE)&lt;&gt;VLOOKUP($K13,'Consolidated Data - Dynamic'!$D:$AF,18,FALSE),"OK w/cats Mismatch",IF(VLOOKUP($K13,'Consolidated Data - Static'!$K:$AM,19,FALSE)&lt;&gt;VLOOKUP($K13,'Consolidated Data - Dynamic'!$D:$AF,19,FALSE),"Pre Treatment Description Mismatch",IF(VLOOKUP($K13,'Consolidated Data - Static'!$K:$AM,20,FALSE)&lt;&gt;VLOOKUP($K13,'Consolidated Data - Dynamic'!$D:$AF,20,FALSE),"Stage Mismatch",IF(VLOOKUP($K13,'Consolidated Data - Static'!$K:$AM,21,FALSE)&lt;&gt;VLOOKUP($K13,'Consolidated Data - Dynamic'!$D:$AF,21,FALSE),"Primary Color Mismatch",IF(VLOOKUP($K13,'Consolidated Data - Static'!$K:$AM,22,FALSE)&lt;&gt;VLOOKUP($K13,'Consolidated Data - Dynamic'!$D:$AF,22,FALSE),"Location Mismatch",IF(VLOOKUP($K13,'Consolidated Data - Static'!$K:$AM,23,FALSE)&lt;&gt;VLOOKUP($K13,'Consolidated Data - Dynamic'!$D:$AF,23,FALSE),"Intake Type Mismatch",IF(VLOOKUP($K13,'Consolidated Data - Static'!$K:$AM,24,FALSE)&lt;&gt;VLOOKUP($K13,'Consolidated Data - Dynamic'!$D:$AF,24,FALSE),"Emancipation Date Mismatch",IF(VLOOKUP($K13,'Consolidated Data - Static'!$K:$AM,25,FALSE)&lt;&gt;VLOOKUP($K13,'Consolidated Data - Dynamic'!$D:$AF,25,FALSE),"Intake Date Mismatch",IF(VLOOKUP($K13,'Consolidated Data - Static'!$K:$AM,26,FALSE)&lt;&gt;VLOOKUP($K13,'Consolidated Data - Dynamic'!$D:$AF,26,FALSE),"LOS Days Mismatch",IF(VLOOKUP($K13,'Consolidated Data - Static'!$K:$AM,27,FALSE)&lt;&gt;VLOOKUP($K13,'Consolidated Data - Dynamic'!$D:$AF,27,FALSE),"Stage Change Mismatch",IF(VLOOKUP($K13,'Consolidated Data - Static'!$K:$AM,28,FALSE)&lt;&gt;VLOOKUP($K13,'Consolidated Data - Dynamic'!$D:$AF,28,FALSE),"Animal Weight Mismatch",IF(VLOOKUP($K13,'Consolidated Data - Static'!$K:$AM,29,FALSE)&lt;&gt;VLOOKUP($K13,'Consolidated Data - Dynamic'!$D:$AF,29,FALSE),"Number of Pictures Mismatch", "Record Match"))))))))))))))))))))))))))))</f>
        <v>Record Match</v>
      </c>
      <c r="J13">
        <v>45472546</v>
      </c>
      <c r="K13" t="s">
        <v>258</v>
      </c>
      <c r="L13" t="s">
        <v>259</v>
      </c>
      <c r="M13" t="s">
        <v>259</v>
      </c>
      <c r="N13" t="s">
        <v>259</v>
      </c>
      <c r="O13" t="s">
        <v>72</v>
      </c>
      <c r="P13" t="s">
        <v>173</v>
      </c>
      <c r="Q13" t="s">
        <v>54</v>
      </c>
      <c r="R13" t="s">
        <v>48</v>
      </c>
      <c r="S13" t="s">
        <v>49</v>
      </c>
      <c r="T13" t="s">
        <v>74</v>
      </c>
      <c r="U13" t="s">
        <v>39</v>
      </c>
      <c r="V13" t="s">
        <v>39</v>
      </c>
      <c r="W13" t="s">
        <v>39</v>
      </c>
      <c r="X13" t="s">
        <v>41</v>
      </c>
      <c r="Y13" t="s">
        <v>41</v>
      </c>
      <c r="Z13" t="s">
        <v>39</v>
      </c>
      <c r="AA13" t="s">
        <v>39</v>
      </c>
      <c r="AB13" t="s">
        <v>40</v>
      </c>
      <c r="AC13" t="s">
        <v>39</v>
      </c>
      <c r="AD13" t="s">
        <v>461</v>
      </c>
      <c r="AE13" t="s">
        <v>477</v>
      </c>
      <c r="AF13" t="s">
        <v>458</v>
      </c>
      <c r="AG13" t="s">
        <v>896</v>
      </c>
      <c r="AH13" s="9">
        <v>0</v>
      </c>
      <c r="AI13" s="9">
        <v>45830.546527777777</v>
      </c>
      <c r="AJ13">
        <v>148.19999999999999</v>
      </c>
      <c r="AK13">
        <v>0</v>
      </c>
      <c r="AL13" t="s">
        <v>998</v>
      </c>
      <c r="AM13">
        <v>3</v>
      </c>
      <c r="AN13" t="s">
        <v>1642</v>
      </c>
      <c r="AO13" t="s">
        <v>1643</v>
      </c>
      <c r="AP13" t="s">
        <v>1346</v>
      </c>
      <c r="AQ13" t="s">
        <v>1300</v>
      </c>
      <c r="AR13" t="s">
        <v>1301</v>
      </c>
      <c r="AS13" t="s">
        <v>1644</v>
      </c>
      <c r="AT13" t="s">
        <v>1290</v>
      </c>
    </row>
    <row r="14" spans="1:46" x14ac:dyDescent="0.2">
      <c r="A14">
        <f>VLOOKUP(Table4[[#This Row],[Rescue_ID]],Randomize_10_20_25!$B:$D,3,FALSE)</f>
        <v>0</v>
      </c>
      <c r="B14">
        <f>VLOOKUP(Table4[[#This Row],[Rescue_ID]],InitialRandom_10_07_25!$I:$AL,30,FALSE)</f>
        <v>0</v>
      </c>
      <c r="C14" s="9">
        <f>VLOOKUP(Table4[[#This Row],[Rescue_ID]],'Experiment Tracker'!$B:$P,7,FALSE)</f>
        <v>0</v>
      </c>
      <c r="D14" s="8">
        <f>VLOOKUP(Table4[[#This Row],[Rescue_ID]],'Experiment Tracker'!$B:$P,6,FALSE)</f>
        <v>0</v>
      </c>
      <c r="F14">
        <f>VLOOKUP(Table4[[#This Row],[Rescue_ID]],'Experiment Tracker'!$B:$I,8,FALSE)</f>
        <v>95.8</v>
      </c>
      <c r="H14" t="str">
        <f>VLOOKUP(Table4[[#This Row],[Primary_Breed]],'Breed Group'!$A:$B,2,FALSE)</f>
        <v>Non-Stigma</v>
      </c>
      <c r="I14" t="str">
        <f>IF(VLOOKUP($K14,'Consolidated Data - Static'!$K:$AM,2,FALSE)&lt;&gt;VLOOKUP($K14,'Consolidated Data - Dynamic'!$D:$AF,2,FALSE),"Name-AdoptAPet Mismatch",IF(VLOOKUP($K14,'Consolidated Data - Static'!$K:$AM,3,FALSE)&lt;&gt;VLOOKUP($K14,'Consolidated Data - Dynamic'!$D:$AF,3,FALSE),"Name-PetPoint Mismatch",IF(VLOOKUP($K14,'Consolidated Data - Static'!$K:$AM,4,FALSE)&lt;&gt;VLOOKUP($K14,'Consolidated Data - Dynamic'!$D:$AF,4,FALSE),"Name-Inventory Mismatch", IF(VLOOKUP($K14,'Consolidated Data - Static'!$K:$AM,5,FALSE)&lt;&gt;VLOOKUP($K14,'Consolidated Data - Dynamic'!$D:$AF,5,FALSE),"Primary Breed Mismatch",IF(VLOOKUP($K14,'Consolidated Data - Static'!$K:$AM,6,FALSE)&lt;&gt;VLOOKUP($K14,'Consolidated Data - Dynamic'!$D:$AF,6,FALSE),"Secondary Breed Mismatch", IF(VLOOKUP($K14,'Consolidated Data - Static'!$K:$AM,7,FALSE)&lt;&gt;VLOOKUP($K14,'Consolidated Data - Dynamic'!$D:$AF,7,FALSE),"Color Mismatch",IF(VLOOKUP($K14,'Consolidated Data - Static'!$K:$AM,8,FALSE)&lt;&gt;VLOOKUP($K14,'Consolidated Data - Dynamic'!$D:$AF,8,FALSE),"Sex Mismatch",IF(VLOOKUP($K14,'Consolidated Data - Static'!$K:$AM,9,FALSE)&lt;&gt;VLOOKUP($K14,'Consolidated Data - Dynamic'!$D:$AF,9,FALSE),"Age Mismatch",IF(VLOOKUP($K14,'Consolidated Data - Static'!$K:$AM,10,FALSE)&lt;&gt;VLOOKUP($K14,'Consolidated Data - Dynamic'!$D:$AF,10,FALSE),"Size Mismatch",IF(VLOOKUP($K14,'Consolidated Data - Static'!$K:$AM,11,FALSE)&lt;&gt;VLOOKUP($K14,'Consolidated Data - Dynamic'!$D:$AF,11,FALSE),"Mixed Mismatch",IF(VLOOKUP($K14,'Consolidated Data - Static'!$K:$AM,12,FALSE)&lt;&gt;VLOOKUP($K14,'Consolidated Data - Dynamic'!$D:$AF,12,FALSE),"Altered Mismatch",IF(VLOOKUP($K14,'Consolidated Data - Static'!$K:$AM,13,FALSE)&lt;&gt;VLOOKUP($K14,'Consolidated Data - Dynamic'!$D:$AF,13,FALSE),"Shots Current Mismatch",IF(VLOOKUP($K14,'Consolidated Data - Static'!$K:$AM,14,FALSE)&lt;&gt;VLOOKUP($K14,'Consolidated Data - Dynamic'!$D:$AF,14,FALSE),"Housebroken Mismatch",IF(VLOOKUP($K14,'Consolidated Data - Static'!$K:$AM,15,FALSE)&lt;&gt;VLOOKUP($K14,'Consolidated Data - Dynamic'!$D:$AF,15,FALSE),"Special Needs Mismatch",IF(VLOOKUP($K14,'Consolidated Data - Static'!$K:$AM,16,FALSE)&lt;&gt;VLOOKUP($K14,'Consolidated Data - Dynamic'!$D:$AF,16,FALSE),"OK w/kids Mismatch",IF(VLOOKUP($K14,'Consolidated Data - Static'!$K:$AM,17,FALSE)&lt;&gt;VLOOKUP($K14,'Consolidated Data - Dynamic'!$D:$AF,17,FALSE),"OK w/dogs Mismatch",IF(VLOOKUP($K14,'Consolidated Data - Static'!$K:$AM,18,FALSE)&lt;&gt;VLOOKUP($K14,'Consolidated Data - Dynamic'!$D:$AF,18,FALSE),"OK w/cats Mismatch",IF(VLOOKUP($K14,'Consolidated Data - Static'!$K:$AM,19,FALSE)&lt;&gt;VLOOKUP($K14,'Consolidated Data - Dynamic'!$D:$AF,19,FALSE),"Pre Treatment Description Mismatch",IF(VLOOKUP($K14,'Consolidated Data - Static'!$K:$AM,20,FALSE)&lt;&gt;VLOOKUP($K14,'Consolidated Data - Dynamic'!$D:$AF,20,FALSE),"Stage Mismatch",IF(VLOOKUP($K14,'Consolidated Data - Static'!$K:$AM,21,FALSE)&lt;&gt;VLOOKUP($K14,'Consolidated Data - Dynamic'!$D:$AF,21,FALSE),"Primary Color Mismatch",IF(VLOOKUP($K14,'Consolidated Data - Static'!$K:$AM,22,FALSE)&lt;&gt;VLOOKUP($K14,'Consolidated Data - Dynamic'!$D:$AF,22,FALSE),"Location Mismatch",IF(VLOOKUP($K14,'Consolidated Data - Static'!$K:$AM,23,FALSE)&lt;&gt;VLOOKUP($K14,'Consolidated Data - Dynamic'!$D:$AF,23,FALSE),"Intake Type Mismatch",IF(VLOOKUP($K14,'Consolidated Data - Static'!$K:$AM,24,FALSE)&lt;&gt;VLOOKUP($K14,'Consolidated Data - Dynamic'!$D:$AF,24,FALSE),"Emancipation Date Mismatch",IF(VLOOKUP($K14,'Consolidated Data - Static'!$K:$AM,25,FALSE)&lt;&gt;VLOOKUP($K14,'Consolidated Data - Dynamic'!$D:$AF,25,FALSE),"Intake Date Mismatch",IF(VLOOKUP($K14,'Consolidated Data - Static'!$K:$AM,26,FALSE)&lt;&gt;VLOOKUP($K14,'Consolidated Data - Dynamic'!$D:$AF,26,FALSE),"LOS Days Mismatch",IF(VLOOKUP($K14,'Consolidated Data - Static'!$K:$AM,27,FALSE)&lt;&gt;VLOOKUP($K14,'Consolidated Data - Dynamic'!$D:$AF,27,FALSE),"Stage Change Mismatch",IF(VLOOKUP($K14,'Consolidated Data - Static'!$K:$AM,28,FALSE)&lt;&gt;VLOOKUP($K14,'Consolidated Data - Dynamic'!$D:$AF,28,FALSE),"Animal Weight Mismatch",IF(VLOOKUP($K14,'Consolidated Data - Static'!$K:$AM,29,FALSE)&lt;&gt;VLOOKUP($K14,'Consolidated Data - Dynamic'!$D:$AF,29,FALSE),"Number of Pictures Mismatch", "Record Match"))))))))))))))))))))))))))))</f>
        <v>Record Match</v>
      </c>
      <c r="J14">
        <v>45472971</v>
      </c>
      <c r="K14" t="s">
        <v>263</v>
      </c>
      <c r="L14" t="s">
        <v>264</v>
      </c>
      <c r="M14" t="s">
        <v>264</v>
      </c>
      <c r="N14" t="s">
        <v>264</v>
      </c>
      <c r="O14" t="s">
        <v>68</v>
      </c>
      <c r="P14" t="s">
        <v>46</v>
      </c>
      <c r="Q14" t="s">
        <v>60</v>
      </c>
      <c r="R14" t="s">
        <v>48</v>
      </c>
      <c r="S14" t="s">
        <v>49</v>
      </c>
      <c r="T14" t="s">
        <v>50</v>
      </c>
      <c r="U14" t="s">
        <v>39</v>
      </c>
      <c r="V14" t="s">
        <v>39</v>
      </c>
      <c r="W14" t="s">
        <v>39</v>
      </c>
      <c r="X14" t="s">
        <v>41</v>
      </c>
      <c r="Y14" t="s">
        <v>41</v>
      </c>
      <c r="Z14" t="s">
        <v>39</v>
      </c>
      <c r="AA14" t="s">
        <v>39</v>
      </c>
      <c r="AB14" t="s">
        <v>40</v>
      </c>
      <c r="AC14" t="s">
        <v>41</v>
      </c>
      <c r="AD14" t="s">
        <v>461</v>
      </c>
      <c r="AE14" t="s">
        <v>678</v>
      </c>
      <c r="AF14" t="s">
        <v>492</v>
      </c>
      <c r="AG14" t="s">
        <v>887</v>
      </c>
      <c r="AH14" s="9">
        <v>45859.652083333334</v>
      </c>
      <c r="AI14" s="9">
        <v>45854.652083333334</v>
      </c>
      <c r="AJ14">
        <v>124.1</v>
      </c>
      <c r="AK14">
        <v>0</v>
      </c>
      <c r="AL14" t="s">
        <v>904</v>
      </c>
      <c r="AM14">
        <v>3</v>
      </c>
      <c r="AN14" t="s">
        <v>1388</v>
      </c>
      <c r="AO14" t="s">
        <v>1619</v>
      </c>
      <c r="AP14" t="s">
        <v>1620</v>
      </c>
      <c r="AQ14" t="s">
        <v>467</v>
      </c>
      <c r="AR14" t="s">
        <v>1370</v>
      </c>
      <c r="AS14" t="s">
        <v>1590</v>
      </c>
      <c r="AT14" t="s">
        <v>1305</v>
      </c>
    </row>
    <row r="15" spans="1:46" x14ac:dyDescent="0.2">
      <c r="A15">
        <f>VLOOKUP(Table4[[#This Row],[Rescue_ID]],Randomize_10_20_25!$B:$D,3,FALSE)</f>
        <v>1</v>
      </c>
      <c r="B15">
        <f>VLOOKUP(Table4[[#This Row],[Rescue_ID]],InitialRandom_10_07_25!$I:$AL,30,FALSE)</f>
        <v>1</v>
      </c>
      <c r="C15" s="9">
        <f>VLOOKUP(Table4[[#This Row],[Rescue_ID]],'Experiment Tracker'!$B:$P,7,FALSE)</f>
        <v>45950</v>
      </c>
      <c r="D15" s="8" t="str">
        <f>VLOOKUP(Table4[[#This Row],[Rescue_ID]],'Experiment Tracker'!$B:$P,6,FALSE)</f>
        <v>Twister is a fun-loving Lab with a heart as big as his splash! This handsome black boy is sweet, friendly, and always up for a good time—especially if it involves water. Whether he’s splashing in a pool, playing fetch, or soaking up scratches, Twister’s joy is contagious. He’s great with other dogs and gentle with little kids, making him the perfect family companion. His playful energy is balanced by his loving, easygoing nature—he just wants to be part of the fun and by your side. If you’re looking for a loyal, happy guy who can turn any day into an adventure, Twister is ready to dive right in.</v>
      </c>
      <c r="F15">
        <f>VLOOKUP(Table4[[#This Row],[Rescue_ID]],'Experiment Tracker'!$B:$I,8,FALSE)</f>
        <v>119.9</v>
      </c>
      <c r="H15" t="str">
        <f>VLOOKUP(Table4[[#This Row],[Primary_Breed]],'Breed Group'!$A:$B,2,FALSE)</f>
        <v>Non-Stigma</v>
      </c>
      <c r="I15" t="str">
        <f>IF(VLOOKUP($K15,'Consolidated Data - Static'!$K:$AM,2,FALSE)&lt;&gt;VLOOKUP($K15,'Consolidated Data - Dynamic'!$D:$AF,2,FALSE),"Name-AdoptAPet Mismatch",IF(VLOOKUP($K15,'Consolidated Data - Static'!$K:$AM,3,FALSE)&lt;&gt;VLOOKUP($K15,'Consolidated Data - Dynamic'!$D:$AF,3,FALSE),"Name-PetPoint Mismatch",IF(VLOOKUP($K15,'Consolidated Data - Static'!$K:$AM,4,FALSE)&lt;&gt;VLOOKUP($K15,'Consolidated Data - Dynamic'!$D:$AF,4,FALSE),"Name-Inventory Mismatch", IF(VLOOKUP($K15,'Consolidated Data - Static'!$K:$AM,5,FALSE)&lt;&gt;VLOOKUP($K15,'Consolidated Data - Dynamic'!$D:$AF,5,FALSE),"Primary Breed Mismatch",IF(VLOOKUP($K15,'Consolidated Data - Static'!$K:$AM,6,FALSE)&lt;&gt;VLOOKUP($K15,'Consolidated Data - Dynamic'!$D:$AF,6,FALSE),"Secondary Breed Mismatch", IF(VLOOKUP($K15,'Consolidated Data - Static'!$K:$AM,7,FALSE)&lt;&gt;VLOOKUP($K15,'Consolidated Data - Dynamic'!$D:$AF,7,FALSE),"Color Mismatch",IF(VLOOKUP($K15,'Consolidated Data - Static'!$K:$AM,8,FALSE)&lt;&gt;VLOOKUP($K15,'Consolidated Data - Dynamic'!$D:$AF,8,FALSE),"Sex Mismatch",IF(VLOOKUP($K15,'Consolidated Data - Static'!$K:$AM,9,FALSE)&lt;&gt;VLOOKUP($K15,'Consolidated Data - Dynamic'!$D:$AF,9,FALSE),"Age Mismatch",IF(VLOOKUP($K15,'Consolidated Data - Static'!$K:$AM,10,FALSE)&lt;&gt;VLOOKUP($K15,'Consolidated Data - Dynamic'!$D:$AF,10,FALSE),"Size Mismatch",IF(VLOOKUP($K15,'Consolidated Data - Static'!$K:$AM,11,FALSE)&lt;&gt;VLOOKUP($K15,'Consolidated Data - Dynamic'!$D:$AF,11,FALSE),"Mixed Mismatch",IF(VLOOKUP($K15,'Consolidated Data - Static'!$K:$AM,12,FALSE)&lt;&gt;VLOOKUP($K15,'Consolidated Data - Dynamic'!$D:$AF,12,FALSE),"Altered Mismatch",IF(VLOOKUP($K15,'Consolidated Data - Static'!$K:$AM,13,FALSE)&lt;&gt;VLOOKUP($K15,'Consolidated Data - Dynamic'!$D:$AF,13,FALSE),"Shots Current Mismatch",IF(VLOOKUP($K15,'Consolidated Data - Static'!$K:$AM,14,FALSE)&lt;&gt;VLOOKUP($K15,'Consolidated Data - Dynamic'!$D:$AF,14,FALSE),"Housebroken Mismatch",IF(VLOOKUP($K15,'Consolidated Data - Static'!$K:$AM,15,FALSE)&lt;&gt;VLOOKUP($K15,'Consolidated Data - Dynamic'!$D:$AF,15,FALSE),"Special Needs Mismatch",IF(VLOOKUP($K15,'Consolidated Data - Static'!$K:$AM,16,FALSE)&lt;&gt;VLOOKUP($K15,'Consolidated Data - Dynamic'!$D:$AF,16,FALSE),"OK w/kids Mismatch",IF(VLOOKUP($K15,'Consolidated Data - Static'!$K:$AM,17,FALSE)&lt;&gt;VLOOKUP($K15,'Consolidated Data - Dynamic'!$D:$AF,17,FALSE),"OK w/dogs Mismatch",IF(VLOOKUP($K15,'Consolidated Data - Static'!$K:$AM,18,FALSE)&lt;&gt;VLOOKUP($K15,'Consolidated Data - Dynamic'!$D:$AF,18,FALSE),"OK w/cats Mismatch",IF(VLOOKUP($K15,'Consolidated Data - Static'!$K:$AM,19,FALSE)&lt;&gt;VLOOKUP($K15,'Consolidated Data - Dynamic'!$D:$AF,19,FALSE),"Pre Treatment Description Mismatch",IF(VLOOKUP($K15,'Consolidated Data - Static'!$K:$AM,20,FALSE)&lt;&gt;VLOOKUP($K15,'Consolidated Data - Dynamic'!$D:$AF,20,FALSE),"Stage Mismatch",IF(VLOOKUP($K15,'Consolidated Data - Static'!$K:$AM,21,FALSE)&lt;&gt;VLOOKUP($K15,'Consolidated Data - Dynamic'!$D:$AF,21,FALSE),"Primary Color Mismatch",IF(VLOOKUP($K15,'Consolidated Data - Static'!$K:$AM,22,FALSE)&lt;&gt;VLOOKUP($K15,'Consolidated Data - Dynamic'!$D:$AF,22,FALSE),"Location Mismatch",IF(VLOOKUP($K15,'Consolidated Data - Static'!$K:$AM,23,FALSE)&lt;&gt;VLOOKUP($K15,'Consolidated Data - Dynamic'!$D:$AF,23,FALSE),"Intake Type Mismatch",IF(VLOOKUP($K15,'Consolidated Data - Static'!$K:$AM,24,FALSE)&lt;&gt;VLOOKUP($K15,'Consolidated Data - Dynamic'!$D:$AF,24,FALSE),"Emancipation Date Mismatch",IF(VLOOKUP($K15,'Consolidated Data - Static'!$K:$AM,25,FALSE)&lt;&gt;VLOOKUP($K15,'Consolidated Data - Dynamic'!$D:$AF,25,FALSE),"Intake Date Mismatch",IF(VLOOKUP($K15,'Consolidated Data - Static'!$K:$AM,26,FALSE)&lt;&gt;VLOOKUP($K15,'Consolidated Data - Dynamic'!$D:$AF,26,FALSE),"LOS Days Mismatch",IF(VLOOKUP($K15,'Consolidated Data - Static'!$K:$AM,27,FALSE)&lt;&gt;VLOOKUP($K15,'Consolidated Data - Dynamic'!$D:$AF,27,FALSE),"Stage Change Mismatch",IF(VLOOKUP($K15,'Consolidated Data - Static'!$K:$AM,28,FALSE)&lt;&gt;VLOOKUP($K15,'Consolidated Data - Dynamic'!$D:$AF,28,FALSE),"Animal Weight Mismatch",IF(VLOOKUP($K15,'Consolidated Data - Static'!$K:$AM,29,FALSE)&lt;&gt;VLOOKUP($K15,'Consolidated Data - Dynamic'!$D:$AF,29,FALSE),"Number of Pictures Mismatch", "Record Match"))))))))))))))))))))))))))))</f>
        <v>Record Match</v>
      </c>
      <c r="J15">
        <v>45472654</v>
      </c>
      <c r="K15" t="s">
        <v>272</v>
      </c>
      <c r="L15" t="s">
        <v>273</v>
      </c>
      <c r="M15" t="s">
        <v>273</v>
      </c>
      <c r="N15" t="s">
        <v>273</v>
      </c>
      <c r="O15" t="s">
        <v>90</v>
      </c>
      <c r="P15">
        <v>0</v>
      </c>
      <c r="Q15" t="s">
        <v>138</v>
      </c>
      <c r="R15" t="s">
        <v>48</v>
      </c>
      <c r="S15" t="s">
        <v>49</v>
      </c>
      <c r="T15" t="s">
        <v>74</v>
      </c>
      <c r="U15" t="s">
        <v>39</v>
      </c>
      <c r="V15" t="s">
        <v>39</v>
      </c>
      <c r="W15" t="s">
        <v>39</v>
      </c>
      <c r="X15" t="s">
        <v>41</v>
      </c>
      <c r="Y15" t="s">
        <v>41</v>
      </c>
      <c r="Z15" t="s">
        <v>39</v>
      </c>
      <c r="AA15" t="s">
        <v>39</v>
      </c>
      <c r="AB15" t="s">
        <v>40</v>
      </c>
      <c r="AC15" t="s">
        <v>39</v>
      </c>
      <c r="AD15" t="s">
        <v>461</v>
      </c>
      <c r="AE15" t="s">
        <v>138</v>
      </c>
      <c r="AF15" t="s">
        <v>458</v>
      </c>
      <c r="AG15" t="s">
        <v>896</v>
      </c>
      <c r="AH15" s="9">
        <v>0</v>
      </c>
      <c r="AI15" s="9">
        <v>45830.554861111108</v>
      </c>
      <c r="AJ15">
        <v>148.19999999999999</v>
      </c>
      <c r="AK15">
        <v>0</v>
      </c>
      <c r="AL15" t="s">
        <v>895</v>
      </c>
      <c r="AM15">
        <v>1</v>
      </c>
      <c r="AN15" t="s">
        <v>1685</v>
      </c>
      <c r="AO15" t="s">
        <v>1686</v>
      </c>
      <c r="AP15" t="s">
        <v>1687</v>
      </c>
      <c r="AQ15" t="s">
        <v>636</v>
      </c>
      <c r="AR15" t="s">
        <v>1378</v>
      </c>
      <c r="AS15" t="s">
        <v>1276</v>
      </c>
      <c r="AT15" t="s">
        <v>1277</v>
      </c>
    </row>
    <row r="16" spans="1:46" x14ac:dyDescent="0.2">
      <c r="A16">
        <f>VLOOKUP(Table4[[#This Row],[Rescue_ID]],Randomize_10_20_25!$B:$D,3,FALSE)</f>
        <v>0</v>
      </c>
      <c r="B16">
        <f>VLOOKUP(Table4[[#This Row],[Rescue_ID]],InitialRandom_10_07_25!$I:$AL,30,FALSE)</f>
        <v>0</v>
      </c>
      <c r="C16" s="9">
        <f>VLOOKUP(Table4[[#This Row],[Rescue_ID]],'Experiment Tracker'!$B:$P,7,FALSE)</f>
        <v>0</v>
      </c>
      <c r="D16" s="8">
        <f>VLOOKUP(Table4[[#This Row],[Rescue_ID]],'Experiment Tracker'!$B:$P,6,FALSE)</f>
        <v>0</v>
      </c>
      <c r="F16">
        <f>VLOOKUP(Table4[[#This Row],[Rescue_ID]],'Experiment Tracker'!$B:$I,8,FALSE)</f>
        <v>97.9</v>
      </c>
      <c r="H16" t="str">
        <f>VLOOKUP(Table4[[#This Row],[Primary_Breed]],'Breed Group'!$A:$B,2,FALSE)</f>
        <v>Stigma</v>
      </c>
      <c r="I16" t="str">
        <f>IF(VLOOKUP($K16,'Consolidated Data - Static'!$K:$AM,2,FALSE)&lt;&gt;VLOOKUP($K16,'Consolidated Data - Dynamic'!$D:$AF,2,FALSE),"Name-AdoptAPet Mismatch",IF(VLOOKUP($K16,'Consolidated Data - Static'!$K:$AM,3,FALSE)&lt;&gt;VLOOKUP($K16,'Consolidated Data - Dynamic'!$D:$AF,3,FALSE),"Name-PetPoint Mismatch",IF(VLOOKUP($K16,'Consolidated Data - Static'!$K:$AM,4,FALSE)&lt;&gt;VLOOKUP($K16,'Consolidated Data - Dynamic'!$D:$AF,4,FALSE),"Name-Inventory Mismatch", IF(VLOOKUP($K16,'Consolidated Data - Static'!$K:$AM,5,FALSE)&lt;&gt;VLOOKUP($K16,'Consolidated Data - Dynamic'!$D:$AF,5,FALSE),"Primary Breed Mismatch",IF(VLOOKUP($K16,'Consolidated Data - Static'!$K:$AM,6,FALSE)&lt;&gt;VLOOKUP($K16,'Consolidated Data - Dynamic'!$D:$AF,6,FALSE),"Secondary Breed Mismatch", IF(VLOOKUP($K16,'Consolidated Data - Static'!$K:$AM,7,FALSE)&lt;&gt;VLOOKUP($K16,'Consolidated Data - Dynamic'!$D:$AF,7,FALSE),"Color Mismatch",IF(VLOOKUP($K16,'Consolidated Data - Static'!$K:$AM,8,FALSE)&lt;&gt;VLOOKUP($K16,'Consolidated Data - Dynamic'!$D:$AF,8,FALSE),"Sex Mismatch",IF(VLOOKUP($K16,'Consolidated Data - Static'!$K:$AM,9,FALSE)&lt;&gt;VLOOKUP($K16,'Consolidated Data - Dynamic'!$D:$AF,9,FALSE),"Age Mismatch",IF(VLOOKUP($K16,'Consolidated Data - Static'!$K:$AM,10,FALSE)&lt;&gt;VLOOKUP($K16,'Consolidated Data - Dynamic'!$D:$AF,10,FALSE),"Size Mismatch",IF(VLOOKUP($K16,'Consolidated Data - Static'!$K:$AM,11,FALSE)&lt;&gt;VLOOKUP($K16,'Consolidated Data - Dynamic'!$D:$AF,11,FALSE),"Mixed Mismatch",IF(VLOOKUP($K16,'Consolidated Data - Static'!$K:$AM,12,FALSE)&lt;&gt;VLOOKUP($K16,'Consolidated Data - Dynamic'!$D:$AF,12,FALSE),"Altered Mismatch",IF(VLOOKUP($K16,'Consolidated Data - Static'!$K:$AM,13,FALSE)&lt;&gt;VLOOKUP($K16,'Consolidated Data - Dynamic'!$D:$AF,13,FALSE),"Shots Current Mismatch",IF(VLOOKUP($K16,'Consolidated Data - Static'!$K:$AM,14,FALSE)&lt;&gt;VLOOKUP($K16,'Consolidated Data - Dynamic'!$D:$AF,14,FALSE),"Housebroken Mismatch",IF(VLOOKUP($K16,'Consolidated Data - Static'!$K:$AM,15,FALSE)&lt;&gt;VLOOKUP($K16,'Consolidated Data - Dynamic'!$D:$AF,15,FALSE),"Special Needs Mismatch",IF(VLOOKUP($K16,'Consolidated Data - Static'!$K:$AM,16,FALSE)&lt;&gt;VLOOKUP($K16,'Consolidated Data - Dynamic'!$D:$AF,16,FALSE),"OK w/kids Mismatch",IF(VLOOKUP($K16,'Consolidated Data - Static'!$K:$AM,17,FALSE)&lt;&gt;VLOOKUP($K16,'Consolidated Data - Dynamic'!$D:$AF,17,FALSE),"OK w/dogs Mismatch",IF(VLOOKUP($K16,'Consolidated Data - Static'!$K:$AM,18,FALSE)&lt;&gt;VLOOKUP($K16,'Consolidated Data - Dynamic'!$D:$AF,18,FALSE),"OK w/cats Mismatch",IF(VLOOKUP($K16,'Consolidated Data - Static'!$K:$AM,19,FALSE)&lt;&gt;VLOOKUP($K16,'Consolidated Data - Dynamic'!$D:$AF,19,FALSE),"Pre Treatment Description Mismatch",IF(VLOOKUP($K16,'Consolidated Data - Static'!$K:$AM,20,FALSE)&lt;&gt;VLOOKUP($K16,'Consolidated Data - Dynamic'!$D:$AF,20,FALSE),"Stage Mismatch",IF(VLOOKUP($K16,'Consolidated Data - Static'!$K:$AM,21,FALSE)&lt;&gt;VLOOKUP($K16,'Consolidated Data - Dynamic'!$D:$AF,21,FALSE),"Primary Color Mismatch",IF(VLOOKUP($K16,'Consolidated Data - Static'!$K:$AM,22,FALSE)&lt;&gt;VLOOKUP($K16,'Consolidated Data - Dynamic'!$D:$AF,22,FALSE),"Location Mismatch",IF(VLOOKUP($K16,'Consolidated Data - Static'!$K:$AM,23,FALSE)&lt;&gt;VLOOKUP($K16,'Consolidated Data - Dynamic'!$D:$AF,23,FALSE),"Intake Type Mismatch",IF(VLOOKUP($K16,'Consolidated Data - Static'!$K:$AM,24,FALSE)&lt;&gt;VLOOKUP($K16,'Consolidated Data - Dynamic'!$D:$AF,24,FALSE),"Emancipation Date Mismatch",IF(VLOOKUP($K16,'Consolidated Data - Static'!$K:$AM,25,FALSE)&lt;&gt;VLOOKUP($K16,'Consolidated Data - Dynamic'!$D:$AF,25,FALSE),"Intake Date Mismatch",IF(VLOOKUP($K16,'Consolidated Data - Static'!$K:$AM,26,FALSE)&lt;&gt;VLOOKUP($K16,'Consolidated Data - Dynamic'!$D:$AF,26,FALSE),"LOS Days Mismatch",IF(VLOOKUP($K16,'Consolidated Data - Static'!$K:$AM,27,FALSE)&lt;&gt;VLOOKUP($K16,'Consolidated Data - Dynamic'!$D:$AF,27,FALSE),"Stage Change Mismatch",IF(VLOOKUP($K16,'Consolidated Data - Static'!$K:$AM,28,FALSE)&lt;&gt;VLOOKUP($K16,'Consolidated Data - Dynamic'!$D:$AF,28,FALSE),"Animal Weight Mismatch",IF(VLOOKUP($K16,'Consolidated Data - Static'!$K:$AM,29,FALSE)&lt;&gt;VLOOKUP($K16,'Consolidated Data - Dynamic'!$D:$AF,29,FALSE),"Number of Pictures Mismatch", "Record Match"))))))))))))))))))))))))))))</f>
        <v>Record Match</v>
      </c>
      <c r="J16">
        <v>45472979</v>
      </c>
      <c r="K16" t="s">
        <v>278</v>
      </c>
      <c r="L16" t="s">
        <v>279</v>
      </c>
      <c r="M16" t="s">
        <v>675</v>
      </c>
      <c r="N16" t="s">
        <v>675</v>
      </c>
      <c r="O16" t="s">
        <v>72</v>
      </c>
      <c r="P16" t="s">
        <v>90</v>
      </c>
      <c r="Q16" t="s">
        <v>203</v>
      </c>
      <c r="R16" t="s">
        <v>36</v>
      </c>
      <c r="S16" t="s">
        <v>37</v>
      </c>
      <c r="T16" t="s">
        <v>50</v>
      </c>
      <c r="U16" t="s">
        <v>39</v>
      </c>
      <c r="V16" t="s">
        <v>39</v>
      </c>
      <c r="W16" t="s">
        <v>39</v>
      </c>
      <c r="X16" t="s">
        <v>41</v>
      </c>
      <c r="Y16" t="s">
        <v>41</v>
      </c>
      <c r="Z16" t="s">
        <v>39</v>
      </c>
      <c r="AA16" t="s">
        <v>39</v>
      </c>
      <c r="AB16" t="s">
        <v>40</v>
      </c>
      <c r="AC16" t="s">
        <v>41</v>
      </c>
      <c r="AD16" t="s">
        <v>461</v>
      </c>
      <c r="AE16" t="s">
        <v>138</v>
      </c>
      <c r="AF16" t="s">
        <v>446</v>
      </c>
      <c r="AG16" t="s">
        <v>887</v>
      </c>
      <c r="AH16" s="9">
        <v>45857.543749999997</v>
      </c>
      <c r="AI16" s="9">
        <v>45852.543749999997</v>
      </c>
      <c r="AJ16">
        <v>126.2</v>
      </c>
      <c r="AK16">
        <v>0</v>
      </c>
      <c r="AL16" t="s">
        <v>915</v>
      </c>
      <c r="AM16">
        <v>1</v>
      </c>
      <c r="AN16" t="s">
        <v>1720</v>
      </c>
      <c r="AO16" t="s">
        <v>1721</v>
      </c>
      <c r="AP16" t="s">
        <v>1722</v>
      </c>
      <c r="AQ16" t="s">
        <v>457</v>
      </c>
      <c r="AR16" t="s">
        <v>1336</v>
      </c>
      <c r="AS16" t="s">
        <v>1310</v>
      </c>
      <c r="AT16" t="s">
        <v>1295</v>
      </c>
    </row>
    <row r="17" spans="1:46" x14ac:dyDescent="0.2">
      <c r="A17">
        <f>VLOOKUP(Table4[[#This Row],[Rescue_ID]],Randomize_10_20_25!$B:$D,3,FALSE)</f>
        <v>1</v>
      </c>
      <c r="B17">
        <f>VLOOKUP(Table4[[#This Row],[Rescue_ID]],InitialRandom_10_07_25!$I:$AL,30,FALSE)</f>
        <v>1</v>
      </c>
      <c r="C17" s="9">
        <f>VLOOKUP(Table4[[#This Row],[Rescue_ID]],'Experiment Tracker'!$B:$P,7,FALSE)</f>
        <v>45950</v>
      </c>
      <c r="D17" s="8" t="str">
        <f>VLOOKUP(Table4[[#This Row],[Rescue_ID]],'Experiment Tracker'!$B:$P,6,FALSE)</f>
        <v>Lotus is a burst of joy and energy wrapped in a shiny brown coat! This young Staffordshire Terrier is playful, smart, and full of personality. He loves to run, explore, and show off his goofy side, turning every outing into an adventure. Beneath his energetic spirit is a sweet, loving pup who adores being around people and learning new things. Lotus is eager to please and would thrive with someone who’s ready to keep up with his fun, active lifestyle. Whether it’s a game of fetch, a walk in the sunshine, or some well-earned cuddle time, Lotus is always all in. If you’re looking for a loyal best friend who’ll brighten every day, Lotus is your guy.</v>
      </c>
      <c r="F17">
        <f>VLOOKUP(Table4[[#This Row],[Rescue_ID]],'Experiment Tracker'!$B:$I,8,FALSE)</f>
        <v>80</v>
      </c>
      <c r="H17" t="str">
        <f>VLOOKUP(Table4[[#This Row],[Primary_Breed]],'Breed Group'!$A:$B,2,FALSE)</f>
        <v>Stigma</v>
      </c>
      <c r="I17" t="str">
        <f>IF(VLOOKUP($K17,'Consolidated Data - Static'!$K:$AM,2,FALSE)&lt;&gt;VLOOKUP($K17,'Consolidated Data - Dynamic'!$D:$AF,2,FALSE),"Name-AdoptAPet Mismatch",IF(VLOOKUP($K17,'Consolidated Data - Static'!$K:$AM,3,FALSE)&lt;&gt;VLOOKUP($K17,'Consolidated Data - Dynamic'!$D:$AF,3,FALSE),"Name-PetPoint Mismatch",IF(VLOOKUP($K17,'Consolidated Data - Static'!$K:$AM,4,FALSE)&lt;&gt;VLOOKUP($K17,'Consolidated Data - Dynamic'!$D:$AF,4,FALSE),"Name-Inventory Mismatch", IF(VLOOKUP($K17,'Consolidated Data - Static'!$K:$AM,5,FALSE)&lt;&gt;VLOOKUP($K17,'Consolidated Data - Dynamic'!$D:$AF,5,FALSE),"Primary Breed Mismatch",IF(VLOOKUP($K17,'Consolidated Data - Static'!$K:$AM,6,FALSE)&lt;&gt;VLOOKUP($K17,'Consolidated Data - Dynamic'!$D:$AF,6,FALSE),"Secondary Breed Mismatch", IF(VLOOKUP($K17,'Consolidated Data - Static'!$K:$AM,7,FALSE)&lt;&gt;VLOOKUP($K17,'Consolidated Data - Dynamic'!$D:$AF,7,FALSE),"Color Mismatch",IF(VLOOKUP($K17,'Consolidated Data - Static'!$K:$AM,8,FALSE)&lt;&gt;VLOOKUP($K17,'Consolidated Data - Dynamic'!$D:$AF,8,FALSE),"Sex Mismatch",IF(VLOOKUP($K17,'Consolidated Data - Static'!$K:$AM,9,FALSE)&lt;&gt;VLOOKUP($K17,'Consolidated Data - Dynamic'!$D:$AF,9,FALSE),"Age Mismatch",IF(VLOOKUP($K17,'Consolidated Data - Static'!$K:$AM,10,FALSE)&lt;&gt;VLOOKUP($K17,'Consolidated Data - Dynamic'!$D:$AF,10,FALSE),"Size Mismatch",IF(VLOOKUP($K17,'Consolidated Data - Static'!$K:$AM,11,FALSE)&lt;&gt;VLOOKUP($K17,'Consolidated Data - Dynamic'!$D:$AF,11,FALSE),"Mixed Mismatch",IF(VLOOKUP($K17,'Consolidated Data - Static'!$K:$AM,12,FALSE)&lt;&gt;VLOOKUP($K17,'Consolidated Data - Dynamic'!$D:$AF,12,FALSE),"Altered Mismatch",IF(VLOOKUP($K17,'Consolidated Data - Static'!$K:$AM,13,FALSE)&lt;&gt;VLOOKUP($K17,'Consolidated Data - Dynamic'!$D:$AF,13,FALSE),"Shots Current Mismatch",IF(VLOOKUP($K17,'Consolidated Data - Static'!$K:$AM,14,FALSE)&lt;&gt;VLOOKUP($K17,'Consolidated Data - Dynamic'!$D:$AF,14,FALSE),"Housebroken Mismatch",IF(VLOOKUP($K17,'Consolidated Data - Static'!$K:$AM,15,FALSE)&lt;&gt;VLOOKUP($K17,'Consolidated Data - Dynamic'!$D:$AF,15,FALSE),"Special Needs Mismatch",IF(VLOOKUP($K17,'Consolidated Data - Static'!$K:$AM,16,FALSE)&lt;&gt;VLOOKUP($K17,'Consolidated Data - Dynamic'!$D:$AF,16,FALSE),"OK w/kids Mismatch",IF(VLOOKUP($K17,'Consolidated Data - Static'!$K:$AM,17,FALSE)&lt;&gt;VLOOKUP($K17,'Consolidated Data - Dynamic'!$D:$AF,17,FALSE),"OK w/dogs Mismatch",IF(VLOOKUP($K17,'Consolidated Data - Static'!$K:$AM,18,FALSE)&lt;&gt;VLOOKUP($K17,'Consolidated Data - Dynamic'!$D:$AF,18,FALSE),"OK w/cats Mismatch",IF(VLOOKUP($K17,'Consolidated Data - Static'!$K:$AM,19,FALSE)&lt;&gt;VLOOKUP($K17,'Consolidated Data - Dynamic'!$D:$AF,19,FALSE),"Pre Treatment Description Mismatch",IF(VLOOKUP($K17,'Consolidated Data - Static'!$K:$AM,20,FALSE)&lt;&gt;VLOOKUP($K17,'Consolidated Data - Dynamic'!$D:$AF,20,FALSE),"Stage Mismatch",IF(VLOOKUP($K17,'Consolidated Data - Static'!$K:$AM,21,FALSE)&lt;&gt;VLOOKUP($K17,'Consolidated Data - Dynamic'!$D:$AF,21,FALSE),"Primary Color Mismatch",IF(VLOOKUP($K17,'Consolidated Data - Static'!$K:$AM,22,FALSE)&lt;&gt;VLOOKUP($K17,'Consolidated Data - Dynamic'!$D:$AF,22,FALSE),"Location Mismatch",IF(VLOOKUP($K17,'Consolidated Data - Static'!$K:$AM,23,FALSE)&lt;&gt;VLOOKUP($K17,'Consolidated Data - Dynamic'!$D:$AF,23,FALSE),"Intake Type Mismatch",IF(VLOOKUP($K17,'Consolidated Data - Static'!$K:$AM,24,FALSE)&lt;&gt;VLOOKUP($K17,'Consolidated Data - Dynamic'!$D:$AF,24,FALSE),"Emancipation Date Mismatch",IF(VLOOKUP($K17,'Consolidated Data - Static'!$K:$AM,25,FALSE)&lt;&gt;VLOOKUP($K17,'Consolidated Data - Dynamic'!$D:$AF,25,FALSE),"Intake Date Mismatch",IF(VLOOKUP($K17,'Consolidated Data - Static'!$K:$AM,26,FALSE)&lt;&gt;VLOOKUP($K17,'Consolidated Data - Dynamic'!$D:$AF,26,FALSE),"LOS Days Mismatch",IF(VLOOKUP($K17,'Consolidated Data - Static'!$K:$AM,27,FALSE)&lt;&gt;VLOOKUP($K17,'Consolidated Data - Dynamic'!$D:$AF,27,FALSE),"Stage Change Mismatch",IF(VLOOKUP($K17,'Consolidated Data - Static'!$K:$AM,28,FALSE)&lt;&gt;VLOOKUP($K17,'Consolidated Data - Dynamic'!$D:$AF,28,FALSE),"Animal Weight Mismatch",IF(VLOOKUP($K17,'Consolidated Data - Static'!$K:$AM,29,FALSE)&lt;&gt;VLOOKUP($K17,'Consolidated Data - Dynamic'!$D:$AF,29,FALSE),"Number of Pictures Mismatch", "Record Match"))))))))))))))))))))))))))))</f>
        <v>Record Match</v>
      </c>
      <c r="J17">
        <v>45606729</v>
      </c>
      <c r="K17" t="s">
        <v>292</v>
      </c>
      <c r="L17" t="s">
        <v>1230</v>
      </c>
      <c r="M17" t="s">
        <v>703</v>
      </c>
      <c r="N17" t="s">
        <v>703</v>
      </c>
      <c r="O17" t="s">
        <v>53</v>
      </c>
      <c r="P17">
        <v>0</v>
      </c>
      <c r="Q17" t="s">
        <v>146</v>
      </c>
      <c r="R17" t="s">
        <v>36</v>
      </c>
      <c r="S17" t="s">
        <v>37</v>
      </c>
      <c r="T17" t="s">
        <v>50</v>
      </c>
      <c r="U17" t="s">
        <v>39</v>
      </c>
      <c r="V17" t="s">
        <v>39</v>
      </c>
      <c r="W17" t="s">
        <v>39</v>
      </c>
      <c r="X17" t="s">
        <v>41</v>
      </c>
      <c r="Y17" t="s">
        <v>41</v>
      </c>
      <c r="Z17" t="s">
        <v>39</v>
      </c>
      <c r="AA17" t="s">
        <v>39</v>
      </c>
      <c r="AB17" t="s">
        <v>40</v>
      </c>
      <c r="AC17" t="s">
        <v>39</v>
      </c>
      <c r="AD17" t="s">
        <v>461</v>
      </c>
      <c r="AE17" t="s">
        <v>448</v>
      </c>
      <c r="AF17" t="s">
        <v>446</v>
      </c>
      <c r="AG17" t="s">
        <v>922</v>
      </c>
      <c r="AH17" s="9">
        <v>45875.531944444447</v>
      </c>
      <c r="AI17" s="9">
        <v>45870.531944444447</v>
      </c>
      <c r="AJ17">
        <v>108.3</v>
      </c>
      <c r="AK17">
        <v>0</v>
      </c>
      <c r="AL17" t="s">
        <v>978</v>
      </c>
      <c r="AM17">
        <v>3</v>
      </c>
      <c r="AN17" t="s">
        <v>1381</v>
      </c>
      <c r="AO17" t="s">
        <v>1622</v>
      </c>
      <c r="AP17" t="s">
        <v>1623</v>
      </c>
      <c r="AQ17" t="s">
        <v>467</v>
      </c>
      <c r="AR17" t="s">
        <v>1298</v>
      </c>
      <c r="AS17" t="s">
        <v>1624</v>
      </c>
      <c r="AT17" t="s">
        <v>1526</v>
      </c>
    </row>
    <row r="18" spans="1:46" x14ac:dyDescent="0.2">
      <c r="A18">
        <f>VLOOKUP(Table4[[#This Row],[Rescue_ID]],Randomize_10_20_25!$B:$D,3,FALSE)</f>
        <v>1</v>
      </c>
      <c r="B18">
        <f>VLOOKUP(Table4[[#This Row],[Rescue_ID]],InitialRandom_10_07_25!$I:$AL,30,FALSE)</f>
        <v>1</v>
      </c>
      <c r="C18" s="9">
        <f>VLOOKUP(Table4[[#This Row],[Rescue_ID]],'Experiment Tracker'!$B:$P,7,FALSE)</f>
        <v>0</v>
      </c>
      <c r="D18" s="8">
        <f>VLOOKUP(Table4[[#This Row],[Rescue_ID]],'Experiment Tracker'!$B:$P,6,FALSE)</f>
        <v>0</v>
      </c>
      <c r="F18">
        <f>VLOOKUP(Table4[[#This Row],[Rescue_ID]],'Experiment Tracker'!$B:$I,8,FALSE)</f>
        <v>0</v>
      </c>
      <c r="H18" t="str">
        <f>VLOOKUP(Table4[[#This Row],[Primary_Breed]],'Breed Group'!$A:$B,2,FALSE)</f>
        <v>Non-Stigma</v>
      </c>
      <c r="I18" t="str">
        <f>IF(VLOOKUP($K18,'Consolidated Data - Static'!$K:$AM,2,FALSE)&lt;&gt;VLOOKUP($K18,'Consolidated Data - Dynamic'!$D:$AF,2,FALSE),"Name-AdoptAPet Mismatch",IF(VLOOKUP($K18,'Consolidated Data - Static'!$K:$AM,3,FALSE)&lt;&gt;VLOOKUP($K18,'Consolidated Data - Dynamic'!$D:$AF,3,FALSE),"Name-PetPoint Mismatch",IF(VLOOKUP($K18,'Consolidated Data - Static'!$K:$AM,4,FALSE)&lt;&gt;VLOOKUP($K18,'Consolidated Data - Dynamic'!$D:$AF,4,FALSE),"Name-Inventory Mismatch", IF(VLOOKUP($K18,'Consolidated Data - Static'!$K:$AM,5,FALSE)&lt;&gt;VLOOKUP($K18,'Consolidated Data - Dynamic'!$D:$AF,5,FALSE),"Primary Breed Mismatch",IF(VLOOKUP($K18,'Consolidated Data - Static'!$K:$AM,6,FALSE)&lt;&gt;VLOOKUP($K18,'Consolidated Data - Dynamic'!$D:$AF,6,FALSE),"Secondary Breed Mismatch", IF(VLOOKUP($K18,'Consolidated Data - Static'!$K:$AM,7,FALSE)&lt;&gt;VLOOKUP($K18,'Consolidated Data - Dynamic'!$D:$AF,7,FALSE),"Color Mismatch",IF(VLOOKUP($K18,'Consolidated Data - Static'!$K:$AM,8,FALSE)&lt;&gt;VLOOKUP($K18,'Consolidated Data - Dynamic'!$D:$AF,8,FALSE),"Sex Mismatch",IF(VLOOKUP($K18,'Consolidated Data - Static'!$K:$AM,9,FALSE)&lt;&gt;VLOOKUP($K18,'Consolidated Data - Dynamic'!$D:$AF,9,FALSE),"Age Mismatch",IF(VLOOKUP($K18,'Consolidated Data - Static'!$K:$AM,10,FALSE)&lt;&gt;VLOOKUP($K18,'Consolidated Data - Dynamic'!$D:$AF,10,FALSE),"Size Mismatch",IF(VLOOKUP($K18,'Consolidated Data - Static'!$K:$AM,11,FALSE)&lt;&gt;VLOOKUP($K18,'Consolidated Data - Dynamic'!$D:$AF,11,FALSE),"Mixed Mismatch",IF(VLOOKUP($K18,'Consolidated Data - Static'!$K:$AM,12,FALSE)&lt;&gt;VLOOKUP($K18,'Consolidated Data - Dynamic'!$D:$AF,12,FALSE),"Altered Mismatch",IF(VLOOKUP($K18,'Consolidated Data - Static'!$K:$AM,13,FALSE)&lt;&gt;VLOOKUP($K18,'Consolidated Data - Dynamic'!$D:$AF,13,FALSE),"Shots Current Mismatch",IF(VLOOKUP($K18,'Consolidated Data - Static'!$K:$AM,14,FALSE)&lt;&gt;VLOOKUP($K18,'Consolidated Data - Dynamic'!$D:$AF,14,FALSE),"Housebroken Mismatch",IF(VLOOKUP($K18,'Consolidated Data - Static'!$K:$AM,15,FALSE)&lt;&gt;VLOOKUP($K18,'Consolidated Data - Dynamic'!$D:$AF,15,FALSE),"Special Needs Mismatch",IF(VLOOKUP($K18,'Consolidated Data - Static'!$K:$AM,16,FALSE)&lt;&gt;VLOOKUP($K18,'Consolidated Data - Dynamic'!$D:$AF,16,FALSE),"OK w/kids Mismatch",IF(VLOOKUP($K18,'Consolidated Data - Static'!$K:$AM,17,FALSE)&lt;&gt;VLOOKUP($K18,'Consolidated Data - Dynamic'!$D:$AF,17,FALSE),"OK w/dogs Mismatch",IF(VLOOKUP($K18,'Consolidated Data - Static'!$K:$AM,18,FALSE)&lt;&gt;VLOOKUP($K18,'Consolidated Data - Dynamic'!$D:$AF,18,FALSE),"OK w/cats Mismatch",IF(VLOOKUP($K18,'Consolidated Data - Static'!$K:$AM,19,FALSE)&lt;&gt;VLOOKUP($K18,'Consolidated Data - Dynamic'!$D:$AF,19,FALSE),"Pre Treatment Description Mismatch",IF(VLOOKUP($K18,'Consolidated Data - Static'!$K:$AM,20,FALSE)&lt;&gt;VLOOKUP($K18,'Consolidated Data - Dynamic'!$D:$AF,20,FALSE),"Stage Mismatch",IF(VLOOKUP($K18,'Consolidated Data - Static'!$K:$AM,21,FALSE)&lt;&gt;VLOOKUP($K18,'Consolidated Data - Dynamic'!$D:$AF,21,FALSE),"Primary Color Mismatch",IF(VLOOKUP($K18,'Consolidated Data - Static'!$K:$AM,22,FALSE)&lt;&gt;VLOOKUP($K18,'Consolidated Data - Dynamic'!$D:$AF,22,FALSE),"Location Mismatch",IF(VLOOKUP($K18,'Consolidated Data - Static'!$K:$AM,23,FALSE)&lt;&gt;VLOOKUP($K18,'Consolidated Data - Dynamic'!$D:$AF,23,FALSE),"Intake Type Mismatch",IF(VLOOKUP($K18,'Consolidated Data - Static'!$K:$AM,24,FALSE)&lt;&gt;VLOOKUP($K18,'Consolidated Data - Dynamic'!$D:$AF,24,FALSE),"Emancipation Date Mismatch",IF(VLOOKUP($K18,'Consolidated Data - Static'!$K:$AM,25,FALSE)&lt;&gt;VLOOKUP($K18,'Consolidated Data - Dynamic'!$D:$AF,25,FALSE),"Intake Date Mismatch",IF(VLOOKUP($K18,'Consolidated Data - Static'!$K:$AM,26,FALSE)&lt;&gt;VLOOKUP($K18,'Consolidated Data - Dynamic'!$D:$AF,26,FALSE),"LOS Days Mismatch",IF(VLOOKUP($K18,'Consolidated Data - Static'!$K:$AM,27,FALSE)&lt;&gt;VLOOKUP($K18,'Consolidated Data - Dynamic'!$D:$AF,27,FALSE),"Stage Change Mismatch",IF(VLOOKUP($K18,'Consolidated Data - Static'!$K:$AM,28,FALSE)&lt;&gt;VLOOKUP($K18,'Consolidated Data - Dynamic'!$D:$AF,28,FALSE),"Animal Weight Mismatch",IF(VLOOKUP($K18,'Consolidated Data - Static'!$K:$AM,29,FALSE)&lt;&gt;VLOOKUP($K18,'Consolidated Data - Dynamic'!$D:$AF,29,FALSE),"Number of Pictures Mismatch", "Record Match"))))))))))))))))))))))))))))</f>
        <v>Record Match</v>
      </c>
      <c r="J18">
        <v>45763896</v>
      </c>
      <c r="K18" t="s">
        <v>311</v>
      </c>
      <c r="L18" t="s">
        <v>312</v>
      </c>
      <c r="M18" t="s">
        <v>312</v>
      </c>
      <c r="N18" t="s">
        <v>312</v>
      </c>
      <c r="O18" t="s">
        <v>68</v>
      </c>
      <c r="P18" t="s">
        <v>59</v>
      </c>
      <c r="Q18" t="s">
        <v>138</v>
      </c>
      <c r="R18" t="s">
        <v>48</v>
      </c>
      <c r="S18" t="s">
        <v>49</v>
      </c>
      <c r="T18" t="s">
        <v>50</v>
      </c>
      <c r="U18" t="s">
        <v>39</v>
      </c>
      <c r="V18" t="s">
        <v>39</v>
      </c>
      <c r="W18" t="s">
        <v>39</v>
      </c>
      <c r="X18" t="s">
        <v>41</v>
      </c>
      <c r="Y18" t="s">
        <v>41</v>
      </c>
      <c r="Z18" t="s">
        <v>39</v>
      </c>
      <c r="AA18" t="s">
        <v>39</v>
      </c>
      <c r="AB18" t="s">
        <v>40</v>
      </c>
      <c r="AC18" t="s">
        <v>41</v>
      </c>
      <c r="AD18" t="s">
        <v>461</v>
      </c>
      <c r="AE18" t="s">
        <v>138</v>
      </c>
      <c r="AF18" t="s">
        <v>492</v>
      </c>
      <c r="AG18" t="s">
        <v>887</v>
      </c>
      <c r="AH18" s="9">
        <v>45874.686805555553</v>
      </c>
      <c r="AI18" s="9">
        <v>45869.686805555553</v>
      </c>
      <c r="AJ18">
        <v>109.1</v>
      </c>
      <c r="AK18">
        <v>0</v>
      </c>
      <c r="AL18" t="s">
        <v>959</v>
      </c>
      <c r="AM18">
        <v>3</v>
      </c>
      <c r="AN18" t="s">
        <v>1546</v>
      </c>
      <c r="AO18" t="s">
        <v>1547</v>
      </c>
      <c r="AP18" t="s">
        <v>1548</v>
      </c>
      <c r="AQ18" t="s">
        <v>472</v>
      </c>
      <c r="AR18" t="s">
        <v>1384</v>
      </c>
      <c r="AS18" t="s">
        <v>1317</v>
      </c>
      <c r="AT18" t="s">
        <v>1358</v>
      </c>
    </row>
    <row r="19" spans="1:46" x14ac:dyDescent="0.2">
      <c r="A19">
        <f>VLOOKUP(Table4[[#This Row],[Rescue_ID]],Randomize_10_20_25!$B:$D,3,FALSE)</f>
        <v>1</v>
      </c>
      <c r="B19">
        <f>VLOOKUP(Table4[[#This Row],[Rescue_ID]],InitialRandom_10_07_25!$I:$AL,30,FALSE)</f>
        <v>1</v>
      </c>
      <c r="C19" s="9">
        <f>VLOOKUP(Table4[[#This Row],[Rescue_ID]],'Experiment Tracker'!$B:$P,7,FALSE)</f>
        <v>45964</v>
      </c>
      <c r="D19" s="8" t="str">
        <f>VLOOKUP(Table4[[#This Row],[Rescue_ID]],'Experiment Tracker'!$B:$P,6,FALSE)</f>
        <v>Dingo is a sweet, gentle boy who’s great with both kids and other dogs! This handsome tan-and-white Hound/American Eskimo mix is thriving in his foster home and showing just how loving and easygoing he can be. Dingo enjoys calm walks, playtime with friends, and relaxing by your side when the day winds down. He’s friendly, affectionate, and has a soft spot for gentle attention—always happy to be part of the family fun. With his kind eyes and loyal heart, Dingo is ready to bring warmth, companionship, and plenty of love to his forever home.</v>
      </c>
      <c r="F19">
        <f>VLOOKUP(Table4[[#This Row],[Rescue_ID]],'Experiment Tracker'!$B:$I,8,FALSE)</f>
        <v>93.4</v>
      </c>
      <c r="H19" t="str">
        <f>VLOOKUP(Table4[[#This Row],[Primary_Breed]],'Breed Group'!$A:$B,2,FALSE)</f>
        <v>Non-Stigma</v>
      </c>
      <c r="I19" t="str">
        <f>IF(VLOOKUP($K19,'Consolidated Data - Static'!$K:$AM,2,FALSE)&lt;&gt;VLOOKUP($K19,'Consolidated Data - Dynamic'!$D:$AF,2,FALSE),"Name-AdoptAPet Mismatch",IF(VLOOKUP($K19,'Consolidated Data - Static'!$K:$AM,3,FALSE)&lt;&gt;VLOOKUP($K19,'Consolidated Data - Dynamic'!$D:$AF,3,FALSE),"Name-PetPoint Mismatch",IF(VLOOKUP($K19,'Consolidated Data - Static'!$K:$AM,4,FALSE)&lt;&gt;VLOOKUP($K19,'Consolidated Data - Dynamic'!$D:$AF,4,FALSE),"Name-Inventory Mismatch", IF(VLOOKUP($K19,'Consolidated Data - Static'!$K:$AM,5,FALSE)&lt;&gt;VLOOKUP($K19,'Consolidated Data - Dynamic'!$D:$AF,5,FALSE),"Primary Breed Mismatch",IF(VLOOKUP($K19,'Consolidated Data - Static'!$K:$AM,6,FALSE)&lt;&gt;VLOOKUP($K19,'Consolidated Data - Dynamic'!$D:$AF,6,FALSE),"Secondary Breed Mismatch", IF(VLOOKUP($K19,'Consolidated Data - Static'!$K:$AM,7,FALSE)&lt;&gt;VLOOKUP($K19,'Consolidated Data - Dynamic'!$D:$AF,7,FALSE),"Color Mismatch",IF(VLOOKUP($K19,'Consolidated Data - Static'!$K:$AM,8,FALSE)&lt;&gt;VLOOKUP($K19,'Consolidated Data - Dynamic'!$D:$AF,8,FALSE),"Sex Mismatch",IF(VLOOKUP($K19,'Consolidated Data - Static'!$K:$AM,9,FALSE)&lt;&gt;VLOOKUP($K19,'Consolidated Data - Dynamic'!$D:$AF,9,FALSE),"Age Mismatch",IF(VLOOKUP($K19,'Consolidated Data - Static'!$K:$AM,10,FALSE)&lt;&gt;VLOOKUP($K19,'Consolidated Data - Dynamic'!$D:$AF,10,FALSE),"Size Mismatch",IF(VLOOKUP($K19,'Consolidated Data - Static'!$K:$AM,11,FALSE)&lt;&gt;VLOOKUP($K19,'Consolidated Data - Dynamic'!$D:$AF,11,FALSE),"Mixed Mismatch",IF(VLOOKUP($K19,'Consolidated Data - Static'!$K:$AM,12,FALSE)&lt;&gt;VLOOKUP($K19,'Consolidated Data - Dynamic'!$D:$AF,12,FALSE),"Altered Mismatch",IF(VLOOKUP($K19,'Consolidated Data - Static'!$K:$AM,13,FALSE)&lt;&gt;VLOOKUP($K19,'Consolidated Data - Dynamic'!$D:$AF,13,FALSE),"Shots Current Mismatch",IF(VLOOKUP($K19,'Consolidated Data - Static'!$K:$AM,14,FALSE)&lt;&gt;VLOOKUP($K19,'Consolidated Data - Dynamic'!$D:$AF,14,FALSE),"Housebroken Mismatch",IF(VLOOKUP($K19,'Consolidated Data - Static'!$K:$AM,15,FALSE)&lt;&gt;VLOOKUP($K19,'Consolidated Data - Dynamic'!$D:$AF,15,FALSE),"Special Needs Mismatch",IF(VLOOKUP($K19,'Consolidated Data - Static'!$K:$AM,16,FALSE)&lt;&gt;VLOOKUP($K19,'Consolidated Data - Dynamic'!$D:$AF,16,FALSE),"OK w/kids Mismatch",IF(VLOOKUP($K19,'Consolidated Data - Static'!$K:$AM,17,FALSE)&lt;&gt;VLOOKUP($K19,'Consolidated Data - Dynamic'!$D:$AF,17,FALSE),"OK w/dogs Mismatch",IF(VLOOKUP($K19,'Consolidated Data - Static'!$K:$AM,18,FALSE)&lt;&gt;VLOOKUP($K19,'Consolidated Data - Dynamic'!$D:$AF,18,FALSE),"OK w/cats Mismatch",IF(VLOOKUP($K19,'Consolidated Data - Static'!$K:$AM,19,FALSE)&lt;&gt;VLOOKUP($K19,'Consolidated Data - Dynamic'!$D:$AF,19,FALSE),"Pre Treatment Description Mismatch",IF(VLOOKUP($K19,'Consolidated Data - Static'!$K:$AM,20,FALSE)&lt;&gt;VLOOKUP($K19,'Consolidated Data - Dynamic'!$D:$AF,20,FALSE),"Stage Mismatch",IF(VLOOKUP($K19,'Consolidated Data - Static'!$K:$AM,21,FALSE)&lt;&gt;VLOOKUP($K19,'Consolidated Data - Dynamic'!$D:$AF,21,FALSE),"Primary Color Mismatch",IF(VLOOKUP($K19,'Consolidated Data - Static'!$K:$AM,22,FALSE)&lt;&gt;VLOOKUP($K19,'Consolidated Data - Dynamic'!$D:$AF,22,FALSE),"Location Mismatch",IF(VLOOKUP($K19,'Consolidated Data - Static'!$K:$AM,23,FALSE)&lt;&gt;VLOOKUP($K19,'Consolidated Data - Dynamic'!$D:$AF,23,FALSE),"Intake Type Mismatch",IF(VLOOKUP($K19,'Consolidated Data - Static'!$K:$AM,24,FALSE)&lt;&gt;VLOOKUP($K19,'Consolidated Data - Dynamic'!$D:$AF,24,FALSE),"Emancipation Date Mismatch",IF(VLOOKUP($K19,'Consolidated Data - Static'!$K:$AM,25,FALSE)&lt;&gt;VLOOKUP($K19,'Consolidated Data - Dynamic'!$D:$AF,25,FALSE),"Intake Date Mismatch",IF(VLOOKUP($K19,'Consolidated Data - Static'!$K:$AM,26,FALSE)&lt;&gt;VLOOKUP($K19,'Consolidated Data - Dynamic'!$D:$AF,26,FALSE),"LOS Days Mismatch",IF(VLOOKUP($K19,'Consolidated Data - Static'!$K:$AM,27,FALSE)&lt;&gt;VLOOKUP($K19,'Consolidated Data - Dynamic'!$D:$AF,27,FALSE),"Stage Change Mismatch",IF(VLOOKUP($K19,'Consolidated Data - Static'!$K:$AM,28,FALSE)&lt;&gt;VLOOKUP($K19,'Consolidated Data - Dynamic'!$D:$AF,28,FALSE),"Animal Weight Mismatch",IF(VLOOKUP($K19,'Consolidated Data - Static'!$K:$AM,29,FALSE)&lt;&gt;VLOOKUP($K19,'Consolidated Data - Dynamic'!$D:$AF,29,FALSE),"Number of Pictures Mismatch", "Record Match"))))))))))))))))))))))))))))</f>
        <v>Record Match</v>
      </c>
      <c r="J19">
        <v>45763997</v>
      </c>
      <c r="K19" t="s">
        <v>316</v>
      </c>
      <c r="L19" t="s">
        <v>317</v>
      </c>
      <c r="M19" t="s">
        <v>705</v>
      </c>
      <c r="N19" t="s">
        <v>705</v>
      </c>
      <c r="O19" t="s">
        <v>96</v>
      </c>
      <c r="P19" t="s">
        <v>122</v>
      </c>
      <c r="Q19" t="s">
        <v>123</v>
      </c>
      <c r="R19" t="s">
        <v>48</v>
      </c>
      <c r="S19" t="s">
        <v>37</v>
      </c>
      <c r="T19" t="s">
        <v>50</v>
      </c>
      <c r="U19" t="s">
        <v>39</v>
      </c>
      <c r="V19" t="s">
        <v>39</v>
      </c>
      <c r="W19" t="s">
        <v>39</v>
      </c>
      <c r="X19" t="s">
        <v>41</v>
      </c>
      <c r="Y19" t="s">
        <v>41</v>
      </c>
      <c r="Z19" t="s">
        <v>39</v>
      </c>
      <c r="AA19" t="s">
        <v>39</v>
      </c>
      <c r="AB19" t="s">
        <v>40</v>
      </c>
      <c r="AC19" t="s">
        <v>39</v>
      </c>
      <c r="AD19" t="s">
        <v>461</v>
      </c>
      <c r="AE19" t="s">
        <v>448</v>
      </c>
      <c r="AF19" t="s">
        <v>446</v>
      </c>
      <c r="AG19" t="s">
        <v>887</v>
      </c>
      <c r="AH19" s="9">
        <v>45876.414583333331</v>
      </c>
      <c r="AI19" s="9">
        <v>45871.414583333331</v>
      </c>
      <c r="AJ19">
        <v>107.4</v>
      </c>
      <c r="AK19">
        <v>0</v>
      </c>
      <c r="AL19" t="s">
        <v>953</v>
      </c>
      <c r="AM19">
        <v>3</v>
      </c>
      <c r="AN19" t="s">
        <v>1541</v>
      </c>
      <c r="AO19" t="s">
        <v>1364</v>
      </c>
      <c r="AP19" t="s">
        <v>1500</v>
      </c>
      <c r="AQ19" t="s">
        <v>472</v>
      </c>
      <c r="AR19" t="s">
        <v>1391</v>
      </c>
      <c r="AS19" t="s">
        <v>1549</v>
      </c>
      <c r="AT19" t="s">
        <v>1363</v>
      </c>
    </row>
    <row r="20" spans="1:46" x14ac:dyDescent="0.2">
      <c r="A20">
        <f>VLOOKUP(Table4[[#This Row],[Rescue_ID]],Randomize_10_20_25!$B:$D,3,FALSE)</f>
        <v>0</v>
      </c>
      <c r="B20">
        <f>VLOOKUP(Table4[[#This Row],[Rescue_ID]],InitialRandom_10_07_25!$I:$AL,30,FALSE)</f>
        <v>0</v>
      </c>
      <c r="C20" s="9">
        <f>VLOOKUP(Table4[[#This Row],[Rescue_ID]],'Experiment Tracker'!$B:$P,7,FALSE)</f>
        <v>0</v>
      </c>
      <c r="D20" s="8">
        <f>VLOOKUP(Table4[[#This Row],[Rescue_ID]],'Experiment Tracker'!$B:$P,6,FALSE)</f>
        <v>0</v>
      </c>
      <c r="F20">
        <f>VLOOKUP(Table4[[#This Row],[Rescue_ID]],'Experiment Tracker'!$B:$I,8,FALSE)</f>
        <v>74.8</v>
      </c>
      <c r="H20" t="str">
        <f>VLOOKUP(Table4[[#This Row],[Primary_Breed]],'Breed Group'!$A:$B,2,FALSE)</f>
        <v>Stigma</v>
      </c>
      <c r="I20" t="str">
        <f>IF(VLOOKUP($K20,'Consolidated Data - Static'!$K:$AM,2,FALSE)&lt;&gt;VLOOKUP($K20,'Consolidated Data - Dynamic'!$D:$AF,2,FALSE),"Name-AdoptAPet Mismatch",IF(VLOOKUP($K20,'Consolidated Data - Static'!$K:$AM,3,FALSE)&lt;&gt;VLOOKUP($K20,'Consolidated Data - Dynamic'!$D:$AF,3,FALSE),"Name-PetPoint Mismatch",IF(VLOOKUP($K20,'Consolidated Data - Static'!$K:$AM,4,FALSE)&lt;&gt;VLOOKUP($K20,'Consolidated Data - Dynamic'!$D:$AF,4,FALSE),"Name-Inventory Mismatch", IF(VLOOKUP($K20,'Consolidated Data - Static'!$K:$AM,5,FALSE)&lt;&gt;VLOOKUP($K20,'Consolidated Data - Dynamic'!$D:$AF,5,FALSE),"Primary Breed Mismatch",IF(VLOOKUP($K20,'Consolidated Data - Static'!$K:$AM,6,FALSE)&lt;&gt;VLOOKUP($K20,'Consolidated Data - Dynamic'!$D:$AF,6,FALSE),"Secondary Breed Mismatch", IF(VLOOKUP($K20,'Consolidated Data - Static'!$K:$AM,7,FALSE)&lt;&gt;VLOOKUP($K20,'Consolidated Data - Dynamic'!$D:$AF,7,FALSE),"Color Mismatch",IF(VLOOKUP($K20,'Consolidated Data - Static'!$K:$AM,8,FALSE)&lt;&gt;VLOOKUP($K20,'Consolidated Data - Dynamic'!$D:$AF,8,FALSE),"Sex Mismatch",IF(VLOOKUP($K20,'Consolidated Data - Static'!$K:$AM,9,FALSE)&lt;&gt;VLOOKUP($K20,'Consolidated Data - Dynamic'!$D:$AF,9,FALSE),"Age Mismatch",IF(VLOOKUP($K20,'Consolidated Data - Static'!$K:$AM,10,FALSE)&lt;&gt;VLOOKUP($K20,'Consolidated Data - Dynamic'!$D:$AF,10,FALSE),"Size Mismatch",IF(VLOOKUP($K20,'Consolidated Data - Static'!$K:$AM,11,FALSE)&lt;&gt;VLOOKUP($K20,'Consolidated Data - Dynamic'!$D:$AF,11,FALSE),"Mixed Mismatch",IF(VLOOKUP($K20,'Consolidated Data - Static'!$K:$AM,12,FALSE)&lt;&gt;VLOOKUP($K20,'Consolidated Data - Dynamic'!$D:$AF,12,FALSE),"Altered Mismatch",IF(VLOOKUP($K20,'Consolidated Data - Static'!$K:$AM,13,FALSE)&lt;&gt;VLOOKUP($K20,'Consolidated Data - Dynamic'!$D:$AF,13,FALSE),"Shots Current Mismatch",IF(VLOOKUP($K20,'Consolidated Data - Static'!$K:$AM,14,FALSE)&lt;&gt;VLOOKUP($K20,'Consolidated Data - Dynamic'!$D:$AF,14,FALSE),"Housebroken Mismatch",IF(VLOOKUP($K20,'Consolidated Data - Static'!$K:$AM,15,FALSE)&lt;&gt;VLOOKUP($K20,'Consolidated Data - Dynamic'!$D:$AF,15,FALSE),"Special Needs Mismatch",IF(VLOOKUP($K20,'Consolidated Data - Static'!$K:$AM,16,FALSE)&lt;&gt;VLOOKUP($K20,'Consolidated Data - Dynamic'!$D:$AF,16,FALSE),"OK w/kids Mismatch",IF(VLOOKUP($K20,'Consolidated Data - Static'!$K:$AM,17,FALSE)&lt;&gt;VLOOKUP($K20,'Consolidated Data - Dynamic'!$D:$AF,17,FALSE),"OK w/dogs Mismatch",IF(VLOOKUP($K20,'Consolidated Data - Static'!$K:$AM,18,FALSE)&lt;&gt;VLOOKUP($K20,'Consolidated Data - Dynamic'!$D:$AF,18,FALSE),"OK w/cats Mismatch",IF(VLOOKUP($K20,'Consolidated Data - Static'!$K:$AM,19,FALSE)&lt;&gt;VLOOKUP($K20,'Consolidated Data - Dynamic'!$D:$AF,19,FALSE),"Pre Treatment Description Mismatch",IF(VLOOKUP($K20,'Consolidated Data - Static'!$K:$AM,20,FALSE)&lt;&gt;VLOOKUP($K20,'Consolidated Data - Dynamic'!$D:$AF,20,FALSE),"Stage Mismatch",IF(VLOOKUP($K20,'Consolidated Data - Static'!$K:$AM,21,FALSE)&lt;&gt;VLOOKUP($K20,'Consolidated Data - Dynamic'!$D:$AF,21,FALSE),"Primary Color Mismatch",IF(VLOOKUP($K20,'Consolidated Data - Static'!$K:$AM,22,FALSE)&lt;&gt;VLOOKUP($K20,'Consolidated Data - Dynamic'!$D:$AF,22,FALSE),"Location Mismatch",IF(VLOOKUP($K20,'Consolidated Data - Static'!$K:$AM,23,FALSE)&lt;&gt;VLOOKUP($K20,'Consolidated Data - Dynamic'!$D:$AF,23,FALSE),"Intake Type Mismatch",IF(VLOOKUP($K20,'Consolidated Data - Static'!$K:$AM,24,FALSE)&lt;&gt;VLOOKUP($K20,'Consolidated Data - Dynamic'!$D:$AF,24,FALSE),"Emancipation Date Mismatch",IF(VLOOKUP($K20,'Consolidated Data - Static'!$K:$AM,25,FALSE)&lt;&gt;VLOOKUP($K20,'Consolidated Data - Dynamic'!$D:$AF,25,FALSE),"Intake Date Mismatch",IF(VLOOKUP($K20,'Consolidated Data - Static'!$K:$AM,26,FALSE)&lt;&gt;VLOOKUP($K20,'Consolidated Data - Dynamic'!$D:$AF,26,FALSE),"LOS Days Mismatch",IF(VLOOKUP($K20,'Consolidated Data - Static'!$K:$AM,27,FALSE)&lt;&gt;VLOOKUP($K20,'Consolidated Data - Dynamic'!$D:$AF,27,FALSE),"Stage Change Mismatch",IF(VLOOKUP($K20,'Consolidated Data - Static'!$K:$AM,28,FALSE)&lt;&gt;VLOOKUP($K20,'Consolidated Data - Dynamic'!$D:$AF,28,FALSE),"Animal Weight Mismatch",IF(VLOOKUP($K20,'Consolidated Data - Static'!$K:$AM,29,FALSE)&lt;&gt;VLOOKUP($K20,'Consolidated Data - Dynamic'!$D:$AF,29,FALSE),"Number of Pictures Mismatch", "Record Match"))))))))))))))))))))))))))))</f>
        <v>Record Match</v>
      </c>
      <c r="J20">
        <v>45764004</v>
      </c>
      <c r="K20" t="s">
        <v>321</v>
      </c>
      <c r="L20" t="s">
        <v>322</v>
      </c>
      <c r="M20" t="s">
        <v>322</v>
      </c>
      <c r="N20" t="s">
        <v>322</v>
      </c>
      <c r="O20" t="s">
        <v>53</v>
      </c>
      <c r="P20" t="s">
        <v>46</v>
      </c>
      <c r="Q20" t="s">
        <v>60</v>
      </c>
      <c r="R20" t="s">
        <v>48</v>
      </c>
      <c r="S20" t="s">
        <v>49</v>
      </c>
      <c r="T20" t="s">
        <v>50</v>
      </c>
      <c r="U20" t="s">
        <v>39</v>
      </c>
      <c r="V20" t="s">
        <v>39</v>
      </c>
      <c r="W20" t="s">
        <v>39</v>
      </c>
      <c r="X20" t="s">
        <v>41</v>
      </c>
      <c r="Y20" t="s">
        <v>41</v>
      </c>
      <c r="Z20" t="s">
        <v>39</v>
      </c>
      <c r="AA20" t="s">
        <v>39</v>
      </c>
      <c r="AB20" t="s">
        <v>39</v>
      </c>
      <c r="AC20" t="s">
        <v>41</v>
      </c>
      <c r="AD20" t="s">
        <v>461</v>
      </c>
      <c r="AE20" t="s">
        <v>448</v>
      </c>
      <c r="AF20" t="s">
        <v>492</v>
      </c>
      <c r="AG20" t="s">
        <v>887</v>
      </c>
      <c r="AH20" s="9">
        <v>45880.637499999997</v>
      </c>
      <c r="AI20" s="9">
        <v>45875.637499999997</v>
      </c>
      <c r="AJ20">
        <v>103.1</v>
      </c>
      <c r="AK20">
        <v>0</v>
      </c>
      <c r="AL20" t="s">
        <v>954</v>
      </c>
      <c r="AM20">
        <v>3</v>
      </c>
      <c r="AN20" t="s">
        <v>1328</v>
      </c>
      <c r="AO20" t="s">
        <v>1518</v>
      </c>
      <c r="AP20" t="s">
        <v>1519</v>
      </c>
      <c r="AQ20" t="s">
        <v>472</v>
      </c>
      <c r="AR20" t="s">
        <v>1275</v>
      </c>
      <c r="AS20" t="s">
        <v>1520</v>
      </c>
      <c r="AT20" t="s">
        <v>1521</v>
      </c>
    </row>
    <row r="21" spans="1:46" x14ac:dyDescent="0.2">
      <c r="A21">
        <f>VLOOKUP(Table4[[#This Row],[Rescue_ID]],Randomize_10_20_25!$B:$D,3,FALSE)</f>
        <v>0</v>
      </c>
      <c r="B21">
        <f>VLOOKUP(Table4[[#This Row],[Rescue_ID]],InitialRandom_10_07_25!$I:$AL,30,FALSE)</f>
        <v>0</v>
      </c>
      <c r="C21" s="9">
        <f>VLOOKUP(Table4[[#This Row],[Rescue_ID]],'Experiment Tracker'!$B:$P,7,FALSE)</f>
        <v>0</v>
      </c>
      <c r="D21" s="8">
        <f>VLOOKUP(Table4[[#This Row],[Rescue_ID]],'Experiment Tracker'!$B:$P,6,FALSE)</f>
        <v>0</v>
      </c>
      <c r="F21">
        <f>VLOOKUP(Table4[[#This Row],[Rescue_ID]],'Experiment Tracker'!$B:$I,8,FALSE)</f>
        <v>61.9</v>
      </c>
      <c r="H21" t="str">
        <f>VLOOKUP(Table4[[#This Row],[Primary_Breed]],'Breed Group'!$A:$B,2,FALSE)</f>
        <v>Non-Stigma</v>
      </c>
      <c r="I21" t="str">
        <f>IF(VLOOKUP($K21,'Consolidated Data - Static'!$K:$AM,2,FALSE)&lt;&gt;VLOOKUP($K21,'Consolidated Data - Dynamic'!$D:$AF,2,FALSE),"Name-AdoptAPet Mismatch",IF(VLOOKUP($K21,'Consolidated Data - Static'!$K:$AM,3,FALSE)&lt;&gt;VLOOKUP($K21,'Consolidated Data - Dynamic'!$D:$AF,3,FALSE),"Name-PetPoint Mismatch",IF(VLOOKUP($K21,'Consolidated Data - Static'!$K:$AM,4,FALSE)&lt;&gt;VLOOKUP($K21,'Consolidated Data - Dynamic'!$D:$AF,4,FALSE),"Name-Inventory Mismatch", IF(VLOOKUP($K21,'Consolidated Data - Static'!$K:$AM,5,FALSE)&lt;&gt;VLOOKUP($K21,'Consolidated Data - Dynamic'!$D:$AF,5,FALSE),"Primary Breed Mismatch",IF(VLOOKUP($K21,'Consolidated Data - Static'!$K:$AM,6,FALSE)&lt;&gt;VLOOKUP($K21,'Consolidated Data - Dynamic'!$D:$AF,6,FALSE),"Secondary Breed Mismatch", IF(VLOOKUP($K21,'Consolidated Data - Static'!$K:$AM,7,FALSE)&lt;&gt;VLOOKUP($K21,'Consolidated Data - Dynamic'!$D:$AF,7,FALSE),"Color Mismatch",IF(VLOOKUP($K21,'Consolidated Data - Static'!$K:$AM,8,FALSE)&lt;&gt;VLOOKUP($K21,'Consolidated Data - Dynamic'!$D:$AF,8,FALSE),"Sex Mismatch",IF(VLOOKUP($K21,'Consolidated Data - Static'!$K:$AM,9,FALSE)&lt;&gt;VLOOKUP($K21,'Consolidated Data - Dynamic'!$D:$AF,9,FALSE),"Age Mismatch",IF(VLOOKUP($K21,'Consolidated Data - Static'!$K:$AM,10,FALSE)&lt;&gt;VLOOKUP($K21,'Consolidated Data - Dynamic'!$D:$AF,10,FALSE),"Size Mismatch",IF(VLOOKUP($K21,'Consolidated Data - Static'!$K:$AM,11,FALSE)&lt;&gt;VLOOKUP($K21,'Consolidated Data - Dynamic'!$D:$AF,11,FALSE),"Mixed Mismatch",IF(VLOOKUP($K21,'Consolidated Data - Static'!$K:$AM,12,FALSE)&lt;&gt;VLOOKUP($K21,'Consolidated Data - Dynamic'!$D:$AF,12,FALSE),"Altered Mismatch",IF(VLOOKUP($K21,'Consolidated Data - Static'!$K:$AM,13,FALSE)&lt;&gt;VLOOKUP($K21,'Consolidated Data - Dynamic'!$D:$AF,13,FALSE),"Shots Current Mismatch",IF(VLOOKUP($K21,'Consolidated Data - Static'!$K:$AM,14,FALSE)&lt;&gt;VLOOKUP($K21,'Consolidated Data - Dynamic'!$D:$AF,14,FALSE),"Housebroken Mismatch",IF(VLOOKUP($K21,'Consolidated Data - Static'!$K:$AM,15,FALSE)&lt;&gt;VLOOKUP($K21,'Consolidated Data - Dynamic'!$D:$AF,15,FALSE),"Special Needs Mismatch",IF(VLOOKUP($K21,'Consolidated Data - Static'!$K:$AM,16,FALSE)&lt;&gt;VLOOKUP($K21,'Consolidated Data - Dynamic'!$D:$AF,16,FALSE),"OK w/kids Mismatch",IF(VLOOKUP($K21,'Consolidated Data - Static'!$K:$AM,17,FALSE)&lt;&gt;VLOOKUP($K21,'Consolidated Data - Dynamic'!$D:$AF,17,FALSE),"OK w/dogs Mismatch",IF(VLOOKUP($K21,'Consolidated Data - Static'!$K:$AM,18,FALSE)&lt;&gt;VLOOKUP($K21,'Consolidated Data - Dynamic'!$D:$AF,18,FALSE),"OK w/cats Mismatch",IF(VLOOKUP($K21,'Consolidated Data - Static'!$K:$AM,19,FALSE)&lt;&gt;VLOOKUP($K21,'Consolidated Data - Dynamic'!$D:$AF,19,FALSE),"Pre Treatment Description Mismatch",IF(VLOOKUP($K21,'Consolidated Data - Static'!$K:$AM,20,FALSE)&lt;&gt;VLOOKUP($K21,'Consolidated Data - Dynamic'!$D:$AF,20,FALSE),"Stage Mismatch",IF(VLOOKUP($K21,'Consolidated Data - Static'!$K:$AM,21,FALSE)&lt;&gt;VLOOKUP($K21,'Consolidated Data - Dynamic'!$D:$AF,21,FALSE),"Primary Color Mismatch",IF(VLOOKUP($K21,'Consolidated Data - Static'!$K:$AM,22,FALSE)&lt;&gt;VLOOKUP($K21,'Consolidated Data - Dynamic'!$D:$AF,22,FALSE),"Location Mismatch",IF(VLOOKUP($K21,'Consolidated Data - Static'!$K:$AM,23,FALSE)&lt;&gt;VLOOKUP($K21,'Consolidated Data - Dynamic'!$D:$AF,23,FALSE),"Intake Type Mismatch",IF(VLOOKUP($K21,'Consolidated Data - Static'!$K:$AM,24,FALSE)&lt;&gt;VLOOKUP($K21,'Consolidated Data - Dynamic'!$D:$AF,24,FALSE),"Emancipation Date Mismatch",IF(VLOOKUP($K21,'Consolidated Data - Static'!$K:$AM,25,FALSE)&lt;&gt;VLOOKUP($K21,'Consolidated Data - Dynamic'!$D:$AF,25,FALSE),"Intake Date Mismatch",IF(VLOOKUP($K21,'Consolidated Data - Static'!$K:$AM,26,FALSE)&lt;&gt;VLOOKUP($K21,'Consolidated Data - Dynamic'!$D:$AF,26,FALSE),"LOS Days Mismatch",IF(VLOOKUP($K21,'Consolidated Data - Static'!$K:$AM,27,FALSE)&lt;&gt;VLOOKUP($K21,'Consolidated Data - Dynamic'!$D:$AF,27,FALSE),"Stage Change Mismatch",IF(VLOOKUP($K21,'Consolidated Data - Static'!$K:$AM,28,FALSE)&lt;&gt;VLOOKUP($K21,'Consolidated Data - Dynamic'!$D:$AF,28,FALSE),"Animal Weight Mismatch",IF(VLOOKUP($K21,'Consolidated Data - Static'!$K:$AM,29,FALSE)&lt;&gt;VLOOKUP($K21,'Consolidated Data - Dynamic'!$D:$AF,29,FALSE),"Number of Pictures Mismatch", "Record Match"))))))))))))))))))))))))))))</f>
        <v>Record Match</v>
      </c>
      <c r="J21">
        <v>45764020</v>
      </c>
      <c r="K21" t="s">
        <v>327</v>
      </c>
      <c r="L21" t="s">
        <v>2193</v>
      </c>
      <c r="M21" t="s">
        <v>2747</v>
      </c>
      <c r="N21" t="s">
        <v>2747</v>
      </c>
      <c r="O21" t="s">
        <v>253</v>
      </c>
      <c r="P21" t="s">
        <v>252</v>
      </c>
      <c r="Q21" t="s">
        <v>254</v>
      </c>
      <c r="R21" t="s">
        <v>48</v>
      </c>
      <c r="S21" t="s">
        <v>49</v>
      </c>
      <c r="T21" t="s">
        <v>50</v>
      </c>
      <c r="U21" t="s">
        <v>39</v>
      </c>
      <c r="V21" t="s">
        <v>39</v>
      </c>
      <c r="W21" t="s">
        <v>39</v>
      </c>
      <c r="X21" t="s">
        <v>41</v>
      </c>
      <c r="Y21" t="s">
        <v>41</v>
      </c>
      <c r="Z21" t="s">
        <v>39</v>
      </c>
      <c r="AA21" t="s">
        <v>39</v>
      </c>
      <c r="AB21" t="s">
        <v>40</v>
      </c>
      <c r="AC21" t="s">
        <v>41</v>
      </c>
      <c r="AD21" t="s">
        <v>461</v>
      </c>
      <c r="AE21" t="s">
        <v>138</v>
      </c>
      <c r="AF21" t="s">
        <v>446</v>
      </c>
      <c r="AG21" t="s">
        <v>887</v>
      </c>
      <c r="AH21" s="9">
        <v>45893.589583333334</v>
      </c>
      <c r="AI21" s="9">
        <v>45888.589583333334</v>
      </c>
      <c r="AJ21">
        <v>90.2</v>
      </c>
      <c r="AK21">
        <v>0</v>
      </c>
      <c r="AL21" t="s">
        <v>957</v>
      </c>
      <c r="AM21">
        <v>3</v>
      </c>
      <c r="AN21" t="s">
        <v>1552</v>
      </c>
      <c r="AO21" t="s">
        <v>1553</v>
      </c>
      <c r="AP21" t="s">
        <v>1554</v>
      </c>
      <c r="AQ21" t="s">
        <v>1345</v>
      </c>
      <c r="AR21" t="s">
        <v>1549</v>
      </c>
      <c r="AS21" t="s">
        <v>1555</v>
      </c>
      <c r="AT21" t="s">
        <v>1556</v>
      </c>
    </row>
    <row r="22" spans="1:46" x14ac:dyDescent="0.2">
      <c r="A22">
        <f>VLOOKUP(Table4[[#This Row],[Rescue_ID]],Randomize_10_20_25!$B:$D,3,FALSE)</f>
        <v>0</v>
      </c>
      <c r="B22">
        <f>VLOOKUP(Table4[[#This Row],[Rescue_ID]],InitialRandom_10_07_25!$I:$AL,30,FALSE)</f>
        <v>0</v>
      </c>
      <c r="C22" s="9">
        <f>VLOOKUP(Table4[[#This Row],[Rescue_ID]],'Experiment Tracker'!$B:$P,7,FALSE)</f>
        <v>0</v>
      </c>
      <c r="D22" s="8">
        <f>VLOOKUP(Table4[[#This Row],[Rescue_ID]],'Experiment Tracker'!$B:$P,6,FALSE)</f>
        <v>0</v>
      </c>
      <c r="F22">
        <f>VLOOKUP(Table4[[#This Row],[Rescue_ID]],'Experiment Tracker'!$B:$I,8,FALSE)</f>
        <v>59</v>
      </c>
      <c r="H22" t="str">
        <f>VLOOKUP(Table4[[#This Row],[Primary_Breed]],'Breed Group'!$A:$B,2,FALSE)</f>
        <v>Non-Stigma</v>
      </c>
      <c r="I22" t="str">
        <f>IF(VLOOKUP($K22,'Consolidated Data - Static'!$K:$AM,2,FALSE)&lt;&gt;VLOOKUP($K22,'Consolidated Data - Dynamic'!$D:$AF,2,FALSE),"Name-AdoptAPet Mismatch",IF(VLOOKUP($K22,'Consolidated Data - Static'!$K:$AM,3,FALSE)&lt;&gt;VLOOKUP($K22,'Consolidated Data - Dynamic'!$D:$AF,3,FALSE),"Name-PetPoint Mismatch",IF(VLOOKUP($K22,'Consolidated Data - Static'!$K:$AM,4,FALSE)&lt;&gt;VLOOKUP($K22,'Consolidated Data - Dynamic'!$D:$AF,4,FALSE),"Name-Inventory Mismatch", IF(VLOOKUP($K22,'Consolidated Data - Static'!$K:$AM,5,FALSE)&lt;&gt;VLOOKUP($K22,'Consolidated Data - Dynamic'!$D:$AF,5,FALSE),"Primary Breed Mismatch",IF(VLOOKUP($K22,'Consolidated Data - Static'!$K:$AM,6,FALSE)&lt;&gt;VLOOKUP($K22,'Consolidated Data - Dynamic'!$D:$AF,6,FALSE),"Secondary Breed Mismatch", IF(VLOOKUP($K22,'Consolidated Data - Static'!$K:$AM,7,FALSE)&lt;&gt;VLOOKUP($K22,'Consolidated Data - Dynamic'!$D:$AF,7,FALSE),"Color Mismatch",IF(VLOOKUP($K22,'Consolidated Data - Static'!$K:$AM,8,FALSE)&lt;&gt;VLOOKUP($K22,'Consolidated Data - Dynamic'!$D:$AF,8,FALSE),"Sex Mismatch",IF(VLOOKUP($K22,'Consolidated Data - Static'!$K:$AM,9,FALSE)&lt;&gt;VLOOKUP($K22,'Consolidated Data - Dynamic'!$D:$AF,9,FALSE),"Age Mismatch",IF(VLOOKUP($K22,'Consolidated Data - Static'!$K:$AM,10,FALSE)&lt;&gt;VLOOKUP($K22,'Consolidated Data - Dynamic'!$D:$AF,10,FALSE),"Size Mismatch",IF(VLOOKUP($K22,'Consolidated Data - Static'!$K:$AM,11,FALSE)&lt;&gt;VLOOKUP($K22,'Consolidated Data - Dynamic'!$D:$AF,11,FALSE),"Mixed Mismatch",IF(VLOOKUP($K22,'Consolidated Data - Static'!$K:$AM,12,FALSE)&lt;&gt;VLOOKUP($K22,'Consolidated Data - Dynamic'!$D:$AF,12,FALSE),"Altered Mismatch",IF(VLOOKUP($K22,'Consolidated Data - Static'!$K:$AM,13,FALSE)&lt;&gt;VLOOKUP($K22,'Consolidated Data - Dynamic'!$D:$AF,13,FALSE),"Shots Current Mismatch",IF(VLOOKUP($K22,'Consolidated Data - Static'!$K:$AM,14,FALSE)&lt;&gt;VLOOKUP($K22,'Consolidated Data - Dynamic'!$D:$AF,14,FALSE),"Housebroken Mismatch",IF(VLOOKUP($K22,'Consolidated Data - Static'!$K:$AM,15,FALSE)&lt;&gt;VLOOKUP($K22,'Consolidated Data - Dynamic'!$D:$AF,15,FALSE),"Special Needs Mismatch",IF(VLOOKUP($K22,'Consolidated Data - Static'!$K:$AM,16,FALSE)&lt;&gt;VLOOKUP($K22,'Consolidated Data - Dynamic'!$D:$AF,16,FALSE),"OK w/kids Mismatch",IF(VLOOKUP($K22,'Consolidated Data - Static'!$K:$AM,17,FALSE)&lt;&gt;VLOOKUP($K22,'Consolidated Data - Dynamic'!$D:$AF,17,FALSE),"OK w/dogs Mismatch",IF(VLOOKUP($K22,'Consolidated Data - Static'!$K:$AM,18,FALSE)&lt;&gt;VLOOKUP($K22,'Consolidated Data - Dynamic'!$D:$AF,18,FALSE),"OK w/cats Mismatch",IF(VLOOKUP($K22,'Consolidated Data - Static'!$K:$AM,19,FALSE)&lt;&gt;VLOOKUP($K22,'Consolidated Data - Dynamic'!$D:$AF,19,FALSE),"Pre Treatment Description Mismatch",IF(VLOOKUP($K22,'Consolidated Data - Static'!$K:$AM,20,FALSE)&lt;&gt;VLOOKUP($K22,'Consolidated Data - Dynamic'!$D:$AF,20,FALSE),"Stage Mismatch",IF(VLOOKUP($K22,'Consolidated Data - Static'!$K:$AM,21,FALSE)&lt;&gt;VLOOKUP($K22,'Consolidated Data - Dynamic'!$D:$AF,21,FALSE),"Primary Color Mismatch",IF(VLOOKUP($K22,'Consolidated Data - Static'!$K:$AM,22,FALSE)&lt;&gt;VLOOKUP($K22,'Consolidated Data - Dynamic'!$D:$AF,22,FALSE),"Location Mismatch",IF(VLOOKUP($K22,'Consolidated Data - Static'!$K:$AM,23,FALSE)&lt;&gt;VLOOKUP($K22,'Consolidated Data - Dynamic'!$D:$AF,23,FALSE),"Intake Type Mismatch",IF(VLOOKUP($K22,'Consolidated Data - Static'!$K:$AM,24,FALSE)&lt;&gt;VLOOKUP($K22,'Consolidated Data - Dynamic'!$D:$AF,24,FALSE),"Emancipation Date Mismatch",IF(VLOOKUP($K22,'Consolidated Data - Static'!$K:$AM,25,FALSE)&lt;&gt;VLOOKUP($K22,'Consolidated Data - Dynamic'!$D:$AF,25,FALSE),"Intake Date Mismatch",IF(VLOOKUP($K22,'Consolidated Data - Static'!$K:$AM,26,FALSE)&lt;&gt;VLOOKUP($K22,'Consolidated Data - Dynamic'!$D:$AF,26,FALSE),"LOS Days Mismatch",IF(VLOOKUP($K22,'Consolidated Data - Static'!$K:$AM,27,FALSE)&lt;&gt;VLOOKUP($K22,'Consolidated Data - Dynamic'!$D:$AF,27,FALSE),"Stage Change Mismatch",IF(VLOOKUP($K22,'Consolidated Data - Static'!$K:$AM,28,FALSE)&lt;&gt;VLOOKUP($K22,'Consolidated Data - Dynamic'!$D:$AF,28,FALSE),"Animal Weight Mismatch",IF(VLOOKUP($K22,'Consolidated Data - Static'!$K:$AM,29,FALSE)&lt;&gt;VLOOKUP($K22,'Consolidated Data - Dynamic'!$D:$AF,29,FALSE),"Number of Pictures Mismatch", "Record Match"))))))))))))))))))))))))))))</f>
        <v>Record Match</v>
      </c>
      <c r="J22">
        <v>45764028</v>
      </c>
      <c r="K22" t="s">
        <v>333</v>
      </c>
      <c r="L22" t="s">
        <v>334</v>
      </c>
      <c r="M22" t="s">
        <v>334</v>
      </c>
      <c r="N22" t="s">
        <v>334</v>
      </c>
      <c r="O22" t="s">
        <v>335</v>
      </c>
      <c r="P22" t="s">
        <v>336</v>
      </c>
      <c r="Q22" t="s">
        <v>117</v>
      </c>
      <c r="R22" t="s">
        <v>48</v>
      </c>
      <c r="S22" t="s">
        <v>49</v>
      </c>
      <c r="T22" t="s">
        <v>50</v>
      </c>
      <c r="U22" t="s">
        <v>39</v>
      </c>
      <c r="V22" t="s">
        <v>39</v>
      </c>
      <c r="W22" t="s">
        <v>39</v>
      </c>
      <c r="X22" t="s">
        <v>41</v>
      </c>
      <c r="Y22" t="s">
        <v>41</v>
      </c>
      <c r="Z22" t="s">
        <v>39</v>
      </c>
      <c r="AA22" t="s">
        <v>39</v>
      </c>
      <c r="AB22" t="s">
        <v>40</v>
      </c>
      <c r="AC22" t="s">
        <v>41</v>
      </c>
      <c r="AD22" t="s">
        <v>461</v>
      </c>
      <c r="AE22" t="s">
        <v>742</v>
      </c>
      <c r="AF22" t="s">
        <v>492</v>
      </c>
      <c r="AG22" t="s">
        <v>922</v>
      </c>
      <c r="AH22" s="9">
        <v>45896.468055555553</v>
      </c>
      <c r="AI22" s="9">
        <v>45891.468055555553</v>
      </c>
      <c r="AJ22">
        <v>87.3</v>
      </c>
      <c r="AK22">
        <v>0</v>
      </c>
      <c r="AL22" t="s">
        <v>919</v>
      </c>
      <c r="AM22">
        <v>3</v>
      </c>
      <c r="AN22" t="s">
        <v>1530</v>
      </c>
      <c r="AO22" t="s">
        <v>1595</v>
      </c>
      <c r="AP22" t="s">
        <v>1596</v>
      </c>
      <c r="AQ22" t="s">
        <v>457</v>
      </c>
      <c r="AR22" t="s">
        <v>1273</v>
      </c>
      <c r="AS22" t="s">
        <v>1597</v>
      </c>
      <c r="AT22" t="s">
        <v>1268</v>
      </c>
    </row>
    <row r="23" spans="1:46" x14ac:dyDescent="0.2">
      <c r="A23">
        <f>VLOOKUP(Table4[[#This Row],[Rescue_ID]],Randomize_10_20_25!$B:$D,3,FALSE)</f>
        <v>0</v>
      </c>
      <c r="B23">
        <f>VLOOKUP(Table4[[#This Row],[Rescue_ID]],InitialRandom_10_07_25!$I:$AL,30,FALSE)</f>
        <v>0</v>
      </c>
      <c r="C23" s="9">
        <f>VLOOKUP(Table4[[#This Row],[Rescue_ID]],'Experiment Tracker'!$B:$P,7,FALSE)</f>
        <v>0</v>
      </c>
      <c r="D23" s="8">
        <f>VLOOKUP(Table4[[#This Row],[Rescue_ID]],'Experiment Tracker'!$B:$P,6,FALSE)</f>
        <v>0</v>
      </c>
      <c r="F23">
        <f>VLOOKUP(Table4[[#This Row],[Rescue_ID]],'Experiment Tracker'!$B:$I,8,FALSE)</f>
        <v>72.900000000000006</v>
      </c>
      <c r="H23" t="str">
        <f>VLOOKUP(Table4[[#This Row],[Primary_Breed]],'Breed Group'!$A:$B,2,FALSE)</f>
        <v>Stigma</v>
      </c>
      <c r="I23" t="str">
        <f>IF(VLOOKUP($K23,'Consolidated Data - Static'!$K:$AM,2,FALSE)&lt;&gt;VLOOKUP($K23,'Consolidated Data - Dynamic'!$D:$AF,2,FALSE),"Name-AdoptAPet Mismatch",IF(VLOOKUP($K23,'Consolidated Data - Static'!$K:$AM,3,FALSE)&lt;&gt;VLOOKUP($K23,'Consolidated Data - Dynamic'!$D:$AF,3,FALSE),"Name-PetPoint Mismatch",IF(VLOOKUP($K23,'Consolidated Data - Static'!$K:$AM,4,FALSE)&lt;&gt;VLOOKUP($K23,'Consolidated Data - Dynamic'!$D:$AF,4,FALSE),"Name-Inventory Mismatch", IF(VLOOKUP($K23,'Consolidated Data - Static'!$K:$AM,5,FALSE)&lt;&gt;VLOOKUP($K23,'Consolidated Data - Dynamic'!$D:$AF,5,FALSE),"Primary Breed Mismatch",IF(VLOOKUP($K23,'Consolidated Data - Static'!$K:$AM,6,FALSE)&lt;&gt;VLOOKUP($K23,'Consolidated Data - Dynamic'!$D:$AF,6,FALSE),"Secondary Breed Mismatch", IF(VLOOKUP($K23,'Consolidated Data - Static'!$K:$AM,7,FALSE)&lt;&gt;VLOOKUP($K23,'Consolidated Data - Dynamic'!$D:$AF,7,FALSE),"Color Mismatch",IF(VLOOKUP($K23,'Consolidated Data - Static'!$K:$AM,8,FALSE)&lt;&gt;VLOOKUP($K23,'Consolidated Data - Dynamic'!$D:$AF,8,FALSE),"Sex Mismatch",IF(VLOOKUP($K23,'Consolidated Data - Static'!$K:$AM,9,FALSE)&lt;&gt;VLOOKUP($K23,'Consolidated Data - Dynamic'!$D:$AF,9,FALSE),"Age Mismatch",IF(VLOOKUP($K23,'Consolidated Data - Static'!$K:$AM,10,FALSE)&lt;&gt;VLOOKUP($K23,'Consolidated Data - Dynamic'!$D:$AF,10,FALSE),"Size Mismatch",IF(VLOOKUP($K23,'Consolidated Data - Static'!$K:$AM,11,FALSE)&lt;&gt;VLOOKUP($K23,'Consolidated Data - Dynamic'!$D:$AF,11,FALSE),"Mixed Mismatch",IF(VLOOKUP($K23,'Consolidated Data - Static'!$K:$AM,12,FALSE)&lt;&gt;VLOOKUP($K23,'Consolidated Data - Dynamic'!$D:$AF,12,FALSE),"Altered Mismatch",IF(VLOOKUP($K23,'Consolidated Data - Static'!$K:$AM,13,FALSE)&lt;&gt;VLOOKUP($K23,'Consolidated Data - Dynamic'!$D:$AF,13,FALSE),"Shots Current Mismatch",IF(VLOOKUP($K23,'Consolidated Data - Static'!$K:$AM,14,FALSE)&lt;&gt;VLOOKUP($K23,'Consolidated Data - Dynamic'!$D:$AF,14,FALSE),"Housebroken Mismatch",IF(VLOOKUP($K23,'Consolidated Data - Static'!$K:$AM,15,FALSE)&lt;&gt;VLOOKUP($K23,'Consolidated Data - Dynamic'!$D:$AF,15,FALSE),"Special Needs Mismatch",IF(VLOOKUP($K23,'Consolidated Data - Static'!$K:$AM,16,FALSE)&lt;&gt;VLOOKUP($K23,'Consolidated Data - Dynamic'!$D:$AF,16,FALSE),"OK w/kids Mismatch",IF(VLOOKUP($K23,'Consolidated Data - Static'!$K:$AM,17,FALSE)&lt;&gt;VLOOKUP($K23,'Consolidated Data - Dynamic'!$D:$AF,17,FALSE),"OK w/dogs Mismatch",IF(VLOOKUP($K23,'Consolidated Data - Static'!$K:$AM,18,FALSE)&lt;&gt;VLOOKUP($K23,'Consolidated Data - Dynamic'!$D:$AF,18,FALSE),"OK w/cats Mismatch",IF(VLOOKUP($K23,'Consolidated Data - Static'!$K:$AM,19,FALSE)&lt;&gt;VLOOKUP($K23,'Consolidated Data - Dynamic'!$D:$AF,19,FALSE),"Pre Treatment Description Mismatch",IF(VLOOKUP($K23,'Consolidated Data - Static'!$K:$AM,20,FALSE)&lt;&gt;VLOOKUP($K23,'Consolidated Data - Dynamic'!$D:$AF,20,FALSE),"Stage Mismatch",IF(VLOOKUP($K23,'Consolidated Data - Static'!$K:$AM,21,FALSE)&lt;&gt;VLOOKUP($K23,'Consolidated Data - Dynamic'!$D:$AF,21,FALSE),"Primary Color Mismatch",IF(VLOOKUP($K23,'Consolidated Data - Static'!$K:$AM,22,FALSE)&lt;&gt;VLOOKUP($K23,'Consolidated Data - Dynamic'!$D:$AF,22,FALSE),"Location Mismatch",IF(VLOOKUP($K23,'Consolidated Data - Static'!$K:$AM,23,FALSE)&lt;&gt;VLOOKUP($K23,'Consolidated Data - Dynamic'!$D:$AF,23,FALSE),"Intake Type Mismatch",IF(VLOOKUP($K23,'Consolidated Data - Static'!$K:$AM,24,FALSE)&lt;&gt;VLOOKUP($K23,'Consolidated Data - Dynamic'!$D:$AF,24,FALSE),"Emancipation Date Mismatch",IF(VLOOKUP($K23,'Consolidated Data - Static'!$K:$AM,25,FALSE)&lt;&gt;VLOOKUP($K23,'Consolidated Data - Dynamic'!$D:$AF,25,FALSE),"Intake Date Mismatch",IF(VLOOKUP($K23,'Consolidated Data - Static'!$K:$AM,26,FALSE)&lt;&gt;VLOOKUP($K23,'Consolidated Data - Dynamic'!$D:$AF,26,FALSE),"LOS Days Mismatch",IF(VLOOKUP($K23,'Consolidated Data - Static'!$K:$AM,27,FALSE)&lt;&gt;VLOOKUP($K23,'Consolidated Data - Dynamic'!$D:$AF,27,FALSE),"Stage Change Mismatch",IF(VLOOKUP($K23,'Consolidated Data - Static'!$K:$AM,28,FALSE)&lt;&gt;VLOOKUP($K23,'Consolidated Data - Dynamic'!$D:$AF,28,FALSE),"Animal Weight Mismatch",IF(VLOOKUP($K23,'Consolidated Data - Static'!$K:$AM,29,FALSE)&lt;&gt;VLOOKUP($K23,'Consolidated Data - Dynamic'!$D:$AF,29,FALSE),"Number of Pictures Mismatch", "Record Match"))))))))))))))))))))))))))))</f>
        <v>Record Match</v>
      </c>
      <c r="J23">
        <v>45764080</v>
      </c>
      <c r="K23" t="s">
        <v>355</v>
      </c>
      <c r="L23" t="s">
        <v>356</v>
      </c>
      <c r="M23" t="s">
        <v>356</v>
      </c>
      <c r="N23" t="s">
        <v>356</v>
      </c>
      <c r="O23" t="s">
        <v>46</v>
      </c>
      <c r="P23" t="s">
        <v>53</v>
      </c>
      <c r="Q23" t="s">
        <v>133</v>
      </c>
      <c r="R23" t="s">
        <v>36</v>
      </c>
      <c r="S23" t="s">
        <v>49</v>
      </c>
      <c r="T23" t="s">
        <v>50</v>
      </c>
      <c r="U23" t="s">
        <v>39</v>
      </c>
      <c r="V23" t="s">
        <v>39</v>
      </c>
      <c r="W23" t="s">
        <v>39</v>
      </c>
      <c r="X23" t="s">
        <v>41</v>
      </c>
      <c r="Y23" t="s">
        <v>41</v>
      </c>
      <c r="Z23" t="s">
        <v>39</v>
      </c>
      <c r="AA23" t="s">
        <v>39</v>
      </c>
      <c r="AB23" t="s">
        <v>40</v>
      </c>
      <c r="AC23" t="s">
        <v>41</v>
      </c>
      <c r="AD23" t="s">
        <v>461</v>
      </c>
      <c r="AE23" t="s">
        <v>537</v>
      </c>
      <c r="AF23" t="s">
        <v>458</v>
      </c>
      <c r="AG23" t="s">
        <v>922</v>
      </c>
      <c r="AH23" s="9">
        <v>45882.565972222219</v>
      </c>
      <c r="AI23" s="9">
        <v>45877.565972222219</v>
      </c>
      <c r="AJ23">
        <v>101.2</v>
      </c>
      <c r="AK23">
        <v>0</v>
      </c>
      <c r="AL23" t="s">
        <v>996</v>
      </c>
      <c r="AM23">
        <v>3</v>
      </c>
      <c r="AN23" t="s">
        <v>1328</v>
      </c>
      <c r="AO23" t="s">
        <v>1701</v>
      </c>
      <c r="AP23" t="s">
        <v>1702</v>
      </c>
      <c r="AQ23" t="s">
        <v>525</v>
      </c>
      <c r="AR23" t="s">
        <v>658</v>
      </c>
      <c r="AS23" t="s">
        <v>1284</v>
      </c>
      <c r="AT23" t="s">
        <v>1283</v>
      </c>
    </row>
    <row r="24" spans="1:46" x14ac:dyDescent="0.2">
      <c r="A24">
        <f>VLOOKUP(Table4[[#This Row],[Rescue_ID]],Randomize_10_20_25!$B:$D,3,FALSE)</f>
        <v>1</v>
      </c>
      <c r="B24" t="e">
        <f>VLOOKUP(Table4[[#This Row],[Rescue_ID]],InitialRandom_10_07_25!$I:$AL,30,FALSE)</f>
        <v>#N/A</v>
      </c>
      <c r="C24" s="9">
        <f>VLOOKUP(Table4[[#This Row],[Rescue_ID]],'Experiment Tracker'!$B:$P,7,FALSE)</f>
        <v>45950</v>
      </c>
      <c r="D24" s="8" t="str">
        <f>VLOOKUP(Table4[[#This Row],[Rescue_ID]],'Experiment Tracker'!$B:$P,6,FALSE)</f>
        <v>Cheech is a happy, playful pup who’s always ready for adventure! This tan-and-black Black Mouth Cur/Staffy mix is bursting with energy and joy. He loves walks, playtime, and exploring the world around him—his tail never stops wagging when he’s out and about. Cheech’s friendly, social nature makes him a hit with everyone he meets, and his sweet personality shines through in everything he does. He’s the perfect mix of fun and affection, always ready for a game or a good cuddle after a busy day. If you’re looking for a loyal, energetic companion who’ll keep you smiling and moving, Cheech is your guy!</v>
      </c>
      <c r="F24">
        <f>VLOOKUP(Table4[[#This Row],[Rescue_ID]],'Experiment Tracker'!$B:$I,8,FALSE)</f>
        <v>55</v>
      </c>
      <c r="H24" t="str">
        <f>VLOOKUP(Table4[[#This Row],[Primary_Breed]],'Breed Group'!$A:$B,2,FALSE)</f>
        <v>Non-Stigma</v>
      </c>
      <c r="I24" t="str">
        <f>IF(VLOOKUP($K24,'Consolidated Data - Static'!$K:$AM,2,FALSE)&lt;&gt;VLOOKUP($K24,'Consolidated Data - Dynamic'!$D:$AF,2,FALSE),"Name-AdoptAPet Mismatch",IF(VLOOKUP($K24,'Consolidated Data - Static'!$K:$AM,3,FALSE)&lt;&gt;VLOOKUP($K24,'Consolidated Data - Dynamic'!$D:$AF,3,FALSE),"Name-PetPoint Mismatch",IF(VLOOKUP($K24,'Consolidated Data - Static'!$K:$AM,4,FALSE)&lt;&gt;VLOOKUP($K24,'Consolidated Data - Dynamic'!$D:$AF,4,FALSE),"Name-Inventory Mismatch", IF(VLOOKUP($K24,'Consolidated Data - Static'!$K:$AM,5,FALSE)&lt;&gt;VLOOKUP($K24,'Consolidated Data - Dynamic'!$D:$AF,5,FALSE),"Primary Breed Mismatch",IF(VLOOKUP($K24,'Consolidated Data - Static'!$K:$AM,6,FALSE)&lt;&gt;VLOOKUP($K24,'Consolidated Data - Dynamic'!$D:$AF,6,FALSE),"Secondary Breed Mismatch", IF(VLOOKUP($K24,'Consolidated Data - Static'!$K:$AM,7,FALSE)&lt;&gt;VLOOKUP($K24,'Consolidated Data - Dynamic'!$D:$AF,7,FALSE),"Color Mismatch",IF(VLOOKUP($K24,'Consolidated Data - Static'!$K:$AM,8,FALSE)&lt;&gt;VLOOKUP($K24,'Consolidated Data - Dynamic'!$D:$AF,8,FALSE),"Sex Mismatch",IF(VLOOKUP($K24,'Consolidated Data - Static'!$K:$AM,9,FALSE)&lt;&gt;VLOOKUP($K24,'Consolidated Data - Dynamic'!$D:$AF,9,FALSE),"Age Mismatch",IF(VLOOKUP($K24,'Consolidated Data - Static'!$K:$AM,10,FALSE)&lt;&gt;VLOOKUP($K24,'Consolidated Data - Dynamic'!$D:$AF,10,FALSE),"Size Mismatch",IF(VLOOKUP($K24,'Consolidated Data - Static'!$K:$AM,11,FALSE)&lt;&gt;VLOOKUP($K24,'Consolidated Data - Dynamic'!$D:$AF,11,FALSE),"Mixed Mismatch",IF(VLOOKUP($K24,'Consolidated Data - Static'!$K:$AM,12,FALSE)&lt;&gt;VLOOKUP($K24,'Consolidated Data - Dynamic'!$D:$AF,12,FALSE),"Altered Mismatch",IF(VLOOKUP($K24,'Consolidated Data - Static'!$K:$AM,13,FALSE)&lt;&gt;VLOOKUP($K24,'Consolidated Data - Dynamic'!$D:$AF,13,FALSE),"Shots Current Mismatch",IF(VLOOKUP($K24,'Consolidated Data - Static'!$K:$AM,14,FALSE)&lt;&gt;VLOOKUP($K24,'Consolidated Data - Dynamic'!$D:$AF,14,FALSE),"Housebroken Mismatch",IF(VLOOKUP($K24,'Consolidated Data - Static'!$K:$AM,15,FALSE)&lt;&gt;VLOOKUP($K24,'Consolidated Data - Dynamic'!$D:$AF,15,FALSE),"Special Needs Mismatch",IF(VLOOKUP($K24,'Consolidated Data - Static'!$K:$AM,16,FALSE)&lt;&gt;VLOOKUP($K24,'Consolidated Data - Dynamic'!$D:$AF,16,FALSE),"OK w/kids Mismatch",IF(VLOOKUP($K24,'Consolidated Data - Static'!$K:$AM,17,FALSE)&lt;&gt;VLOOKUP($K24,'Consolidated Data - Dynamic'!$D:$AF,17,FALSE),"OK w/dogs Mismatch",IF(VLOOKUP($K24,'Consolidated Data - Static'!$K:$AM,18,FALSE)&lt;&gt;VLOOKUP($K24,'Consolidated Data - Dynamic'!$D:$AF,18,FALSE),"OK w/cats Mismatch",IF(VLOOKUP($K24,'Consolidated Data - Static'!$K:$AM,19,FALSE)&lt;&gt;VLOOKUP($K24,'Consolidated Data - Dynamic'!$D:$AF,19,FALSE),"Pre Treatment Description Mismatch",IF(VLOOKUP($K24,'Consolidated Data - Static'!$K:$AM,20,FALSE)&lt;&gt;VLOOKUP($K24,'Consolidated Data - Dynamic'!$D:$AF,20,FALSE),"Stage Mismatch",IF(VLOOKUP($K24,'Consolidated Data - Static'!$K:$AM,21,FALSE)&lt;&gt;VLOOKUP($K24,'Consolidated Data - Dynamic'!$D:$AF,21,FALSE),"Primary Color Mismatch",IF(VLOOKUP($K24,'Consolidated Data - Static'!$K:$AM,22,FALSE)&lt;&gt;VLOOKUP($K24,'Consolidated Data - Dynamic'!$D:$AF,22,FALSE),"Location Mismatch",IF(VLOOKUP($K24,'Consolidated Data - Static'!$K:$AM,23,FALSE)&lt;&gt;VLOOKUP($K24,'Consolidated Data - Dynamic'!$D:$AF,23,FALSE),"Intake Type Mismatch",IF(VLOOKUP($K24,'Consolidated Data - Static'!$K:$AM,24,FALSE)&lt;&gt;VLOOKUP($K24,'Consolidated Data - Dynamic'!$D:$AF,24,FALSE),"Emancipation Date Mismatch",IF(VLOOKUP($K24,'Consolidated Data - Static'!$K:$AM,25,FALSE)&lt;&gt;VLOOKUP($K24,'Consolidated Data - Dynamic'!$D:$AF,25,FALSE),"Intake Date Mismatch",IF(VLOOKUP($K24,'Consolidated Data - Static'!$K:$AM,26,FALSE)&lt;&gt;VLOOKUP($K24,'Consolidated Data - Dynamic'!$D:$AF,26,FALSE),"LOS Days Mismatch",IF(VLOOKUP($K24,'Consolidated Data - Static'!$K:$AM,27,FALSE)&lt;&gt;VLOOKUP($K24,'Consolidated Data - Dynamic'!$D:$AF,27,FALSE),"Stage Change Mismatch",IF(VLOOKUP($K24,'Consolidated Data - Static'!$K:$AM,28,FALSE)&lt;&gt;VLOOKUP($K24,'Consolidated Data - Dynamic'!$D:$AF,28,FALSE),"Animal Weight Mismatch",IF(VLOOKUP($K24,'Consolidated Data - Static'!$K:$AM,29,FALSE)&lt;&gt;VLOOKUP($K24,'Consolidated Data - Dynamic'!$D:$AF,29,FALSE),"Number of Pictures Mismatch", "Record Match"))))))))))))))))))))))))))))</f>
        <v>Record Match</v>
      </c>
      <c r="J24">
        <v>45970439</v>
      </c>
      <c r="K24" t="s">
        <v>370</v>
      </c>
      <c r="L24" t="s">
        <v>1963</v>
      </c>
      <c r="M24" t="s">
        <v>1919</v>
      </c>
      <c r="N24" t="s">
        <v>1919</v>
      </c>
      <c r="O24" t="s">
        <v>372</v>
      </c>
      <c r="P24" t="s">
        <v>53</v>
      </c>
      <c r="Q24" t="s">
        <v>98</v>
      </c>
      <c r="R24" t="s">
        <v>48</v>
      </c>
      <c r="S24" t="s">
        <v>37</v>
      </c>
      <c r="T24" t="s">
        <v>50</v>
      </c>
      <c r="U24" t="s">
        <v>39</v>
      </c>
      <c r="V24" t="s">
        <v>39</v>
      </c>
      <c r="W24" t="s">
        <v>39</v>
      </c>
      <c r="X24" t="s">
        <v>41</v>
      </c>
      <c r="Y24" t="s">
        <v>41</v>
      </c>
      <c r="Z24" t="s">
        <v>39</v>
      </c>
      <c r="AA24" t="s">
        <v>39</v>
      </c>
      <c r="AB24" t="s">
        <v>40</v>
      </c>
      <c r="AC24" t="s">
        <v>39</v>
      </c>
      <c r="AD24" t="s">
        <v>461</v>
      </c>
      <c r="AE24" t="s">
        <v>537</v>
      </c>
      <c r="AF24" t="s">
        <v>446</v>
      </c>
      <c r="AG24" t="s">
        <v>887</v>
      </c>
      <c r="AH24" s="9">
        <v>45900.475694444445</v>
      </c>
      <c r="AI24" s="9">
        <v>45895.475694444445</v>
      </c>
      <c r="AJ24">
        <v>83.3</v>
      </c>
      <c r="AK24">
        <v>0</v>
      </c>
      <c r="AL24" t="s">
        <v>919</v>
      </c>
      <c r="AM24">
        <v>3</v>
      </c>
      <c r="AN24" t="s">
        <v>1379</v>
      </c>
      <c r="AO24" t="s">
        <v>1540</v>
      </c>
      <c r="AP24" t="s">
        <v>1540</v>
      </c>
      <c r="AQ24" t="s">
        <v>676</v>
      </c>
      <c r="AR24" t="s">
        <v>1343</v>
      </c>
      <c r="AS24" t="s">
        <v>1343</v>
      </c>
      <c r="AT24" t="s">
        <v>1332</v>
      </c>
    </row>
    <row r="25" spans="1:46" x14ac:dyDescent="0.2">
      <c r="A25">
        <f>VLOOKUP(Table4[[#This Row],[Rescue_ID]],Randomize_10_20_25!$B:$D,3,FALSE)</f>
        <v>0</v>
      </c>
      <c r="B25">
        <f>VLOOKUP(Table4[[#This Row],[Rescue_ID]],InitialRandom_10_07_25!$I:$AL,30,FALSE)</f>
        <v>0</v>
      </c>
      <c r="C25" s="9">
        <f>VLOOKUP(Table4[[#This Row],[Rescue_ID]],'Experiment Tracker'!$B:$P,7,FALSE)</f>
        <v>0</v>
      </c>
      <c r="D25" s="8">
        <f>VLOOKUP(Table4[[#This Row],[Rescue_ID]],'Experiment Tracker'!$B:$P,6,FALSE)</f>
        <v>0</v>
      </c>
      <c r="F25">
        <f>VLOOKUP(Table4[[#This Row],[Rescue_ID]],'Experiment Tracker'!$B:$I,8,FALSE)</f>
        <v>94.9</v>
      </c>
      <c r="H25" t="str">
        <f>VLOOKUP(Table4[[#This Row],[Primary_Breed]],'Breed Group'!$A:$B,2,FALSE)</f>
        <v>Non-Stigma</v>
      </c>
      <c r="I25" t="str">
        <f>IF(VLOOKUP($K25,'Consolidated Data - Static'!$K:$AM,2,FALSE)&lt;&gt;VLOOKUP($K25,'Consolidated Data - Dynamic'!$D:$AF,2,FALSE),"Name-AdoptAPet Mismatch",IF(VLOOKUP($K25,'Consolidated Data - Static'!$K:$AM,3,FALSE)&lt;&gt;VLOOKUP($K25,'Consolidated Data - Dynamic'!$D:$AF,3,FALSE),"Name-PetPoint Mismatch",IF(VLOOKUP($K25,'Consolidated Data - Static'!$K:$AM,4,FALSE)&lt;&gt;VLOOKUP($K25,'Consolidated Data - Dynamic'!$D:$AF,4,FALSE),"Name-Inventory Mismatch", IF(VLOOKUP($K25,'Consolidated Data - Static'!$K:$AM,5,FALSE)&lt;&gt;VLOOKUP($K25,'Consolidated Data - Dynamic'!$D:$AF,5,FALSE),"Primary Breed Mismatch",IF(VLOOKUP($K25,'Consolidated Data - Static'!$K:$AM,6,FALSE)&lt;&gt;VLOOKUP($K25,'Consolidated Data - Dynamic'!$D:$AF,6,FALSE),"Secondary Breed Mismatch", IF(VLOOKUP($K25,'Consolidated Data - Static'!$K:$AM,7,FALSE)&lt;&gt;VLOOKUP($K25,'Consolidated Data - Dynamic'!$D:$AF,7,FALSE),"Color Mismatch",IF(VLOOKUP($K25,'Consolidated Data - Static'!$K:$AM,8,FALSE)&lt;&gt;VLOOKUP($K25,'Consolidated Data - Dynamic'!$D:$AF,8,FALSE),"Sex Mismatch",IF(VLOOKUP($K25,'Consolidated Data - Static'!$K:$AM,9,FALSE)&lt;&gt;VLOOKUP($K25,'Consolidated Data - Dynamic'!$D:$AF,9,FALSE),"Age Mismatch",IF(VLOOKUP($K25,'Consolidated Data - Static'!$K:$AM,10,FALSE)&lt;&gt;VLOOKUP($K25,'Consolidated Data - Dynamic'!$D:$AF,10,FALSE),"Size Mismatch",IF(VLOOKUP($K25,'Consolidated Data - Static'!$K:$AM,11,FALSE)&lt;&gt;VLOOKUP($K25,'Consolidated Data - Dynamic'!$D:$AF,11,FALSE),"Mixed Mismatch",IF(VLOOKUP($K25,'Consolidated Data - Static'!$K:$AM,12,FALSE)&lt;&gt;VLOOKUP($K25,'Consolidated Data - Dynamic'!$D:$AF,12,FALSE),"Altered Mismatch",IF(VLOOKUP($K25,'Consolidated Data - Static'!$K:$AM,13,FALSE)&lt;&gt;VLOOKUP($K25,'Consolidated Data - Dynamic'!$D:$AF,13,FALSE),"Shots Current Mismatch",IF(VLOOKUP($K25,'Consolidated Data - Static'!$K:$AM,14,FALSE)&lt;&gt;VLOOKUP($K25,'Consolidated Data - Dynamic'!$D:$AF,14,FALSE),"Housebroken Mismatch",IF(VLOOKUP($K25,'Consolidated Data - Static'!$K:$AM,15,FALSE)&lt;&gt;VLOOKUP($K25,'Consolidated Data - Dynamic'!$D:$AF,15,FALSE),"Special Needs Mismatch",IF(VLOOKUP($K25,'Consolidated Data - Static'!$K:$AM,16,FALSE)&lt;&gt;VLOOKUP($K25,'Consolidated Data - Dynamic'!$D:$AF,16,FALSE),"OK w/kids Mismatch",IF(VLOOKUP($K25,'Consolidated Data - Static'!$K:$AM,17,FALSE)&lt;&gt;VLOOKUP($K25,'Consolidated Data - Dynamic'!$D:$AF,17,FALSE),"OK w/dogs Mismatch",IF(VLOOKUP($K25,'Consolidated Data - Static'!$K:$AM,18,FALSE)&lt;&gt;VLOOKUP($K25,'Consolidated Data - Dynamic'!$D:$AF,18,FALSE),"OK w/cats Mismatch",IF(VLOOKUP($K25,'Consolidated Data - Static'!$K:$AM,19,FALSE)&lt;&gt;VLOOKUP($K25,'Consolidated Data - Dynamic'!$D:$AF,19,FALSE),"Pre Treatment Description Mismatch",IF(VLOOKUP($K25,'Consolidated Data - Static'!$K:$AM,20,FALSE)&lt;&gt;VLOOKUP($K25,'Consolidated Data - Dynamic'!$D:$AF,20,FALSE),"Stage Mismatch",IF(VLOOKUP($K25,'Consolidated Data - Static'!$K:$AM,21,FALSE)&lt;&gt;VLOOKUP($K25,'Consolidated Data - Dynamic'!$D:$AF,21,FALSE),"Primary Color Mismatch",IF(VLOOKUP($K25,'Consolidated Data - Static'!$K:$AM,22,FALSE)&lt;&gt;VLOOKUP($K25,'Consolidated Data - Dynamic'!$D:$AF,22,FALSE),"Location Mismatch",IF(VLOOKUP($K25,'Consolidated Data - Static'!$K:$AM,23,FALSE)&lt;&gt;VLOOKUP($K25,'Consolidated Data - Dynamic'!$D:$AF,23,FALSE),"Intake Type Mismatch",IF(VLOOKUP($K25,'Consolidated Data - Static'!$K:$AM,24,FALSE)&lt;&gt;VLOOKUP($K25,'Consolidated Data - Dynamic'!$D:$AF,24,FALSE),"Emancipation Date Mismatch",IF(VLOOKUP($K25,'Consolidated Data - Static'!$K:$AM,25,FALSE)&lt;&gt;VLOOKUP($K25,'Consolidated Data - Dynamic'!$D:$AF,25,FALSE),"Intake Date Mismatch",IF(VLOOKUP($K25,'Consolidated Data - Static'!$K:$AM,26,FALSE)&lt;&gt;VLOOKUP($K25,'Consolidated Data - Dynamic'!$D:$AF,26,FALSE),"LOS Days Mismatch",IF(VLOOKUP($K25,'Consolidated Data - Static'!$K:$AM,27,FALSE)&lt;&gt;VLOOKUP($K25,'Consolidated Data - Dynamic'!$D:$AF,27,FALSE),"Stage Change Mismatch",IF(VLOOKUP($K25,'Consolidated Data - Static'!$K:$AM,28,FALSE)&lt;&gt;VLOOKUP($K25,'Consolidated Data - Dynamic'!$D:$AF,28,FALSE),"Animal Weight Mismatch",IF(VLOOKUP($K25,'Consolidated Data - Static'!$K:$AM,29,FALSE)&lt;&gt;VLOOKUP($K25,'Consolidated Data - Dynamic'!$D:$AF,29,FALSE),"Number of Pictures Mismatch", "Record Match"))))))))))))))))))))))))))))</f>
        <v>Record Match</v>
      </c>
      <c r="J25">
        <v>45968028</v>
      </c>
      <c r="K25" t="s">
        <v>387</v>
      </c>
      <c r="L25" t="s">
        <v>388</v>
      </c>
      <c r="M25" t="s">
        <v>388</v>
      </c>
      <c r="N25" t="s">
        <v>388</v>
      </c>
      <c r="O25" t="s">
        <v>80</v>
      </c>
      <c r="P25">
        <v>0</v>
      </c>
      <c r="Q25" t="s">
        <v>203</v>
      </c>
      <c r="R25" t="s">
        <v>36</v>
      </c>
      <c r="S25" t="s">
        <v>49</v>
      </c>
      <c r="T25" t="s">
        <v>50</v>
      </c>
      <c r="U25" t="s">
        <v>39</v>
      </c>
      <c r="V25" t="s">
        <v>41</v>
      </c>
      <c r="W25" t="s">
        <v>39</v>
      </c>
      <c r="X25" t="s">
        <v>41</v>
      </c>
      <c r="Y25" t="s">
        <v>41</v>
      </c>
      <c r="Z25" t="s">
        <v>39</v>
      </c>
      <c r="AA25" t="s">
        <v>39</v>
      </c>
      <c r="AB25" t="s">
        <v>40</v>
      </c>
      <c r="AC25" t="s">
        <v>41</v>
      </c>
      <c r="AD25" t="s">
        <v>461</v>
      </c>
      <c r="AE25" t="s">
        <v>138</v>
      </c>
      <c r="AF25" t="s">
        <v>458</v>
      </c>
      <c r="AG25" t="s">
        <v>887</v>
      </c>
      <c r="AH25" s="9">
        <v>45860.586805555555</v>
      </c>
      <c r="AI25" s="9">
        <v>45855.586805555555</v>
      </c>
      <c r="AJ25">
        <v>123.2</v>
      </c>
      <c r="AK25">
        <v>0</v>
      </c>
      <c r="AL25" t="s">
        <v>915</v>
      </c>
      <c r="AM25">
        <v>2</v>
      </c>
      <c r="AN25" t="s">
        <v>1608</v>
      </c>
      <c r="AO25" t="s">
        <v>1287</v>
      </c>
      <c r="AP25" t="s">
        <v>1287</v>
      </c>
      <c r="AQ25" t="s">
        <v>630</v>
      </c>
      <c r="AR25" t="s">
        <v>1270</v>
      </c>
      <c r="AS25" t="s">
        <v>1270</v>
      </c>
      <c r="AT25" t="s">
        <v>1271</v>
      </c>
    </row>
    <row r="26" spans="1:46" x14ac:dyDescent="0.2">
      <c r="A26">
        <f>VLOOKUP(Table4[[#This Row],[Rescue_ID]],Randomize_10_20_25!$B:$D,3,FALSE)</f>
        <v>0</v>
      </c>
      <c r="B26">
        <f>VLOOKUP(Table4[[#This Row],[Rescue_ID]],InitialRandom_10_07_25!$I:$AL,30,FALSE)</f>
        <v>0</v>
      </c>
      <c r="C26" s="9">
        <f>VLOOKUP(Table4[[#This Row],[Rescue_ID]],'Experiment Tracker'!$B:$P,7,FALSE)</f>
        <v>0</v>
      </c>
      <c r="D26" s="8">
        <f>VLOOKUP(Table4[[#This Row],[Rescue_ID]],'Experiment Tracker'!$B:$P,6,FALSE)</f>
        <v>0</v>
      </c>
      <c r="F26">
        <f>VLOOKUP(Table4[[#This Row],[Rescue_ID]],'Experiment Tracker'!$B:$I,8,FALSE)</f>
        <v>27</v>
      </c>
      <c r="H26" t="str">
        <f>VLOOKUP(Table4[[#This Row],[Primary_Breed]],'Breed Group'!$A:$B,2,FALSE)</f>
        <v>Non-Stigma</v>
      </c>
      <c r="I26" t="str">
        <f>IF(VLOOKUP($K26,'Consolidated Data - Static'!$K:$AM,2,FALSE)&lt;&gt;VLOOKUP($K26,'Consolidated Data - Dynamic'!$D:$AF,2,FALSE),"Name-AdoptAPet Mismatch",IF(VLOOKUP($K26,'Consolidated Data - Static'!$K:$AM,3,FALSE)&lt;&gt;VLOOKUP($K26,'Consolidated Data - Dynamic'!$D:$AF,3,FALSE),"Name-PetPoint Mismatch",IF(VLOOKUP($K26,'Consolidated Data - Static'!$K:$AM,4,FALSE)&lt;&gt;VLOOKUP($K26,'Consolidated Data - Dynamic'!$D:$AF,4,FALSE),"Name-Inventory Mismatch", IF(VLOOKUP($K26,'Consolidated Data - Static'!$K:$AM,5,FALSE)&lt;&gt;VLOOKUP($K26,'Consolidated Data - Dynamic'!$D:$AF,5,FALSE),"Primary Breed Mismatch",IF(VLOOKUP($K26,'Consolidated Data - Static'!$K:$AM,6,FALSE)&lt;&gt;VLOOKUP($K26,'Consolidated Data - Dynamic'!$D:$AF,6,FALSE),"Secondary Breed Mismatch", IF(VLOOKUP($K26,'Consolidated Data - Static'!$K:$AM,7,FALSE)&lt;&gt;VLOOKUP($K26,'Consolidated Data - Dynamic'!$D:$AF,7,FALSE),"Color Mismatch",IF(VLOOKUP($K26,'Consolidated Data - Static'!$K:$AM,8,FALSE)&lt;&gt;VLOOKUP($K26,'Consolidated Data - Dynamic'!$D:$AF,8,FALSE),"Sex Mismatch",IF(VLOOKUP($K26,'Consolidated Data - Static'!$K:$AM,9,FALSE)&lt;&gt;VLOOKUP($K26,'Consolidated Data - Dynamic'!$D:$AF,9,FALSE),"Age Mismatch",IF(VLOOKUP($K26,'Consolidated Data - Static'!$K:$AM,10,FALSE)&lt;&gt;VLOOKUP($K26,'Consolidated Data - Dynamic'!$D:$AF,10,FALSE),"Size Mismatch",IF(VLOOKUP($K26,'Consolidated Data - Static'!$K:$AM,11,FALSE)&lt;&gt;VLOOKUP($K26,'Consolidated Data - Dynamic'!$D:$AF,11,FALSE),"Mixed Mismatch",IF(VLOOKUP($K26,'Consolidated Data - Static'!$K:$AM,12,FALSE)&lt;&gt;VLOOKUP($K26,'Consolidated Data - Dynamic'!$D:$AF,12,FALSE),"Altered Mismatch",IF(VLOOKUP($K26,'Consolidated Data - Static'!$K:$AM,13,FALSE)&lt;&gt;VLOOKUP($K26,'Consolidated Data - Dynamic'!$D:$AF,13,FALSE),"Shots Current Mismatch",IF(VLOOKUP($K26,'Consolidated Data - Static'!$K:$AM,14,FALSE)&lt;&gt;VLOOKUP($K26,'Consolidated Data - Dynamic'!$D:$AF,14,FALSE),"Housebroken Mismatch",IF(VLOOKUP($K26,'Consolidated Data - Static'!$K:$AM,15,FALSE)&lt;&gt;VLOOKUP($K26,'Consolidated Data - Dynamic'!$D:$AF,15,FALSE),"Special Needs Mismatch",IF(VLOOKUP($K26,'Consolidated Data - Static'!$K:$AM,16,FALSE)&lt;&gt;VLOOKUP($K26,'Consolidated Data - Dynamic'!$D:$AF,16,FALSE),"OK w/kids Mismatch",IF(VLOOKUP($K26,'Consolidated Data - Static'!$K:$AM,17,FALSE)&lt;&gt;VLOOKUP($K26,'Consolidated Data - Dynamic'!$D:$AF,17,FALSE),"OK w/dogs Mismatch",IF(VLOOKUP($K26,'Consolidated Data - Static'!$K:$AM,18,FALSE)&lt;&gt;VLOOKUP($K26,'Consolidated Data - Dynamic'!$D:$AF,18,FALSE),"OK w/cats Mismatch",IF(VLOOKUP($K26,'Consolidated Data - Static'!$K:$AM,19,FALSE)&lt;&gt;VLOOKUP($K26,'Consolidated Data - Dynamic'!$D:$AF,19,FALSE),"Pre Treatment Description Mismatch",IF(VLOOKUP($K26,'Consolidated Data - Static'!$K:$AM,20,FALSE)&lt;&gt;VLOOKUP($K26,'Consolidated Data - Dynamic'!$D:$AF,20,FALSE),"Stage Mismatch",IF(VLOOKUP($K26,'Consolidated Data - Static'!$K:$AM,21,FALSE)&lt;&gt;VLOOKUP($K26,'Consolidated Data - Dynamic'!$D:$AF,21,FALSE),"Primary Color Mismatch",IF(VLOOKUP($K26,'Consolidated Data - Static'!$K:$AM,22,FALSE)&lt;&gt;VLOOKUP($K26,'Consolidated Data - Dynamic'!$D:$AF,22,FALSE),"Location Mismatch",IF(VLOOKUP($K26,'Consolidated Data - Static'!$K:$AM,23,FALSE)&lt;&gt;VLOOKUP($K26,'Consolidated Data - Dynamic'!$D:$AF,23,FALSE),"Intake Type Mismatch",IF(VLOOKUP($K26,'Consolidated Data - Static'!$K:$AM,24,FALSE)&lt;&gt;VLOOKUP($K26,'Consolidated Data - Dynamic'!$D:$AF,24,FALSE),"Emancipation Date Mismatch",IF(VLOOKUP($K26,'Consolidated Data - Static'!$K:$AM,25,FALSE)&lt;&gt;VLOOKUP($K26,'Consolidated Data - Dynamic'!$D:$AF,25,FALSE),"Intake Date Mismatch",IF(VLOOKUP($K26,'Consolidated Data - Static'!$K:$AM,26,FALSE)&lt;&gt;VLOOKUP($K26,'Consolidated Data - Dynamic'!$D:$AF,26,FALSE),"LOS Days Mismatch",IF(VLOOKUP($K26,'Consolidated Data - Static'!$K:$AM,27,FALSE)&lt;&gt;VLOOKUP($K26,'Consolidated Data - Dynamic'!$D:$AF,27,FALSE),"Stage Change Mismatch",IF(VLOOKUP($K26,'Consolidated Data - Static'!$K:$AM,28,FALSE)&lt;&gt;VLOOKUP($K26,'Consolidated Data - Dynamic'!$D:$AF,28,FALSE),"Animal Weight Mismatch",IF(VLOOKUP($K26,'Consolidated Data - Static'!$K:$AM,29,FALSE)&lt;&gt;VLOOKUP($K26,'Consolidated Data - Dynamic'!$D:$AF,29,FALSE),"Number of Pictures Mismatch", "Record Match"))))))))))))))))))))))))))))</f>
        <v>Record Match</v>
      </c>
      <c r="J26">
        <v>45969286</v>
      </c>
      <c r="K26" t="s">
        <v>395</v>
      </c>
      <c r="L26" t="s">
        <v>396</v>
      </c>
      <c r="M26" t="s">
        <v>663</v>
      </c>
      <c r="N26" t="s">
        <v>663</v>
      </c>
      <c r="O26" t="s">
        <v>397</v>
      </c>
      <c r="P26" t="s">
        <v>398</v>
      </c>
      <c r="Q26" t="s">
        <v>133</v>
      </c>
      <c r="R26" t="s">
        <v>48</v>
      </c>
      <c r="S26" t="s">
        <v>49</v>
      </c>
      <c r="T26" t="s">
        <v>50</v>
      </c>
      <c r="U26" t="s">
        <v>39</v>
      </c>
      <c r="V26" t="s">
        <v>39</v>
      </c>
      <c r="W26" t="s">
        <v>39</v>
      </c>
      <c r="X26" t="s">
        <v>41</v>
      </c>
      <c r="Y26" t="s">
        <v>41</v>
      </c>
      <c r="Z26" t="s">
        <v>39</v>
      </c>
      <c r="AA26" t="s">
        <v>39</v>
      </c>
      <c r="AB26" t="s">
        <v>40</v>
      </c>
      <c r="AC26" t="s">
        <v>41</v>
      </c>
      <c r="AD26" t="s">
        <v>461</v>
      </c>
      <c r="AE26" t="s">
        <v>662</v>
      </c>
      <c r="AF26" t="s">
        <v>446</v>
      </c>
      <c r="AG26" t="s">
        <v>902</v>
      </c>
      <c r="AH26" s="9">
        <v>0</v>
      </c>
      <c r="AI26" s="9">
        <v>45923.441666666666</v>
      </c>
      <c r="AJ26">
        <v>55.3</v>
      </c>
      <c r="AK26">
        <v>0</v>
      </c>
      <c r="AL26" t="s">
        <v>933</v>
      </c>
      <c r="AM26">
        <v>2</v>
      </c>
      <c r="AN26" t="s">
        <v>1647</v>
      </c>
      <c r="AO26" t="s">
        <v>1648</v>
      </c>
      <c r="AP26" t="s">
        <v>1648</v>
      </c>
      <c r="AQ26" t="s">
        <v>539</v>
      </c>
      <c r="AR26" t="s">
        <v>1649</v>
      </c>
      <c r="AS26" t="s">
        <v>1649</v>
      </c>
      <c r="AT26" t="s">
        <v>1650</v>
      </c>
    </row>
    <row r="27" spans="1:46" x14ac:dyDescent="0.2">
      <c r="A27">
        <f>VLOOKUP(Table4[[#This Row],[Rescue_ID]],Randomize_10_20_25!$B:$D,3,FALSE)</f>
        <v>1</v>
      </c>
      <c r="B27">
        <f>VLOOKUP(Table4[[#This Row],[Rescue_ID]],InitialRandom_10_07_25!$I:$AL,30,FALSE)</f>
        <v>1</v>
      </c>
      <c r="C27" s="9">
        <f>VLOOKUP(Table4[[#This Row],[Rescue_ID]],'Experiment Tracker'!$B:$P,7,FALSE)</f>
        <v>0</v>
      </c>
      <c r="D27" s="8">
        <f>VLOOKUP(Table4[[#This Row],[Rescue_ID]],'Experiment Tracker'!$B:$P,6,FALSE)</f>
        <v>0</v>
      </c>
      <c r="F27">
        <f>VLOOKUP(Table4[[#This Row],[Rescue_ID]],'Experiment Tracker'!$B:$I,8,FALSE)</f>
        <v>0</v>
      </c>
      <c r="H27" t="str">
        <f>VLOOKUP(Table4[[#This Row],[Primary_Breed]],'Breed Group'!$A:$B,2,FALSE)</f>
        <v>Stigma</v>
      </c>
      <c r="I27" t="str">
        <f>IF(VLOOKUP($K27,'Consolidated Data - Static'!$K:$AM,2,FALSE)&lt;&gt;VLOOKUP($K27,'Consolidated Data - Dynamic'!$D:$AF,2,FALSE),"Name-AdoptAPet Mismatch",IF(VLOOKUP($K27,'Consolidated Data - Static'!$K:$AM,3,FALSE)&lt;&gt;VLOOKUP($K27,'Consolidated Data - Dynamic'!$D:$AF,3,FALSE),"Name-PetPoint Mismatch",IF(VLOOKUP($K27,'Consolidated Data - Static'!$K:$AM,4,FALSE)&lt;&gt;VLOOKUP($K27,'Consolidated Data - Dynamic'!$D:$AF,4,FALSE),"Name-Inventory Mismatch", IF(VLOOKUP($K27,'Consolidated Data - Static'!$K:$AM,5,FALSE)&lt;&gt;VLOOKUP($K27,'Consolidated Data - Dynamic'!$D:$AF,5,FALSE),"Primary Breed Mismatch",IF(VLOOKUP($K27,'Consolidated Data - Static'!$K:$AM,6,FALSE)&lt;&gt;VLOOKUP($K27,'Consolidated Data - Dynamic'!$D:$AF,6,FALSE),"Secondary Breed Mismatch", IF(VLOOKUP($K27,'Consolidated Data - Static'!$K:$AM,7,FALSE)&lt;&gt;VLOOKUP($K27,'Consolidated Data - Dynamic'!$D:$AF,7,FALSE),"Color Mismatch",IF(VLOOKUP($K27,'Consolidated Data - Static'!$K:$AM,8,FALSE)&lt;&gt;VLOOKUP($K27,'Consolidated Data - Dynamic'!$D:$AF,8,FALSE),"Sex Mismatch",IF(VLOOKUP($K27,'Consolidated Data - Static'!$K:$AM,9,FALSE)&lt;&gt;VLOOKUP($K27,'Consolidated Data - Dynamic'!$D:$AF,9,FALSE),"Age Mismatch",IF(VLOOKUP($K27,'Consolidated Data - Static'!$K:$AM,10,FALSE)&lt;&gt;VLOOKUP($K27,'Consolidated Data - Dynamic'!$D:$AF,10,FALSE),"Size Mismatch",IF(VLOOKUP($K27,'Consolidated Data - Static'!$K:$AM,11,FALSE)&lt;&gt;VLOOKUP($K27,'Consolidated Data - Dynamic'!$D:$AF,11,FALSE),"Mixed Mismatch",IF(VLOOKUP($K27,'Consolidated Data - Static'!$K:$AM,12,FALSE)&lt;&gt;VLOOKUP($K27,'Consolidated Data - Dynamic'!$D:$AF,12,FALSE),"Altered Mismatch",IF(VLOOKUP($K27,'Consolidated Data - Static'!$K:$AM,13,FALSE)&lt;&gt;VLOOKUP($K27,'Consolidated Data - Dynamic'!$D:$AF,13,FALSE),"Shots Current Mismatch",IF(VLOOKUP($K27,'Consolidated Data - Static'!$K:$AM,14,FALSE)&lt;&gt;VLOOKUP($K27,'Consolidated Data - Dynamic'!$D:$AF,14,FALSE),"Housebroken Mismatch",IF(VLOOKUP($K27,'Consolidated Data - Static'!$K:$AM,15,FALSE)&lt;&gt;VLOOKUP($K27,'Consolidated Data - Dynamic'!$D:$AF,15,FALSE),"Special Needs Mismatch",IF(VLOOKUP($K27,'Consolidated Data - Static'!$K:$AM,16,FALSE)&lt;&gt;VLOOKUP($K27,'Consolidated Data - Dynamic'!$D:$AF,16,FALSE),"OK w/kids Mismatch",IF(VLOOKUP($K27,'Consolidated Data - Static'!$K:$AM,17,FALSE)&lt;&gt;VLOOKUP($K27,'Consolidated Data - Dynamic'!$D:$AF,17,FALSE),"OK w/dogs Mismatch",IF(VLOOKUP($K27,'Consolidated Data - Static'!$K:$AM,18,FALSE)&lt;&gt;VLOOKUP($K27,'Consolidated Data - Dynamic'!$D:$AF,18,FALSE),"OK w/cats Mismatch",IF(VLOOKUP($K27,'Consolidated Data - Static'!$K:$AM,19,FALSE)&lt;&gt;VLOOKUP($K27,'Consolidated Data - Dynamic'!$D:$AF,19,FALSE),"Pre Treatment Description Mismatch",IF(VLOOKUP($K27,'Consolidated Data - Static'!$K:$AM,20,FALSE)&lt;&gt;VLOOKUP($K27,'Consolidated Data - Dynamic'!$D:$AF,20,FALSE),"Stage Mismatch",IF(VLOOKUP($K27,'Consolidated Data - Static'!$K:$AM,21,FALSE)&lt;&gt;VLOOKUP($K27,'Consolidated Data - Dynamic'!$D:$AF,21,FALSE),"Primary Color Mismatch",IF(VLOOKUP($K27,'Consolidated Data - Static'!$K:$AM,22,FALSE)&lt;&gt;VLOOKUP($K27,'Consolidated Data - Dynamic'!$D:$AF,22,FALSE),"Location Mismatch",IF(VLOOKUP($K27,'Consolidated Data - Static'!$K:$AM,23,FALSE)&lt;&gt;VLOOKUP($K27,'Consolidated Data - Dynamic'!$D:$AF,23,FALSE),"Intake Type Mismatch",IF(VLOOKUP($K27,'Consolidated Data - Static'!$K:$AM,24,FALSE)&lt;&gt;VLOOKUP($K27,'Consolidated Data - Dynamic'!$D:$AF,24,FALSE),"Emancipation Date Mismatch",IF(VLOOKUP($K27,'Consolidated Data - Static'!$K:$AM,25,FALSE)&lt;&gt;VLOOKUP($K27,'Consolidated Data - Dynamic'!$D:$AF,25,FALSE),"Intake Date Mismatch",IF(VLOOKUP($K27,'Consolidated Data - Static'!$K:$AM,26,FALSE)&lt;&gt;VLOOKUP($K27,'Consolidated Data - Dynamic'!$D:$AF,26,FALSE),"LOS Days Mismatch",IF(VLOOKUP($K27,'Consolidated Data - Static'!$K:$AM,27,FALSE)&lt;&gt;VLOOKUP($K27,'Consolidated Data - Dynamic'!$D:$AF,27,FALSE),"Stage Change Mismatch",IF(VLOOKUP($K27,'Consolidated Data - Static'!$K:$AM,28,FALSE)&lt;&gt;VLOOKUP($K27,'Consolidated Data - Dynamic'!$D:$AF,28,FALSE),"Animal Weight Mismatch",IF(VLOOKUP($K27,'Consolidated Data - Static'!$K:$AM,29,FALSE)&lt;&gt;VLOOKUP($K27,'Consolidated Data - Dynamic'!$D:$AF,29,FALSE),"Number of Pictures Mismatch", "Record Match"))))))))))))))))))))))))))))</f>
        <v>Record Match</v>
      </c>
      <c r="J27">
        <v>45969485</v>
      </c>
      <c r="K27" t="s">
        <v>403</v>
      </c>
      <c r="L27" t="s">
        <v>1234</v>
      </c>
      <c r="M27" t="s">
        <v>1186</v>
      </c>
      <c r="N27" t="s">
        <v>1186</v>
      </c>
      <c r="O27" t="s">
        <v>46</v>
      </c>
      <c r="P27" t="s">
        <v>53</v>
      </c>
      <c r="Q27" t="s">
        <v>286</v>
      </c>
      <c r="R27" t="s">
        <v>36</v>
      </c>
      <c r="S27" t="s">
        <v>37</v>
      </c>
      <c r="T27" t="s">
        <v>50</v>
      </c>
      <c r="U27" t="s">
        <v>39</v>
      </c>
      <c r="V27" t="s">
        <v>39</v>
      </c>
      <c r="W27" t="s">
        <v>39</v>
      </c>
      <c r="X27" t="s">
        <v>41</v>
      </c>
      <c r="Y27" t="s">
        <v>41</v>
      </c>
      <c r="Z27" t="s">
        <v>39</v>
      </c>
      <c r="AA27" t="s">
        <v>39</v>
      </c>
      <c r="AB27" t="s">
        <v>39</v>
      </c>
      <c r="AC27" t="s">
        <v>41</v>
      </c>
      <c r="AD27" t="s">
        <v>461</v>
      </c>
      <c r="AE27" t="s">
        <v>286</v>
      </c>
      <c r="AF27" t="s">
        <v>446</v>
      </c>
      <c r="AG27" t="s">
        <v>887</v>
      </c>
      <c r="AH27" s="9">
        <v>45901.598611111112</v>
      </c>
      <c r="AI27" s="9">
        <v>45896.598611111112</v>
      </c>
      <c r="AJ27">
        <v>82.2</v>
      </c>
      <c r="AK27">
        <v>0</v>
      </c>
      <c r="AL27" t="s">
        <v>909</v>
      </c>
      <c r="AM27">
        <v>3</v>
      </c>
      <c r="AN27" t="s">
        <v>1653</v>
      </c>
      <c r="AO27" t="s">
        <v>1654</v>
      </c>
      <c r="AP27" t="s">
        <v>1654</v>
      </c>
      <c r="AQ27" t="s">
        <v>658</v>
      </c>
      <c r="AR27" t="s">
        <v>1306</v>
      </c>
      <c r="AS27" t="s">
        <v>1306</v>
      </c>
      <c r="AT27" t="s">
        <v>1340</v>
      </c>
    </row>
    <row r="28" spans="1:46" x14ac:dyDescent="0.2">
      <c r="A28">
        <f>VLOOKUP(Table4[[#This Row],[Rescue_ID]],Randomize_10_20_25!$B:$D,3,FALSE)</f>
        <v>0</v>
      </c>
      <c r="B28">
        <f>VLOOKUP(Table4[[#This Row],[Rescue_ID]],InitialRandom_10_07_25!$I:$AL,30,FALSE)</f>
        <v>0</v>
      </c>
      <c r="C28" s="9">
        <f>VLOOKUP(Table4[[#This Row],[Rescue_ID]],'Experiment Tracker'!$B:$P,7,FALSE)</f>
        <v>0</v>
      </c>
      <c r="D28" s="8">
        <f>VLOOKUP(Table4[[#This Row],[Rescue_ID]],'Experiment Tracker'!$B:$P,6,FALSE)</f>
        <v>0</v>
      </c>
      <c r="F28">
        <f>VLOOKUP(Table4[[#This Row],[Rescue_ID]],'Experiment Tracker'!$B:$I,8,FALSE)</f>
        <v>94.8</v>
      </c>
      <c r="H28" t="str">
        <f>VLOOKUP(Table4[[#This Row],[Primary_Breed]],'Breed Group'!$A:$B,2,FALSE)</f>
        <v>Non-Stigma</v>
      </c>
      <c r="I28" t="str">
        <f>IF(VLOOKUP($K28,'Consolidated Data - Static'!$K:$AM,2,FALSE)&lt;&gt;VLOOKUP($K28,'Consolidated Data - Dynamic'!$D:$AF,2,FALSE),"Name-AdoptAPet Mismatch",IF(VLOOKUP($K28,'Consolidated Data - Static'!$K:$AM,3,FALSE)&lt;&gt;VLOOKUP($K28,'Consolidated Data - Dynamic'!$D:$AF,3,FALSE),"Name-PetPoint Mismatch",IF(VLOOKUP($K28,'Consolidated Data - Static'!$K:$AM,4,FALSE)&lt;&gt;VLOOKUP($K28,'Consolidated Data - Dynamic'!$D:$AF,4,FALSE),"Name-Inventory Mismatch", IF(VLOOKUP($K28,'Consolidated Data - Static'!$K:$AM,5,FALSE)&lt;&gt;VLOOKUP($K28,'Consolidated Data - Dynamic'!$D:$AF,5,FALSE),"Primary Breed Mismatch",IF(VLOOKUP($K28,'Consolidated Data - Static'!$K:$AM,6,FALSE)&lt;&gt;VLOOKUP($K28,'Consolidated Data - Dynamic'!$D:$AF,6,FALSE),"Secondary Breed Mismatch", IF(VLOOKUP($K28,'Consolidated Data - Static'!$K:$AM,7,FALSE)&lt;&gt;VLOOKUP($K28,'Consolidated Data - Dynamic'!$D:$AF,7,FALSE),"Color Mismatch",IF(VLOOKUP($K28,'Consolidated Data - Static'!$K:$AM,8,FALSE)&lt;&gt;VLOOKUP($K28,'Consolidated Data - Dynamic'!$D:$AF,8,FALSE),"Sex Mismatch",IF(VLOOKUP($K28,'Consolidated Data - Static'!$K:$AM,9,FALSE)&lt;&gt;VLOOKUP($K28,'Consolidated Data - Dynamic'!$D:$AF,9,FALSE),"Age Mismatch",IF(VLOOKUP($K28,'Consolidated Data - Static'!$K:$AM,10,FALSE)&lt;&gt;VLOOKUP($K28,'Consolidated Data - Dynamic'!$D:$AF,10,FALSE),"Size Mismatch",IF(VLOOKUP($K28,'Consolidated Data - Static'!$K:$AM,11,FALSE)&lt;&gt;VLOOKUP($K28,'Consolidated Data - Dynamic'!$D:$AF,11,FALSE),"Mixed Mismatch",IF(VLOOKUP($K28,'Consolidated Data - Static'!$K:$AM,12,FALSE)&lt;&gt;VLOOKUP($K28,'Consolidated Data - Dynamic'!$D:$AF,12,FALSE),"Altered Mismatch",IF(VLOOKUP($K28,'Consolidated Data - Static'!$K:$AM,13,FALSE)&lt;&gt;VLOOKUP($K28,'Consolidated Data - Dynamic'!$D:$AF,13,FALSE),"Shots Current Mismatch",IF(VLOOKUP($K28,'Consolidated Data - Static'!$K:$AM,14,FALSE)&lt;&gt;VLOOKUP($K28,'Consolidated Data - Dynamic'!$D:$AF,14,FALSE),"Housebroken Mismatch",IF(VLOOKUP($K28,'Consolidated Data - Static'!$K:$AM,15,FALSE)&lt;&gt;VLOOKUP($K28,'Consolidated Data - Dynamic'!$D:$AF,15,FALSE),"Special Needs Mismatch",IF(VLOOKUP($K28,'Consolidated Data - Static'!$K:$AM,16,FALSE)&lt;&gt;VLOOKUP($K28,'Consolidated Data - Dynamic'!$D:$AF,16,FALSE),"OK w/kids Mismatch",IF(VLOOKUP($K28,'Consolidated Data - Static'!$K:$AM,17,FALSE)&lt;&gt;VLOOKUP($K28,'Consolidated Data - Dynamic'!$D:$AF,17,FALSE),"OK w/dogs Mismatch",IF(VLOOKUP($K28,'Consolidated Data - Static'!$K:$AM,18,FALSE)&lt;&gt;VLOOKUP($K28,'Consolidated Data - Dynamic'!$D:$AF,18,FALSE),"OK w/cats Mismatch",IF(VLOOKUP($K28,'Consolidated Data - Static'!$K:$AM,19,FALSE)&lt;&gt;VLOOKUP($K28,'Consolidated Data - Dynamic'!$D:$AF,19,FALSE),"Pre Treatment Description Mismatch",IF(VLOOKUP($K28,'Consolidated Data - Static'!$K:$AM,20,FALSE)&lt;&gt;VLOOKUP($K28,'Consolidated Data - Dynamic'!$D:$AF,20,FALSE),"Stage Mismatch",IF(VLOOKUP($K28,'Consolidated Data - Static'!$K:$AM,21,FALSE)&lt;&gt;VLOOKUP($K28,'Consolidated Data - Dynamic'!$D:$AF,21,FALSE),"Primary Color Mismatch",IF(VLOOKUP($K28,'Consolidated Data - Static'!$K:$AM,22,FALSE)&lt;&gt;VLOOKUP($K28,'Consolidated Data - Dynamic'!$D:$AF,22,FALSE),"Location Mismatch",IF(VLOOKUP($K28,'Consolidated Data - Static'!$K:$AM,23,FALSE)&lt;&gt;VLOOKUP($K28,'Consolidated Data - Dynamic'!$D:$AF,23,FALSE),"Intake Type Mismatch",IF(VLOOKUP($K28,'Consolidated Data - Static'!$K:$AM,24,FALSE)&lt;&gt;VLOOKUP($K28,'Consolidated Data - Dynamic'!$D:$AF,24,FALSE),"Emancipation Date Mismatch",IF(VLOOKUP($K28,'Consolidated Data - Static'!$K:$AM,25,FALSE)&lt;&gt;VLOOKUP($K28,'Consolidated Data - Dynamic'!$D:$AF,25,FALSE),"Intake Date Mismatch",IF(VLOOKUP($K28,'Consolidated Data - Static'!$K:$AM,26,FALSE)&lt;&gt;VLOOKUP($K28,'Consolidated Data - Dynamic'!$D:$AF,26,FALSE),"LOS Days Mismatch",IF(VLOOKUP($K28,'Consolidated Data - Static'!$K:$AM,27,FALSE)&lt;&gt;VLOOKUP($K28,'Consolidated Data - Dynamic'!$D:$AF,27,FALSE),"Stage Change Mismatch",IF(VLOOKUP($K28,'Consolidated Data - Static'!$K:$AM,28,FALSE)&lt;&gt;VLOOKUP($K28,'Consolidated Data - Dynamic'!$D:$AF,28,FALSE),"Animal Weight Mismatch",IF(VLOOKUP($K28,'Consolidated Data - Static'!$K:$AM,29,FALSE)&lt;&gt;VLOOKUP($K28,'Consolidated Data - Dynamic'!$D:$AF,29,FALSE),"Number of Pictures Mismatch", "Record Match"))))))))))))))))))))))))))))</f>
        <v>Record Match</v>
      </c>
      <c r="J28">
        <v>45968036</v>
      </c>
      <c r="K28" t="s">
        <v>406</v>
      </c>
      <c r="L28" t="s">
        <v>407</v>
      </c>
      <c r="M28" t="s">
        <v>407</v>
      </c>
      <c r="N28" t="s">
        <v>407</v>
      </c>
      <c r="O28" t="s">
        <v>80</v>
      </c>
      <c r="P28" t="s">
        <v>72</v>
      </c>
      <c r="Q28" t="s">
        <v>203</v>
      </c>
      <c r="R28" t="s">
        <v>48</v>
      </c>
      <c r="S28" t="s">
        <v>49</v>
      </c>
      <c r="T28" t="s">
        <v>74</v>
      </c>
      <c r="U28" t="s">
        <v>39</v>
      </c>
      <c r="V28" t="s">
        <v>39</v>
      </c>
      <c r="W28" t="s">
        <v>39</v>
      </c>
      <c r="X28" t="s">
        <v>41</v>
      </c>
      <c r="Y28" t="s">
        <v>41</v>
      </c>
      <c r="Z28" t="s">
        <v>39</v>
      </c>
      <c r="AA28" t="s">
        <v>39</v>
      </c>
      <c r="AB28" t="s">
        <v>40</v>
      </c>
      <c r="AC28" t="s">
        <v>41</v>
      </c>
      <c r="AD28" t="s">
        <v>461</v>
      </c>
      <c r="AE28" t="s">
        <v>138</v>
      </c>
      <c r="AF28" t="s">
        <v>492</v>
      </c>
      <c r="AG28" t="s">
        <v>887</v>
      </c>
      <c r="AH28" s="9">
        <v>45860.632638888892</v>
      </c>
      <c r="AI28" s="9">
        <v>45855.632638888892</v>
      </c>
      <c r="AJ28">
        <v>123.1</v>
      </c>
      <c r="AK28">
        <v>0</v>
      </c>
      <c r="AL28" t="s">
        <v>1217</v>
      </c>
      <c r="AM28">
        <v>2</v>
      </c>
      <c r="AN28" t="s">
        <v>1349</v>
      </c>
      <c r="AO28" t="s">
        <v>1530</v>
      </c>
      <c r="AP28" t="s">
        <v>1530</v>
      </c>
      <c r="AQ28" t="s">
        <v>523</v>
      </c>
      <c r="AR28" t="s">
        <v>1322</v>
      </c>
      <c r="AS28" t="s">
        <v>1322</v>
      </c>
      <c r="AT28" t="s">
        <v>1371</v>
      </c>
    </row>
    <row r="29" spans="1:46" x14ac:dyDescent="0.2">
      <c r="A29">
        <f>VLOOKUP(Table4[[#This Row],[Rescue_ID]],Randomize_10_20_25!$B:$D,3,FALSE)</f>
        <v>0</v>
      </c>
      <c r="B29">
        <f>VLOOKUP(Table4[[#This Row],[Rescue_ID]],InitialRandom_10_07_25!$I:$AL,30,FALSE)</f>
        <v>0</v>
      </c>
      <c r="C29" s="9">
        <f>VLOOKUP(Table4[[#This Row],[Rescue_ID]],'Experiment Tracker'!$B:$P,7,FALSE)</f>
        <v>0</v>
      </c>
      <c r="D29" s="8">
        <f>VLOOKUP(Table4[[#This Row],[Rescue_ID]],'Experiment Tracker'!$B:$P,6,FALSE)</f>
        <v>0</v>
      </c>
      <c r="F29">
        <f>VLOOKUP(Table4[[#This Row],[Rescue_ID]],'Experiment Tracker'!$B:$I,8,FALSE)</f>
        <v>42</v>
      </c>
      <c r="H29" t="str">
        <f>VLOOKUP(Table4[[#This Row],[Primary_Breed]],'Breed Group'!$A:$B,2,FALSE)</f>
        <v>Non-Stigma</v>
      </c>
      <c r="I29" t="str">
        <f>IF(VLOOKUP($K29,'Consolidated Data - Static'!$K:$AM,2,FALSE)&lt;&gt;VLOOKUP($K29,'Consolidated Data - Dynamic'!$D:$AF,2,FALSE),"Name-AdoptAPet Mismatch",IF(VLOOKUP($K29,'Consolidated Data - Static'!$K:$AM,3,FALSE)&lt;&gt;VLOOKUP($K29,'Consolidated Data - Dynamic'!$D:$AF,3,FALSE),"Name-PetPoint Mismatch",IF(VLOOKUP($K29,'Consolidated Data - Static'!$K:$AM,4,FALSE)&lt;&gt;VLOOKUP($K29,'Consolidated Data - Dynamic'!$D:$AF,4,FALSE),"Name-Inventory Mismatch", IF(VLOOKUP($K29,'Consolidated Data - Static'!$K:$AM,5,FALSE)&lt;&gt;VLOOKUP($K29,'Consolidated Data - Dynamic'!$D:$AF,5,FALSE),"Primary Breed Mismatch",IF(VLOOKUP($K29,'Consolidated Data - Static'!$K:$AM,6,FALSE)&lt;&gt;VLOOKUP($K29,'Consolidated Data - Dynamic'!$D:$AF,6,FALSE),"Secondary Breed Mismatch", IF(VLOOKUP($K29,'Consolidated Data - Static'!$K:$AM,7,FALSE)&lt;&gt;VLOOKUP($K29,'Consolidated Data - Dynamic'!$D:$AF,7,FALSE),"Color Mismatch",IF(VLOOKUP($K29,'Consolidated Data - Static'!$K:$AM,8,FALSE)&lt;&gt;VLOOKUP($K29,'Consolidated Data - Dynamic'!$D:$AF,8,FALSE),"Sex Mismatch",IF(VLOOKUP($K29,'Consolidated Data - Static'!$K:$AM,9,FALSE)&lt;&gt;VLOOKUP($K29,'Consolidated Data - Dynamic'!$D:$AF,9,FALSE),"Age Mismatch",IF(VLOOKUP($K29,'Consolidated Data - Static'!$K:$AM,10,FALSE)&lt;&gt;VLOOKUP($K29,'Consolidated Data - Dynamic'!$D:$AF,10,FALSE),"Size Mismatch",IF(VLOOKUP($K29,'Consolidated Data - Static'!$K:$AM,11,FALSE)&lt;&gt;VLOOKUP($K29,'Consolidated Data - Dynamic'!$D:$AF,11,FALSE),"Mixed Mismatch",IF(VLOOKUP($K29,'Consolidated Data - Static'!$K:$AM,12,FALSE)&lt;&gt;VLOOKUP($K29,'Consolidated Data - Dynamic'!$D:$AF,12,FALSE),"Altered Mismatch",IF(VLOOKUP($K29,'Consolidated Data - Static'!$K:$AM,13,FALSE)&lt;&gt;VLOOKUP($K29,'Consolidated Data - Dynamic'!$D:$AF,13,FALSE),"Shots Current Mismatch",IF(VLOOKUP($K29,'Consolidated Data - Static'!$K:$AM,14,FALSE)&lt;&gt;VLOOKUP($K29,'Consolidated Data - Dynamic'!$D:$AF,14,FALSE),"Housebroken Mismatch",IF(VLOOKUP($K29,'Consolidated Data - Static'!$K:$AM,15,FALSE)&lt;&gt;VLOOKUP($K29,'Consolidated Data - Dynamic'!$D:$AF,15,FALSE),"Special Needs Mismatch",IF(VLOOKUP($K29,'Consolidated Data - Static'!$K:$AM,16,FALSE)&lt;&gt;VLOOKUP($K29,'Consolidated Data - Dynamic'!$D:$AF,16,FALSE),"OK w/kids Mismatch",IF(VLOOKUP($K29,'Consolidated Data - Static'!$K:$AM,17,FALSE)&lt;&gt;VLOOKUP($K29,'Consolidated Data - Dynamic'!$D:$AF,17,FALSE),"OK w/dogs Mismatch",IF(VLOOKUP($K29,'Consolidated Data - Static'!$K:$AM,18,FALSE)&lt;&gt;VLOOKUP($K29,'Consolidated Data - Dynamic'!$D:$AF,18,FALSE),"OK w/cats Mismatch",IF(VLOOKUP($K29,'Consolidated Data - Static'!$K:$AM,19,FALSE)&lt;&gt;VLOOKUP($K29,'Consolidated Data - Dynamic'!$D:$AF,19,FALSE),"Pre Treatment Description Mismatch",IF(VLOOKUP($K29,'Consolidated Data - Static'!$K:$AM,20,FALSE)&lt;&gt;VLOOKUP($K29,'Consolidated Data - Dynamic'!$D:$AF,20,FALSE),"Stage Mismatch",IF(VLOOKUP($K29,'Consolidated Data - Static'!$K:$AM,21,FALSE)&lt;&gt;VLOOKUP($K29,'Consolidated Data - Dynamic'!$D:$AF,21,FALSE),"Primary Color Mismatch",IF(VLOOKUP($K29,'Consolidated Data - Static'!$K:$AM,22,FALSE)&lt;&gt;VLOOKUP($K29,'Consolidated Data - Dynamic'!$D:$AF,22,FALSE),"Location Mismatch",IF(VLOOKUP($K29,'Consolidated Data - Static'!$K:$AM,23,FALSE)&lt;&gt;VLOOKUP($K29,'Consolidated Data - Dynamic'!$D:$AF,23,FALSE),"Intake Type Mismatch",IF(VLOOKUP($K29,'Consolidated Data - Static'!$K:$AM,24,FALSE)&lt;&gt;VLOOKUP($K29,'Consolidated Data - Dynamic'!$D:$AF,24,FALSE),"Emancipation Date Mismatch",IF(VLOOKUP($K29,'Consolidated Data - Static'!$K:$AM,25,FALSE)&lt;&gt;VLOOKUP($K29,'Consolidated Data - Dynamic'!$D:$AF,25,FALSE),"Intake Date Mismatch",IF(VLOOKUP($K29,'Consolidated Data - Static'!$K:$AM,26,FALSE)&lt;&gt;VLOOKUP($K29,'Consolidated Data - Dynamic'!$D:$AF,26,FALSE),"LOS Days Mismatch",IF(VLOOKUP($K29,'Consolidated Data - Static'!$K:$AM,27,FALSE)&lt;&gt;VLOOKUP($K29,'Consolidated Data - Dynamic'!$D:$AF,27,FALSE),"Stage Change Mismatch",IF(VLOOKUP($K29,'Consolidated Data - Static'!$K:$AM,28,FALSE)&lt;&gt;VLOOKUP($K29,'Consolidated Data - Dynamic'!$D:$AF,28,FALSE),"Animal Weight Mismatch",IF(VLOOKUP($K29,'Consolidated Data - Static'!$K:$AM,29,FALSE)&lt;&gt;VLOOKUP($K29,'Consolidated Data - Dynamic'!$D:$AF,29,FALSE),"Number of Pictures Mismatch", "Record Match"))))))))))))))))))))))))))))</f>
        <v>Record Match</v>
      </c>
      <c r="J29">
        <v>45970198</v>
      </c>
      <c r="K29" t="s">
        <v>414</v>
      </c>
      <c r="L29" t="s">
        <v>1967</v>
      </c>
      <c r="M29" t="s">
        <v>1915</v>
      </c>
      <c r="N29" t="s">
        <v>1915</v>
      </c>
      <c r="O29" t="s">
        <v>252</v>
      </c>
      <c r="P29" t="s">
        <v>200</v>
      </c>
      <c r="Q29" t="s">
        <v>203</v>
      </c>
      <c r="R29" t="s">
        <v>48</v>
      </c>
      <c r="S29" t="s">
        <v>49</v>
      </c>
      <c r="T29" t="s">
        <v>50</v>
      </c>
      <c r="U29" t="s">
        <v>39</v>
      </c>
      <c r="V29" t="s">
        <v>39</v>
      </c>
      <c r="W29" t="s">
        <v>39</v>
      </c>
      <c r="X29" t="s">
        <v>41</v>
      </c>
      <c r="Y29" t="s">
        <v>41</v>
      </c>
      <c r="Z29" t="s">
        <v>39</v>
      </c>
      <c r="AA29" t="s">
        <v>39</v>
      </c>
      <c r="AB29" t="s">
        <v>40</v>
      </c>
      <c r="AC29" t="s">
        <v>41</v>
      </c>
      <c r="AD29" t="s">
        <v>461</v>
      </c>
      <c r="AE29" t="s">
        <v>138</v>
      </c>
      <c r="AF29" t="s">
        <v>446</v>
      </c>
      <c r="AG29" t="s">
        <v>922</v>
      </c>
      <c r="AH29" s="9">
        <v>45913.538888888892</v>
      </c>
      <c r="AI29" s="9">
        <v>45908.538888888892</v>
      </c>
      <c r="AJ29">
        <v>70.3</v>
      </c>
      <c r="AK29">
        <v>0</v>
      </c>
      <c r="AL29" t="s">
        <v>919</v>
      </c>
      <c r="AM29">
        <v>2</v>
      </c>
      <c r="AN29" t="s">
        <v>1350</v>
      </c>
      <c r="AO29" t="s">
        <v>1700</v>
      </c>
      <c r="AP29" t="s">
        <v>1700</v>
      </c>
      <c r="AQ29" t="s">
        <v>1365</v>
      </c>
      <c r="AR29" t="s">
        <v>1357</v>
      </c>
      <c r="AS29" t="s">
        <v>1357</v>
      </c>
      <c r="AT29" t="s">
        <v>1672</v>
      </c>
    </row>
    <row r="30" spans="1:46" x14ac:dyDescent="0.2">
      <c r="A30">
        <f>VLOOKUP(Table4[[#This Row],[Rescue_ID]],Randomize_10_20_25!$B:$D,3,FALSE)</f>
        <v>1</v>
      </c>
      <c r="B30">
        <f>VLOOKUP(Table4[[#This Row],[Rescue_ID]],InitialRandom_10_07_25!$I:$AL,30,FALSE)</f>
        <v>1</v>
      </c>
      <c r="C30" s="9">
        <f>VLOOKUP(Table4[[#This Row],[Rescue_ID]],'Experiment Tracker'!$B:$P,7,FALSE)</f>
        <v>45950</v>
      </c>
      <c r="D30" s="8" t="str">
        <f>VLOOKUP(Table4[[#This Row],[Rescue_ID]],'Experiment Tracker'!$B:$P,6,FALSE)</f>
        <v>Shells is the sweetest girl and an absolute gem! This tan Staffordshire mix is thriving in her Charleston foster home, soaking up all the love and comfort she deserves. Gentle, mellow, and endlessly cuddly, Shells is the kind of dog who makes every day feel a little softer. She loves quiet moments, cozy naps, and being close to her people—she’s all about simple joys and warm hearts. Her foster family can’t stop raving about how easy and loving she is. If you’re looking for a gentle companion who’ll fit right into your home and your heart, Shells is ready to bring her calm, sweet spirit to you.</v>
      </c>
      <c r="F30">
        <f>VLOOKUP(Table4[[#This Row],[Rescue_ID]],'Experiment Tracker'!$B:$I,8,FALSE)</f>
        <v>52.9</v>
      </c>
      <c r="H30" t="str">
        <f>VLOOKUP(Table4[[#This Row],[Primary_Breed]],'Breed Group'!$A:$B,2,FALSE)</f>
        <v>Stigma</v>
      </c>
      <c r="I30" t="str">
        <f>IF(VLOOKUP($K30,'Consolidated Data - Static'!$K:$AM,2,FALSE)&lt;&gt;VLOOKUP($K30,'Consolidated Data - Dynamic'!$D:$AF,2,FALSE),"Name-AdoptAPet Mismatch",IF(VLOOKUP($K30,'Consolidated Data - Static'!$K:$AM,3,FALSE)&lt;&gt;VLOOKUP($K30,'Consolidated Data - Dynamic'!$D:$AF,3,FALSE),"Name-PetPoint Mismatch",IF(VLOOKUP($K30,'Consolidated Data - Static'!$K:$AM,4,FALSE)&lt;&gt;VLOOKUP($K30,'Consolidated Data - Dynamic'!$D:$AF,4,FALSE),"Name-Inventory Mismatch", IF(VLOOKUP($K30,'Consolidated Data - Static'!$K:$AM,5,FALSE)&lt;&gt;VLOOKUP($K30,'Consolidated Data - Dynamic'!$D:$AF,5,FALSE),"Primary Breed Mismatch",IF(VLOOKUP($K30,'Consolidated Data - Static'!$K:$AM,6,FALSE)&lt;&gt;VLOOKUP($K30,'Consolidated Data - Dynamic'!$D:$AF,6,FALSE),"Secondary Breed Mismatch", IF(VLOOKUP($K30,'Consolidated Data - Static'!$K:$AM,7,FALSE)&lt;&gt;VLOOKUP($K30,'Consolidated Data - Dynamic'!$D:$AF,7,FALSE),"Color Mismatch",IF(VLOOKUP($K30,'Consolidated Data - Static'!$K:$AM,8,FALSE)&lt;&gt;VLOOKUP($K30,'Consolidated Data - Dynamic'!$D:$AF,8,FALSE),"Sex Mismatch",IF(VLOOKUP($K30,'Consolidated Data - Static'!$K:$AM,9,FALSE)&lt;&gt;VLOOKUP($K30,'Consolidated Data - Dynamic'!$D:$AF,9,FALSE),"Age Mismatch",IF(VLOOKUP($K30,'Consolidated Data - Static'!$K:$AM,10,FALSE)&lt;&gt;VLOOKUP($K30,'Consolidated Data - Dynamic'!$D:$AF,10,FALSE),"Size Mismatch",IF(VLOOKUP($K30,'Consolidated Data - Static'!$K:$AM,11,FALSE)&lt;&gt;VLOOKUP($K30,'Consolidated Data - Dynamic'!$D:$AF,11,FALSE),"Mixed Mismatch",IF(VLOOKUP($K30,'Consolidated Data - Static'!$K:$AM,12,FALSE)&lt;&gt;VLOOKUP($K30,'Consolidated Data - Dynamic'!$D:$AF,12,FALSE),"Altered Mismatch",IF(VLOOKUP($K30,'Consolidated Data - Static'!$K:$AM,13,FALSE)&lt;&gt;VLOOKUP($K30,'Consolidated Data - Dynamic'!$D:$AF,13,FALSE),"Shots Current Mismatch",IF(VLOOKUP($K30,'Consolidated Data - Static'!$K:$AM,14,FALSE)&lt;&gt;VLOOKUP($K30,'Consolidated Data - Dynamic'!$D:$AF,14,FALSE),"Housebroken Mismatch",IF(VLOOKUP($K30,'Consolidated Data - Static'!$K:$AM,15,FALSE)&lt;&gt;VLOOKUP($K30,'Consolidated Data - Dynamic'!$D:$AF,15,FALSE),"Special Needs Mismatch",IF(VLOOKUP($K30,'Consolidated Data - Static'!$K:$AM,16,FALSE)&lt;&gt;VLOOKUP($K30,'Consolidated Data - Dynamic'!$D:$AF,16,FALSE),"OK w/kids Mismatch",IF(VLOOKUP($K30,'Consolidated Data - Static'!$K:$AM,17,FALSE)&lt;&gt;VLOOKUP($K30,'Consolidated Data - Dynamic'!$D:$AF,17,FALSE),"OK w/dogs Mismatch",IF(VLOOKUP($K30,'Consolidated Data - Static'!$K:$AM,18,FALSE)&lt;&gt;VLOOKUP($K30,'Consolidated Data - Dynamic'!$D:$AF,18,FALSE),"OK w/cats Mismatch",IF(VLOOKUP($K30,'Consolidated Data - Static'!$K:$AM,19,FALSE)&lt;&gt;VLOOKUP($K30,'Consolidated Data - Dynamic'!$D:$AF,19,FALSE),"Pre Treatment Description Mismatch",IF(VLOOKUP($K30,'Consolidated Data - Static'!$K:$AM,20,FALSE)&lt;&gt;VLOOKUP($K30,'Consolidated Data - Dynamic'!$D:$AF,20,FALSE),"Stage Mismatch",IF(VLOOKUP($K30,'Consolidated Data - Static'!$K:$AM,21,FALSE)&lt;&gt;VLOOKUP($K30,'Consolidated Data - Dynamic'!$D:$AF,21,FALSE),"Primary Color Mismatch",IF(VLOOKUP($K30,'Consolidated Data - Static'!$K:$AM,22,FALSE)&lt;&gt;VLOOKUP($K30,'Consolidated Data - Dynamic'!$D:$AF,22,FALSE),"Location Mismatch",IF(VLOOKUP($K30,'Consolidated Data - Static'!$K:$AM,23,FALSE)&lt;&gt;VLOOKUP($K30,'Consolidated Data - Dynamic'!$D:$AF,23,FALSE),"Intake Type Mismatch",IF(VLOOKUP($K30,'Consolidated Data - Static'!$K:$AM,24,FALSE)&lt;&gt;VLOOKUP($K30,'Consolidated Data - Dynamic'!$D:$AF,24,FALSE),"Emancipation Date Mismatch",IF(VLOOKUP($K30,'Consolidated Data - Static'!$K:$AM,25,FALSE)&lt;&gt;VLOOKUP($K30,'Consolidated Data - Dynamic'!$D:$AF,25,FALSE),"Intake Date Mismatch",IF(VLOOKUP($K30,'Consolidated Data - Static'!$K:$AM,26,FALSE)&lt;&gt;VLOOKUP($K30,'Consolidated Data - Dynamic'!$D:$AF,26,FALSE),"LOS Days Mismatch",IF(VLOOKUP($K30,'Consolidated Data - Static'!$K:$AM,27,FALSE)&lt;&gt;VLOOKUP($K30,'Consolidated Data - Dynamic'!$D:$AF,27,FALSE),"Stage Change Mismatch",IF(VLOOKUP($K30,'Consolidated Data - Static'!$K:$AM,28,FALSE)&lt;&gt;VLOOKUP($K30,'Consolidated Data - Dynamic'!$D:$AF,28,FALSE),"Animal Weight Mismatch",IF(VLOOKUP($K30,'Consolidated Data - Static'!$K:$AM,29,FALSE)&lt;&gt;VLOOKUP($K30,'Consolidated Data - Dynamic'!$D:$AF,29,FALSE),"Number of Pictures Mismatch", "Record Match"))))))))))))))))))))))))))))</f>
        <v>Record Match</v>
      </c>
      <c r="J30">
        <v>45969530</v>
      </c>
      <c r="K30" t="s">
        <v>422</v>
      </c>
      <c r="L30" t="s">
        <v>1082</v>
      </c>
      <c r="M30" t="s">
        <v>762</v>
      </c>
      <c r="N30" t="s">
        <v>762</v>
      </c>
      <c r="O30" t="s">
        <v>53</v>
      </c>
      <c r="P30">
        <v>0</v>
      </c>
      <c r="Q30" t="s">
        <v>47</v>
      </c>
      <c r="R30" t="s">
        <v>36</v>
      </c>
      <c r="S30" t="s">
        <v>49</v>
      </c>
      <c r="T30" t="s">
        <v>50</v>
      </c>
      <c r="U30" t="s">
        <v>39</v>
      </c>
      <c r="V30" t="s">
        <v>39</v>
      </c>
      <c r="W30" t="s">
        <v>39</v>
      </c>
      <c r="X30" t="s">
        <v>39</v>
      </c>
      <c r="Y30" t="s">
        <v>41</v>
      </c>
      <c r="Z30" t="s">
        <v>39</v>
      </c>
      <c r="AA30" t="s">
        <v>39</v>
      </c>
      <c r="AB30" t="s">
        <v>40</v>
      </c>
      <c r="AC30" t="s">
        <v>39</v>
      </c>
      <c r="AD30" t="s">
        <v>461</v>
      </c>
      <c r="AE30" t="s">
        <v>448</v>
      </c>
      <c r="AF30" t="s">
        <v>446</v>
      </c>
      <c r="AG30" t="s">
        <v>922</v>
      </c>
      <c r="AH30" s="9">
        <v>45902.581250000003</v>
      </c>
      <c r="AI30" s="9">
        <v>45897.581250000003</v>
      </c>
      <c r="AJ30">
        <v>81.2</v>
      </c>
      <c r="AK30">
        <v>0</v>
      </c>
      <c r="AL30" t="s">
        <v>975</v>
      </c>
      <c r="AM30">
        <v>3</v>
      </c>
      <c r="AN30" t="s">
        <v>1707</v>
      </c>
      <c r="AO30" t="s">
        <v>1708</v>
      </c>
      <c r="AP30" t="s">
        <v>1708</v>
      </c>
      <c r="AQ30" t="s">
        <v>530</v>
      </c>
      <c r="AR30" t="s">
        <v>1709</v>
      </c>
      <c r="AS30" t="s">
        <v>1709</v>
      </c>
      <c r="AT30" t="s">
        <v>1383</v>
      </c>
    </row>
    <row r="31" spans="1:46" x14ac:dyDescent="0.2">
      <c r="A31">
        <f>VLOOKUP(Table4[[#This Row],[Rescue_ID]],Randomize_10_20_25!$B:$D,3,FALSE)</f>
        <v>0</v>
      </c>
      <c r="B31">
        <f>VLOOKUP(Table4[[#This Row],[Rescue_ID]],InitialRandom_10_07_25!$I:$AL,30,FALSE)</f>
        <v>0</v>
      </c>
      <c r="C31" s="9">
        <f>VLOOKUP(Table4[[#This Row],[Rescue_ID]],'Experiment Tracker'!$B:$P,7,FALSE)</f>
        <v>0</v>
      </c>
      <c r="D31" s="8">
        <f>VLOOKUP(Table4[[#This Row],[Rescue_ID]],'Experiment Tracker'!$B:$P,6,FALSE)</f>
        <v>0</v>
      </c>
      <c r="F31">
        <f>VLOOKUP(Table4[[#This Row],[Rescue_ID]],'Experiment Tracker'!$B:$I,8,FALSE)</f>
        <v>61.8</v>
      </c>
      <c r="H31" t="str">
        <f>VLOOKUP(Table4[[#This Row],[Primary_Breed]],'Breed Group'!$A:$B,2,FALSE)</f>
        <v>Stigma</v>
      </c>
      <c r="I31" t="str">
        <f>IF(VLOOKUP($K31,'Consolidated Data - Static'!$K:$AM,2,FALSE)&lt;&gt;VLOOKUP($K31,'Consolidated Data - Dynamic'!$D:$AF,2,FALSE),"Name-AdoptAPet Mismatch",IF(VLOOKUP($K31,'Consolidated Data - Static'!$K:$AM,3,FALSE)&lt;&gt;VLOOKUP($K31,'Consolidated Data - Dynamic'!$D:$AF,3,FALSE),"Name-PetPoint Mismatch",IF(VLOOKUP($K31,'Consolidated Data - Static'!$K:$AM,4,FALSE)&lt;&gt;VLOOKUP($K31,'Consolidated Data - Dynamic'!$D:$AF,4,FALSE),"Name-Inventory Mismatch", IF(VLOOKUP($K31,'Consolidated Data - Static'!$K:$AM,5,FALSE)&lt;&gt;VLOOKUP($K31,'Consolidated Data - Dynamic'!$D:$AF,5,FALSE),"Primary Breed Mismatch",IF(VLOOKUP($K31,'Consolidated Data - Static'!$K:$AM,6,FALSE)&lt;&gt;VLOOKUP($K31,'Consolidated Data - Dynamic'!$D:$AF,6,FALSE),"Secondary Breed Mismatch", IF(VLOOKUP($K31,'Consolidated Data - Static'!$K:$AM,7,FALSE)&lt;&gt;VLOOKUP($K31,'Consolidated Data - Dynamic'!$D:$AF,7,FALSE),"Color Mismatch",IF(VLOOKUP($K31,'Consolidated Data - Static'!$K:$AM,8,FALSE)&lt;&gt;VLOOKUP($K31,'Consolidated Data - Dynamic'!$D:$AF,8,FALSE),"Sex Mismatch",IF(VLOOKUP($K31,'Consolidated Data - Static'!$K:$AM,9,FALSE)&lt;&gt;VLOOKUP($K31,'Consolidated Data - Dynamic'!$D:$AF,9,FALSE),"Age Mismatch",IF(VLOOKUP($K31,'Consolidated Data - Static'!$K:$AM,10,FALSE)&lt;&gt;VLOOKUP($K31,'Consolidated Data - Dynamic'!$D:$AF,10,FALSE),"Size Mismatch",IF(VLOOKUP($K31,'Consolidated Data - Static'!$K:$AM,11,FALSE)&lt;&gt;VLOOKUP($K31,'Consolidated Data - Dynamic'!$D:$AF,11,FALSE),"Mixed Mismatch",IF(VLOOKUP($K31,'Consolidated Data - Static'!$K:$AM,12,FALSE)&lt;&gt;VLOOKUP($K31,'Consolidated Data - Dynamic'!$D:$AF,12,FALSE),"Altered Mismatch",IF(VLOOKUP($K31,'Consolidated Data - Static'!$K:$AM,13,FALSE)&lt;&gt;VLOOKUP($K31,'Consolidated Data - Dynamic'!$D:$AF,13,FALSE),"Shots Current Mismatch",IF(VLOOKUP($K31,'Consolidated Data - Static'!$K:$AM,14,FALSE)&lt;&gt;VLOOKUP($K31,'Consolidated Data - Dynamic'!$D:$AF,14,FALSE),"Housebroken Mismatch",IF(VLOOKUP($K31,'Consolidated Data - Static'!$K:$AM,15,FALSE)&lt;&gt;VLOOKUP($K31,'Consolidated Data - Dynamic'!$D:$AF,15,FALSE),"Special Needs Mismatch",IF(VLOOKUP($K31,'Consolidated Data - Static'!$K:$AM,16,FALSE)&lt;&gt;VLOOKUP($K31,'Consolidated Data - Dynamic'!$D:$AF,16,FALSE),"OK w/kids Mismatch",IF(VLOOKUP($K31,'Consolidated Data - Static'!$K:$AM,17,FALSE)&lt;&gt;VLOOKUP($K31,'Consolidated Data - Dynamic'!$D:$AF,17,FALSE),"OK w/dogs Mismatch",IF(VLOOKUP($K31,'Consolidated Data - Static'!$K:$AM,18,FALSE)&lt;&gt;VLOOKUP($K31,'Consolidated Data - Dynamic'!$D:$AF,18,FALSE),"OK w/cats Mismatch",IF(VLOOKUP($K31,'Consolidated Data - Static'!$K:$AM,19,FALSE)&lt;&gt;VLOOKUP($K31,'Consolidated Data - Dynamic'!$D:$AF,19,FALSE),"Pre Treatment Description Mismatch",IF(VLOOKUP($K31,'Consolidated Data - Static'!$K:$AM,20,FALSE)&lt;&gt;VLOOKUP($K31,'Consolidated Data - Dynamic'!$D:$AF,20,FALSE),"Stage Mismatch",IF(VLOOKUP($K31,'Consolidated Data - Static'!$K:$AM,21,FALSE)&lt;&gt;VLOOKUP($K31,'Consolidated Data - Dynamic'!$D:$AF,21,FALSE),"Primary Color Mismatch",IF(VLOOKUP($K31,'Consolidated Data - Static'!$K:$AM,22,FALSE)&lt;&gt;VLOOKUP($K31,'Consolidated Data - Dynamic'!$D:$AF,22,FALSE),"Location Mismatch",IF(VLOOKUP($K31,'Consolidated Data - Static'!$K:$AM,23,FALSE)&lt;&gt;VLOOKUP($K31,'Consolidated Data - Dynamic'!$D:$AF,23,FALSE),"Intake Type Mismatch",IF(VLOOKUP($K31,'Consolidated Data - Static'!$K:$AM,24,FALSE)&lt;&gt;VLOOKUP($K31,'Consolidated Data - Dynamic'!$D:$AF,24,FALSE),"Emancipation Date Mismatch",IF(VLOOKUP($K31,'Consolidated Data - Static'!$K:$AM,25,FALSE)&lt;&gt;VLOOKUP($K31,'Consolidated Data - Dynamic'!$D:$AF,25,FALSE),"Intake Date Mismatch",IF(VLOOKUP($K31,'Consolidated Data - Static'!$K:$AM,26,FALSE)&lt;&gt;VLOOKUP($K31,'Consolidated Data - Dynamic'!$D:$AF,26,FALSE),"LOS Days Mismatch",IF(VLOOKUP($K31,'Consolidated Data - Static'!$K:$AM,27,FALSE)&lt;&gt;VLOOKUP($K31,'Consolidated Data - Dynamic'!$D:$AF,27,FALSE),"Stage Change Mismatch",IF(VLOOKUP($K31,'Consolidated Data - Static'!$K:$AM,28,FALSE)&lt;&gt;VLOOKUP($K31,'Consolidated Data - Dynamic'!$D:$AF,28,FALSE),"Animal Weight Mismatch",IF(VLOOKUP($K31,'Consolidated Data - Static'!$K:$AM,29,FALSE)&lt;&gt;VLOOKUP($K31,'Consolidated Data - Dynamic'!$D:$AF,29,FALSE),"Number of Pictures Mismatch", "Record Match"))))))))))))))))))))))))))))</f>
        <v>Record Match</v>
      </c>
      <c r="J31">
        <v>45968103</v>
      </c>
      <c r="K31" t="s">
        <v>430</v>
      </c>
      <c r="L31" t="s">
        <v>431</v>
      </c>
      <c r="M31" t="s">
        <v>431</v>
      </c>
      <c r="N31" t="s">
        <v>431</v>
      </c>
      <c r="O31" t="s">
        <v>46</v>
      </c>
      <c r="P31">
        <v>0</v>
      </c>
      <c r="Q31" t="s">
        <v>138</v>
      </c>
      <c r="R31" t="s">
        <v>48</v>
      </c>
      <c r="S31" t="s">
        <v>49</v>
      </c>
      <c r="T31" t="s">
        <v>50</v>
      </c>
      <c r="U31" t="s">
        <v>39</v>
      </c>
      <c r="V31" t="s">
        <v>39</v>
      </c>
      <c r="W31" t="s">
        <v>39</v>
      </c>
      <c r="X31" t="s">
        <v>41</v>
      </c>
      <c r="Y31" t="s">
        <v>41</v>
      </c>
      <c r="Z31" t="s">
        <v>39</v>
      </c>
      <c r="AA31" t="s">
        <v>39</v>
      </c>
      <c r="AB31" t="s">
        <v>40</v>
      </c>
      <c r="AC31" t="s">
        <v>41</v>
      </c>
      <c r="AD31" t="s">
        <v>461</v>
      </c>
      <c r="AE31" t="s">
        <v>138</v>
      </c>
      <c r="AF31" t="s">
        <v>458</v>
      </c>
      <c r="AG31" t="s">
        <v>887</v>
      </c>
      <c r="AH31" s="9">
        <v>45893.703472222223</v>
      </c>
      <c r="AI31" s="9">
        <v>45888.703472222223</v>
      </c>
      <c r="AJ31">
        <v>90.1</v>
      </c>
      <c r="AK31">
        <v>0</v>
      </c>
      <c r="AL31" t="s">
        <v>928</v>
      </c>
      <c r="AM31">
        <v>3</v>
      </c>
      <c r="AN31" t="s">
        <v>1713</v>
      </c>
      <c r="AO31" t="s">
        <v>1714</v>
      </c>
      <c r="AP31" t="s">
        <v>1714</v>
      </c>
      <c r="AQ31" t="s">
        <v>523</v>
      </c>
      <c r="AR31" t="s">
        <v>1325</v>
      </c>
      <c r="AS31" t="s">
        <v>1325</v>
      </c>
      <c r="AT31" t="s">
        <v>1715</v>
      </c>
    </row>
    <row r="32" spans="1:46" x14ac:dyDescent="0.2">
      <c r="A32">
        <f>VLOOKUP(Table4[[#This Row],[Rescue_ID]],Randomize_10_20_25!$B:$D,3,FALSE)</f>
        <v>0</v>
      </c>
      <c r="B32">
        <f>VLOOKUP(Table4[[#This Row],[Rescue_ID]],InitialRandom_10_07_25!$I:$AL,30,FALSE)</f>
        <v>0</v>
      </c>
      <c r="C32" s="9">
        <f>VLOOKUP(Table4[[#This Row],[Rescue_ID]],'Experiment Tracker'!$B:$P,7,FALSE)</f>
        <v>0</v>
      </c>
      <c r="D32" s="8">
        <f>VLOOKUP(Table4[[#This Row],[Rescue_ID]],'Experiment Tracker'!$B:$P,6,FALSE)</f>
        <v>0</v>
      </c>
      <c r="F32">
        <f>VLOOKUP(Table4[[#This Row],[Rescue_ID]],'Experiment Tracker'!$B:$I,8,FALSE)</f>
        <v>75</v>
      </c>
      <c r="H32" t="str">
        <f>VLOOKUP(Table4[[#This Row],[Primary_Breed]],'Breed Group'!$A:$B,2,FALSE)</f>
        <v>Non-Stigma</v>
      </c>
      <c r="I32" t="str">
        <f>IF(VLOOKUP($K32,'Consolidated Data - Static'!$K:$AM,2,FALSE)&lt;&gt;VLOOKUP($K32,'Consolidated Data - Dynamic'!$D:$AF,2,FALSE),"Name-AdoptAPet Mismatch",IF(VLOOKUP($K32,'Consolidated Data - Static'!$K:$AM,3,FALSE)&lt;&gt;VLOOKUP($K32,'Consolidated Data - Dynamic'!$D:$AF,3,FALSE),"Name-PetPoint Mismatch",IF(VLOOKUP($K32,'Consolidated Data - Static'!$K:$AM,4,FALSE)&lt;&gt;VLOOKUP($K32,'Consolidated Data - Dynamic'!$D:$AF,4,FALSE),"Name-Inventory Mismatch", IF(VLOOKUP($K32,'Consolidated Data - Static'!$K:$AM,5,FALSE)&lt;&gt;VLOOKUP($K32,'Consolidated Data - Dynamic'!$D:$AF,5,FALSE),"Primary Breed Mismatch",IF(VLOOKUP($K32,'Consolidated Data - Static'!$K:$AM,6,FALSE)&lt;&gt;VLOOKUP($K32,'Consolidated Data - Dynamic'!$D:$AF,6,FALSE),"Secondary Breed Mismatch", IF(VLOOKUP($K32,'Consolidated Data - Static'!$K:$AM,7,FALSE)&lt;&gt;VLOOKUP($K32,'Consolidated Data - Dynamic'!$D:$AF,7,FALSE),"Color Mismatch",IF(VLOOKUP($K32,'Consolidated Data - Static'!$K:$AM,8,FALSE)&lt;&gt;VLOOKUP($K32,'Consolidated Data - Dynamic'!$D:$AF,8,FALSE),"Sex Mismatch",IF(VLOOKUP($K32,'Consolidated Data - Static'!$K:$AM,9,FALSE)&lt;&gt;VLOOKUP($K32,'Consolidated Data - Dynamic'!$D:$AF,9,FALSE),"Age Mismatch",IF(VLOOKUP($K32,'Consolidated Data - Static'!$K:$AM,10,FALSE)&lt;&gt;VLOOKUP($K32,'Consolidated Data - Dynamic'!$D:$AF,10,FALSE),"Size Mismatch",IF(VLOOKUP($K32,'Consolidated Data - Static'!$K:$AM,11,FALSE)&lt;&gt;VLOOKUP($K32,'Consolidated Data - Dynamic'!$D:$AF,11,FALSE),"Mixed Mismatch",IF(VLOOKUP($K32,'Consolidated Data - Static'!$K:$AM,12,FALSE)&lt;&gt;VLOOKUP($K32,'Consolidated Data - Dynamic'!$D:$AF,12,FALSE),"Altered Mismatch",IF(VLOOKUP($K32,'Consolidated Data - Static'!$K:$AM,13,FALSE)&lt;&gt;VLOOKUP($K32,'Consolidated Data - Dynamic'!$D:$AF,13,FALSE),"Shots Current Mismatch",IF(VLOOKUP($K32,'Consolidated Data - Static'!$K:$AM,14,FALSE)&lt;&gt;VLOOKUP($K32,'Consolidated Data - Dynamic'!$D:$AF,14,FALSE),"Housebroken Mismatch",IF(VLOOKUP($K32,'Consolidated Data - Static'!$K:$AM,15,FALSE)&lt;&gt;VLOOKUP($K32,'Consolidated Data - Dynamic'!$D:$AF,15,FALSE),"Special Needs Mismatch",IF(VLOOKUP($K32,'Consolidated Data - Static'!$K:$AM,16,FALSE)&lt;&gt;VLOOKUP($K32,'Consolidated Data - Dynamic'!$D:$AF,16,FALSE),"OK w/kids Mismatch",IF(VLOOKUP($K32,'Consolidated Data - Static'!$K:$AM,17,FALSE)&lt;&gt;VLOOKUP($K32,'Consolidated Data - Dynamic'!$D:$AF,17,FALSE),"OK w/dogs Mismatch",IF(VLOOKUP($K32,'Consolidated Data - Static'!$K:$AM,18,FALSE)&lt;&gt;VLOOKUP($K32,'Consolidated Data - Dynamic'!$D:$AF,18,FALSE),"OK w/cats Mismatch",IF(VLOOKUP($K32,'Consolidated Data - Static'!$K:$AM,19,FALSE)&lt;&gt;VLOOKUP($K32,'Consolidated Data - Dynamic'!$D:$AF,19,FALSE),"Pre Treatment Description Mismatch",IF(VLOOKUP($K32,'Consolidated Data - Static'!$K:$AM,20,FALSE)&lt;&gt;VLOOKUP($K32,'Consolidated Data - Dynamic'!$D:$AF,20,FALSE),"Stage Mismatch",IF(VLOOKUP($K32,'Consolidated Data - Static'!$K:$AM,21,FALSE)&lt;&gt;VLOOKUP($K32,'Consolidated Data - Dynamic'!$D:$AF,21,FALSE),"Primary Color Mismatch",IF(VLOOKUP($K32,'Consolidated Data - Static'!$K:$AM,22,FALSE)&lt;&gt;VLOOKUP($K32,'Consolidated Data - Dynamic'!$D:$AF,22,FALSE),"Location Mismatch",IF(VLOOKUP($K32,'Consolidated Data - Static'!$K:$AM,23,FALSE)&lt;&gt;VLOOKUP($K32,'Consolidated Data - Dynamic'!$D:$AF,23,FALSE),"Intake Type Mismatch",IF(VLOOKUP($K32,'Consolidated Data - Static'!$K:$AM,24,FALSE)&lt;&gt;VLOOKUP($K32,'Consolidated Data - Dynamic'!$D:$AF,24,FALSE),"Emancipation Date Mismatch",IF(VLOOKUP($K32,'Consolidated Data - Static'!$K:$AM,25,FALSE)&lt;&gt;VLOOKUP($K32,'Consolidated Data - Dynamic'!$D:$AF,25,FALSE),"Intake Date Mismatch",IF(VLOOKUP($K32,'Consolidated Data - Static'!$K:$AM,26,FALSE)&lt;&gt;VLOOKUP($K32,'Consolidated Data - Dynamic'!$D:$AF,26,FALSE),"LOS Days Mismatch",IF(VLOOKUP($K32,'Consolidated Data - Static'!$K:$AM,27,FALSE)&lt;&gt;VLOOKUP($K32,'Consolidated Data - Dynamic'!$D:$AF,27,FALSE),"Stage Change Mismatch",IF(VLOOKUP($K32,'Consolidated Data - Static'!$K:$AM,28,FALSE)&lt;&gt;VLOOKUP($K32,'Consolidated Data - Dynamic'!$D:$AF,28,FALSE),"Animal Weight Mismatch",IF(VLOOKUP($K32,'Consolidated Data - Static'!$K:$AM,29,FALSE)&lt;&gt;VLOOKUP($K32,'Consolidated Data - Dynamic'!$D:$AF,29,FALSE),"Number of Pictures Mismatch", "Record Match"))))))))))))))))))))))))))))</f>
        <v>Record Match</v>
      </c>
      <c r="J32">
        <v>45968075</v>
      </c>
      <c r="K32" t="s">
        <v>435</v>
      </c>
      <c r="L32" t="s">
        <v>436</v>
      </c>
      <c r="M32" t="s">
        <v>436</v>
      </c>
      <c r="N32" t="s">
        <v>436</v>
      </c>
      <c r="O32" t="s">
        <v>437</v>
      </c>
      <c r="P32" t="s">
        <v>350</v>
      </c>
      <c r="Q32" t="s">
        <v>286</v>
      </c>
      <c r="R32" t="s">
        <v>36</v>
      </c>
      <c r="S32" t="s">
        <v>37</v>
      </c>
      <c r="T32" t="s">
        <v>50</v>
      </c>
      <c r="U32" t="s">
        <v>39</v>
      </c>
      <c r="V32" t="s">
        <v>39</v>
      </c>
      <c r="W32" t="s">
        <v>39</v>
      </c>
      <c r="X32" t="s">
        <v>41</v>
      </c>
      <c r="Y32" t="s">
        <v>41</v>
      </c>
      <c r="Z32" t="s">
        <v>39</v>
      </c>
      <c r="AA32" t="s">
        <v>39</v>
      </c>
      <c r="AB32" t="s">
        <v>40</v>
      </c>
      <c r="AC32" t="s">
        <v>41</v>
      </c>
      <c r="AD32" t="s">
        <v>461</v>
      </c>
      <c r="AE32" t="s">
        <v>286</v>
      </c>
      <c r="AF32" t="s">
        <v>458</v>
      </c>
      <c r="AG32" t="s">
        <v>893</v>
      </c>
      <c r="AH32" s="9">
        <v>0</v>
      </c>
      <c r="AI32" s="9">
        <v>45875.455555555556</v>
      </c>
      <c r="AJ32">
        <v>103.3</v>
      </c>
      <c r="AK32">
        <v>0</v>
      </c>
      <c r="AL32" t="s">
        <v>1485</v>
      </c>
      <c r="AM32">
        <v>2</v>
      </c>
      <c r="AN32" t="s">
        <v>1717</v>
      </c>
      <c r="AO32" t="s">
        <v>1718</v>
      </c>
      <c r="AP32" t="s">
        <v>1718</v>
      </c>
      <c r="AQ32" t="s">
        <v>676</v>
      </c>
      <c r="AR32" t="s">
        <v>1719</v>
      </c>
      <c r="AS32" t="s">
        <v>1719</v>
      </c>
      <c r="AT32" t="s">
        <v>1315</v>
      </c>
    </row>
    <row r="33" spans="1:46" x14ac:dyDescent="0.2">
      <c r="A33">
        <f>VLOOKUP(Table4[[#This Row],[Rescue_ID]],Randomize_10_20_25!$B:$D,3,FALSE)</f>
        <v>1</v>
      </c>
      <c r="B33" t="e">
        <f>VLOOKUP(Table4[[#This Row],[Rescue_ID]],InitialRandom_10_07_25!$I:$AL,30,FALSE)</f>
        <v>#N/A</v>
      </c>
      <c r="C33" s="9">
        <f>VLOOKUP(Table4[[#This Row],[Rescue_ID]],'Experiment Tracker'!$B:$P,7,FALSE)</f>
        <v>45964</v>
      </c>
      <c r="D33" s="8" t="str">
        <f>VLOOKUP(Table4[[#This Row],[Rescue_ID]],'Experiment Tracker'!$B:$P,6,FALSE)</f>
        <v>Deeno is a lovable goofball with a heart of gold! This tan Weimaraner/Lab mix is curious, playful, and full of personality. He loves exploring, playing with his toys, and showing off his silly side—his antics are guaranteed to make you smile. Deeno is great with kids and other dogs, making him an ideal fit for an active, loving family. He’s as sweet as he is funny, always eager to join in on the fun or cuddle up after a day of adventure. If you’re looking for a cheerful, loyal companion who brings laughter and love wherever he goes, Deeno is your guy!</v>
      </c>
      <c r="F33">
        <f>VLOOKUP(Table4[[#This Row],[Rescue_ID]],'Experiment Tracker'!$B:$I,8,FALSE)</f>
        <v>37</v>
      </c>
      <c r="H33" t="str">
        <f>VLOOKUP(Table4[[#This Row],[Primary_Breed]],'Breed Group'!$A:$B,2,FALSE)</f>
        <v>Non-Stigma</v>
      </c>
      <c r="I33" t="str">
        <f>IF(VLOOKUP($K33,'Consolidated Data - Static'!$K:$AM,2,FALSE)&lt;&gt;VLOOKUP($K33,'Consolidated Data - Dynamic'!$D:$AF,2,FALSE),"Name-AdoptAPet Mismatch",IF(VLOOKUP($K33,'Consolidated Data - Static'!$K:$AM,3,FALSE)&lt;&gt;VLOOKUP($K33,'Consolidated Data - Dynamic'!$D:$AF,3,FALSE),"Name-PetPoint Mismatch",IF(VLOOKUP($K33,'Consolidated Data - Static'!$K:$AM,4,FALSE)&lt;&gt;VLOOKUP($K33,'Consolidated Data - Dynamic'!$D:$AF,4,FALSE),"Name-Inventory Mismatch", IF(VLOOKUP($K33,'Consolidated Data - Static'!$K:$AM,5,FALSE)&lt;&gt;VLOOKUP($K33,'Consolidated Data - Dynamic'!$D:$AF,5,FALSE),"Primary Breed Mismatch",IF(VLOOKUP($K33,'Consolidated Data - Static'!$K:$AM,6,FALSE)&lt;&gt;VLOOKUP($K33,'Consolidated Data - Dynamic'!$D:$AF,6,FALSE),"Secondary Breed Mismatch", IF(VLOOKUP($K33,'Consolidated Data - Static'!$K:$AM,7,FALSE)&lt;&gt;VLOOKUP($K33,'Consolidated Data - Dynamic'!$D:$AF,7,FALSE),"Color Mismatch",IF(VLOOKUP($K33,'Consolidated Data - Static'!$K:$AM,8,FALSE)&lt;&gt;VLOOKUP($K33,'Consolidated Data - Dynamic'!$D:$AF,8,FALSE),"Sex Mismatch",IF(VLOOKUP($K33,'Consolidated Data - Static'!$K:$AM,9,FALSE)&lt;&gt;VLOOKUP($K33,'Consolidated Data - Dynamic'!$D:$AF,9,FALSE),"Age Mismatch",IF(VLOOKUP($K33,'Consolidated Data - Static'!$K:$AM,10,FALSE)&lt;&gt;VLOOKUP($K33,'Consolidated Data - Dynamic'!$D:$AF,10,FALSE),"Size Mismatch",IF(VLOOKUP($K33,'Consolidated Data - Static'!$K:$AM,11,FALSE)&lt;&gt;VLOOKUP($K33,'Consolidated Data - Dynamic'!$D:$AF,11,FALSE),"Mixed Mismatch",IF(VLOOKUP($K33,'Consolidated Data - Static'!$K:$AM,12,FALSE)&lt;&gt;VLOOKUP($K33,'Consolidated Data - Dynamic'!$D:$AF,12,FALSE),"Altered Mismatch",IF(VLOOKUP($K33,'Consolidated Data - Static'!$K:$AM,13,FALSE)&lt;&gt;VLOOKUP($K33,'Consolidated Data - Dynamic'!$D:$AF,13,FALSE),"Shots Current Mismatch",IF(VLOOKUP($K33,'Consolidated Data - Static'!$K:$AM,14,FALSE)&lt;&gt;VLOOKUP($K33,'Consolidated Data - Dynamic'!$D:$AF,14,FALSE),"Housebroken Mismatch",IF(VLOOKUP($K33,'Consolidated Data - Static'!$K:$AM,15,FALSE)&lt;&gt;VLOOKUP($K33,'Consolidated Data - Dynamic'!$D:$AF,15,FALSE),"Special Needs Mismatch",IF(VLOOKUP($K33,'Consolidated Data - Static'!$K:$AM,16,FALSE)&lt;&gt;VLOOKUP($K33,'Consolidated Data - Dynamic'!$D:$AF,16,FALSE),"OK w/kids Mismatch",IF(VLOOKUP($K33,'Consolidated Data - Static'!$K:$AM,17,FALSE)&lt;&gt;VLOOKUP($K33,'Consolidated Data - Dynamic'!$D:$AF,17,FALSE),"OK w/dogs Mismatch",IF(VLOOKUP($K33,'Consolidated Data - Static'!$K:$AM,18,FALSE)&lt;&gt;VLOOKUP($K33,'Consolidated Data - Dynamic'!$D:$AF,18,FALSE),"OK w/cats Mismatch",IF(VLOOKUP($K33,'Consolidated Data - Static'!$K:$AM,19,FALSE)&lt;&gt;VLOOKUP($K33,'Consolidated Data - Dynamic'!$D:$AF,19,FALSE),"Pre Treatment Description Mismatch",IF(VLOOKUP($K33,'Consolidated Data - Static'!$K:$AM,20,FALSE)&lt;&gt;VLOOKUP($K33,'Consolidated Data - Dynamic'!$D:$AF,20,FALSE),"Stage Mismatch",IF(VLOOKUP($K33,'Consolidated Data - Static'!$K:$AM,21,FALSE)&lt;&gt;VLOOKUP($K33,'Consolidated Data - Dynamic'!$D:$AF,21,FALSE),"Primary Color Mismatch",IF(VLOOKUP($K33,'Consolidated Data - Static'!$K:$AM,22,FALSE)&lt;&gt;VLOOKUP($K33,'Consolidated Data - Dynamic'!$D:$AF,22,FALSE),"Location Mismatch",IF(VLOOKUP($K33,'Consolidated Data - Static'!$K:$AM,23,FALSE)&lt;&gt;VLOOKUP($K33,'Consolidated Data - Dynamic'!$D:$AF,23,FALSE),"Intake Type Mismatch",IF(VLOOKUP($K33,'Consolidated Data - Static'!$K:$AM,24,FALSE)&lt;&gt;VLOOKUP($K33,'Consolidated Data - Dynamic'!$D:$AF,24,FALSE),"Emancipation Date Mismatch",IF(VLOOKUP($K33,'Consolidated Data - Static'!$K:$AM,25,FALSE)&lt;&gt;VLOOKUP($K33,'Consolidated Data - Dynamic'!$D:$AF,25,FALSE),"Intake Date Mismatch",IF(VLOOKUP($K33,'Consolidated Data - Static'!$K:$AM,26,FALSE)&lt;&gt;VLOOKUP($K33,'Consolidated Data - Dynamic'!$D:$AF,26,FALSE),"LOS Days Mismatch",IF(VLOOKUP($K33,'Consolidated Data - Static'!$K:$AM,27,FALSE)&lt;&gt;VLOOKUP($K33,'Consolidated Data - Dynamic'!$D:$AF,27,FALSE),"Stage Change Mismatch",IF(VLOOKUP($K33,'Consolidated Data - Static'!$K:$AM,28,FALSE)&lt;&gt;VLOOKUP($K33,'Consolidated Data - Dynamic'!$D:$AF,28,FALSE),"Animal Weight Mismatch",IF(VLOOKUP($K33,'Consolidated Data - Static'!$K:$AM,29,FALSE)&lt;&gt;VLOOKUP($K33,'Consolidated Data - Dynamic'!$D:$AF,29,FALSE),"Number of Pictures Mismatch", "Record Match"))))))))))))))))))))))))))))</f>
        <v>Record Match</v>
      </c>
      <c r="J33">
        <v>46184787</v>
      </c>
      <c r="K33" t="s">
        <v>849</v>
      </c>
      <c r="L33" t="s">
        <v>848</v>
      </c>
      <c r="M33" t="s">
        <v>2652</v>
      </c>
      <c r="N33" t="s">
        <v>2652</v>
      </c>
      <c r="O33" t="s">
        <v>89</v>
      </c>
      <c r="P33" t="s">
        <v>90</v>
      </c>
      <c r="Q33" t="s">
        <v>47</v>
      </c>
      <c r="R33" t="s">
        <v>48</v>
      </c>
      <c r="S33" t="s">
        <v>49</v>
      </c>
      <c r="T33" t="s">
        <v>74</v>
      </c>
      <c r="U33" t="s">
        <v>39</v>
      </c>
      <c r="V33" t="s">
        <v>39</v>
      </c>
      <c r="W33" t="s">
        <v>39</v>
      </c>
      <c r="X33" t="s">
        <v>41</v>
      </c>
      <c r="Y33" t="s">
        <v>41</v>
      </c>
      <c r="Z33" t="s">
        <v>39</v>
      </c>
      <c r="AA33" t="s">
        <v>39</v>
      </c>
      <c r="AB33" t="s">
        <v>40</v>
      </c>
      <c r="AC33" t="s">
        <v>39</v>
      </c>
      <c r="AD33" t="s">
        <v>461</v>
      </c>
      <c r="AE33" t="s">
        <v>477</v>
      </c>
      <c r="AF33" t="s">
        <v>446</v>
      </c>
      <c r="AG33" t="s">
        <v>887</v>
      </c>
      <c r="AH33" s="9">
        <v>45932.762499999997</v>
      </c>
      <c r="AI33" s="9">
        <v>45927.762499999997</v>
      </c>
      <c r="AJ33">
        <v>51</v>
      </c>
      <c r="AK33">
        <v>0</v>
      </c>
      <c r="AL33" t="s">
        <v>2161</v>
      </c>
      <c r="AM33">
        <v>1</v>
      </c>
      <c r="AN33" t="s">
        <v>1497</v>
      </c>
      <c r="AO33" t="s">
        <v>1497</v>
      </c>
      <c r="AP33" t="s">
        <v>1497</v>
      </c>
      <c r="AQ33" t="s">
        <v>1497</v>
      </c>
      <c r="AR33" t="s">
        <v>1497</v>
      </c>
      <c r="AS33" t="s">
        <v>1497</v>
      </c>
      <c r="AT33" t="s">
        <v>1498</v>
      </c>
    </row>
    <row r="34" spans="1:46" x14ac:dyDescent="0.2">
      <c r="A34">
        <f>VLOOKUP(Table4[[#This Row],[Rescue_ID]],Randomize_10_20_25!$B:$D,3,FALSE)</f>
        <v>0</v>
      </c>
      <c r="B34" t="e">
        <f>VLOOKUP(Table4[[#This Row],[Rescue_ID]],InitialRandom_10_07_25!$I:$AL,30,FALSE)</f>
        <v>#N/A</v>
      </c>
      <c r="C34" s="9">
        <f>VLOOKUP(Table4[[#This Row],[Rescue_ID]],'Experiment Tracker'!$B:$P,7,FALSE)</f>
        <v>0</v>
      </c>
      <c r="D34" s="8">
        <f>VLOOKUP(Table4[[#This Row],[Rescue_ID]],'Experiment Tracker'!$B:$P,6,FALSE)</f>
        <v>0</v>
      </c>
      <c r="F34">
        <f>VLOOKUP(Table4[[#This Row],[Rescue_ID]],'Experiment Tracker'!$B:$I,8,FALSE)</f>
        <v>30.8</v>
      </c>
      <c r="H34" t="str">
        <f>VLOOKUP(Table4[[#This Row],[Primary_Breed]],'Breed Group'!$A:$B,2,FALSE)</f>
        <v>Stigma</v>
      </c>
      <c r="I34" t="str">
        <f>IF(VLOOKUP($K34,'Consolidated Data - Static'!$K:$AM,2,FALSE)&lt;&gt;VLOOKUP($K34,'Consolidated Data - Dynamic'!$D:$AF,2,FALSE),"Name-AdoptAPet Mismatch",IF(VLOOKUP($K34,'Consolidated Data - Static'!$K:$AM,3,FALSE)&lt;&gt;VLOOKUP($K34,'Consolidated Data - Dynamic'!$D:$AF,3,FALSE),"Name-PetPoint Mismatch",IF(VLOOKUP($K34,'Consolidated Data - Static'!$K:$AM,4,FALSE)&lt;&gt;VLOOKUP($K34,'Consolidated Data - Dynamic'!$D:$AF,4,FALSE),"Name-Inventory Mismatch", IF(VLOOKUP($K34,'Consolidated Data - Static'!$K:$AM,5,FALSE)&lt;&gt;VLOOKUP($K34,'Consolidated Data - Dynamic'!$D:$AF,5,FALSE),"Primary Breed Mismatch",IF(VLOOKUP($K34,'Consolidated Data - Static'!$K:$AM,6,FALSE)&lt;&gt;VLOOKUP($K34,'Consolidated Data - Dynamic'!$D:$AF,6,FALSE),"Secondary Breed Mismatch", IF(VLOOKUP($K34,'Consolidated Data - Static'!$K:$AM,7,FALSE)&lt;&gt;VLOOKUP($K34,'Consolidated Data - Dynamic'!$D:$AF,7,FALSE),"Color Mismatch",IF(VLOOKUP($K34,'Consolidated Data - Static'!$K:$AM,8,FALSE)&lt;&gt;VLOOKUP($K34,'Consolidated Data - Dynamic'!$D:$AF,8,FALSE),"Sex Mismatch",IF(VLOOKUP($K34,'Consolidated Data - Static'!$K:$AM,9,FALSE)&lt;&gt;VLOOKUP($K34,'Consolidated Data - Dynamic'!$D:$AF,9,FALSE),"Age Mismatch",IF(VLOOKUP($K34,'Consolidated Data - Static'!$K:$AM,10,FALSE)&lt;&gt;VLOOKUP($K34,'Consolidated Data - Dynamic'!$D:$AF,10,FALSE),"Size Mismatch",IF(VLOOKUP($K34,'Consolidated Data - Static'!$K:$AM,11,FALSE)&lt;&gt;VLOOKUP($K34,'Consolidated Data - Dynamic'!$D:$AF,11,FALSE),"Mixed Mismatch",IF(VLOOKUP($K34,'Consolidated Data - Static'!$K:$AM,12,FALSE)&lt;&gt;VLOOKUP($K34,'Consolidated Data - Dynamic'!$D:$AF,12,FALSE),"Altered Mismatch",IF(VLOOKUP($K34,'Consolidated Data - Static'!$K:$AM,13,FALSE)&lt;&gt;VLOOKUP($K34,'Consolidated Data - Dynamic'!$D:$AF,13,FALSE),"Shots Current Mismatch",IF(VLOOKUP($K34,'Consolidated Data - Static'!$K:$AM,14,FALSE)&lt;&gt;VLOOKUP($K34,'Consolidated Data - Dynamic'!$D:$AF,14,FALSE),"Housebroken Mismatch",IF(VLOOKUP($K34,'Consolidated Data - Static'!$K:$AM,15,FALSE)&lt;&gt;VLOOKUP($K34,'Consolidated Data - Dynamic'!$D:$AF,15,FALSE),"Special Needs Mismatch",IF(VLOOKUP($K34,'Consolidated Data - Static'!$K:$AM,16,FALSE)&lt;&gt;VLOOKUP($K34,'Consolidated Data - Dynamic'!$D:$AF,16,FALSE),"OK w/kids Mismatch",IF(VLOOKUP($K34,'Consolidated Data - Static'!$K:$AM,17,FALSE)&lt;&gt;VLOOKUP($K34,'Consolidated Data - Dynamic'!$D:$AF,17,FALSE),"OK w/dogs Mismatch",IF(VLOOKUP($K34,'Consolidated Data - Static'!$K:$AM,18,FALSE)&lt;&gt;VLOOKUP($K34,'Consolidated Data - Dynamic'!$D:$AF,18,FALSE),"OK w/cats Mismatch",IF(VLOOKUP($K34,'Consolidated Data - Static'!$K:$AM,19,FALSE)&lt;&gt;VLOOKUP($K34,'Consolidated Data - Dynamic'!$D:$AF,19,FALSE),"Pre Treatment Description Mismatch",IF(VLOOKUP($K34,'Consolidated Data - Static'!$K:$AM,20,FALSE)&lt;&gt;VLOOKUP($K34,'Consolidated Data - Dynamic'!$D:$AF,20,FALSE),"Stage Mismatch",IF(VLOOKUP($K34,'Consolidated Data - Static'!$K:$AM,21,FALSE)&lt;&gt;VLOOKUP($K34,'Consolidated Data - Dynamic'!$D:$AF,21,FALSE),"Primary Color Mismatch",IF(VLOOKUP($K34,'Consolidated Data - Static'!$K:$AM,22,FALSE)&lt;&gt;VLOOKUP($K34,'Consolidated Data - Dynamic'!$D:$AF,22,FALSE),"Location Mismatch",IF(VLOOKUP($K34,'Consolidated Data - Static'!$K:$AM,23,FALSE)&lt;&gt;VLOOKUP($K34,'Consolidated Data - Dynamic'!$D:$AF,23,FALSE),"Intake Type Mismatch",IF(VLOOKUP($K34,'Consolidated Data - Static'!$K:$AM,24,FALSE)&lt;&gt;VLOOKUP($K34,'Consolidated Data - Dynamic'!$D:$AF,24,FALSE),"Emancipation Date Mismatch",IF(VLOOKUP($K34,'Consolidated Data - Static'!$K:$AM,25,FALSE)&lt;&gt;VLOOKUP($K34,'Consolidated Data - Dynamic'!$D:$AF,25,FALSE),"Intake Date Mismatch",IF(VLOOKUP($K34,'Consolidated Data - Static'!$K:$AM,26,FALSE)&lt;&gt;VLOOKUP($K34,'Consolidated Data - Dynamic'!$D:$AF,26,FALSE),"LOS Days Mismatch",IF(VLOOKUP($K34,'Consolidated Data - Static'!$K:$AM,27,FALSE)&lt;&gt;VLOOKUP($K34,'Consolidated Data - Dynamic'!$D:$AF,27,FALSE),"Stage Change Mismatch",IF(VLOOKUP($K34,'Consolidated Data - Static'!$K:$AM,28,FALSE)&lt;&gt;VLOOKUP($K34,'Consolidated Data - Dynamic'!$D:$AF,28,FALSE),"Animal Weight Mismatch",IF(VLOOKUP($K34,'Consolidated Data - Static'!$K:$AM,29,FALSE)&lt;&gt;VLOOKUP($K34,'Consolidated Data - Dynamic'!$D:$AF,29,FALSE),"Number of Pictures Mismatch", "Record Match"))))))))))))))))))))))))))))</f>
        <v>Record Match</v>
      </c>
      <c r="J34">
        <v>46184864</v>
      </c>
      <c r="K34" t="s">
        <v>827</v>
      </c>
      <c r="L34" t="s">
        <v>826</v>
      </c>
      <c r="M34" t="s">
        <v>826</v>
      </c>
      <c r="N34" t="s">
        <v>826</v>
      </c>
      <c r="O34" t="s">
        <v>46</v>
      </c>
      <c r="P34" t="s">
        <v>90</v>
      </c>
      <c r="Q34" t="s">
        <v>154</v>
      </c>
      <c r="R34" t="s">
        <v>48</v>
      </c>
      <c r="S34" t="s">
        <v>37</v>
      </c>
      <c r="T34" t="s">
        <v>50</v>
      </c>
      <c r="U34" t="s">
        <v>39</v>
      </c>
      <c r="V34" t="s">
        <v>39</v>
      </c>
      <c r="W34" t="s">
        <v>39</v>
      </c>
      <c r="X34" t="s">
        <v>41</v>
      </c>
      <c r="Y34" t="s">
        <v>41</v>
      </c>
      <c r="Z34" t="s">
        <v>39</v>
      </c>
      <c r="AA34" t="s">
        <v>39</v>
      </c>
      <c r="AB34" t="s">
        <v>40</v>
      </c>
      <c r="AC34" t="s">
        <v>41</v>
      </c>
      <c r="AD34" t="s">
        <v>461</v>
      </c>
      <c r="AE34" t="s">
        <v>138</v>
      </c>
      <c r="AF34" t="s">
        <v>492</v>
      </c>
      <c r="AG34" t="s">
        <v>922</v>
      </c>
      <c r="AH34" s="9">
        <v>45924.633333333331</v>
      </c>
      <c r="AI34" s="9">
        <v>45919.633333333331</v>
      </c>
      <c r="AJ34">
        <v>59.1</v>
      </c>
      <c r="AK34">
        <v>0</v>
      </c>
      <c r="AL34" t="s">
        <v>933</v>
      </c>
      <c r="AM34">
        <v>2</v>
      </c>
      <c r="AN34" t="s">
        <v>1497</v>
      </c>
      <c r="AO34" t="s">
        <v>1497</v>
      </c>
      <c r="AP34" t="s">
        <v>1497</v>
      </c>
      <c r="AQ34" t="s">
        <v>1497</v>
      </c>
      <c r="AR34" t="s">
        <v>1497</v>
      </c>
      <c r="AS34" t="s">
        <v>1497</v>
      </c>
      <c r="AT34" t="s">
        <v>1498</v>
      </c>
    </row>
    <row r="35" spans="1:46" x14ac:dyDescent="0.2">
      <c r="A35">
        <f>VLOOKUP(Table4[[#This Row],[Rescue_ID]],Randomize_10_20_25!$B:$D,3,FALSE)</f>
        <v>1</v>
      </c>
      <c r="B35" t="e">
        <f>VLOOKUP(Table4[[#This Row],[Rescue_ID]],InitialRandom_10_07_25!$I:$AL,30,FALSE)</f>
        <v>#N/A</v>
      </c>
      <c r="C35" s="9">
        <f>VLOOKUP(Table4[[#This Row],[Rescue_ID]],'Experiment Tracker'!$B:$P,7,FALSE)</f>
        <v>45964</v>
      </c>
      <c r="D35" s="8" t="str">
        <f>VLOOKUP(Table4[[#This Row],[Rescue_ID]],'Experiment Tracker'!$B:$P,6,FALSE)</f>
        <v>Hershey is as sweet as his name! This young chocolate Lab/Pointer mix is a lovable goof who just wants to love and be loved. With his warm eyes and big heart, Hershey wins everyone over—kids, dogs, and adults alike. He’s affectionate, friendly, and always ready for cuddles or playtime. Whether he’s chasing a ball, going for a walk, or curling up for snuggles, Hershey brings joy to every moment. He’s the perfect mix of playful energy and gentle affection, making him an ideal family companion. If you’re looking for a loyal, loving pup who will melt your heart every day, Hershey is your guy!</v>
      </c>
      <c r="F35">
        <f>VLOOKUP(Table4[[#This Row],[Rescue_ID]],'Experiment Tracker'!$B:$I,8,FALSE)</f>
        <v>49.3</v>
      </c>
      <c r="H35" t="str">
        <f>VLOOKUP(Table4[[#This Row],[Primary_Breed]],'Breed Group'!$A:$B,2,FALSE)</f>
        <v>Non-Stigma</v>
      </c>
      <c r="I35" t="e">
        <f>IF(VLOOKUP($K35,'Consolidated Data - Static'!$K:$AM,2,FALSE)&lt;&gt;VLOOKUP($K35,'Consolidated Data - Dynamic'!$D:$AF,2,FALSE),"Name-AdoptAPet Mismatch",IF(VLOOKUP($K35,'Consolidated Data - Static'!$K:$AM,3,FALSE)&lt;&gt;VLOOKUP($K35,'Consolidated Data - Dynamic'!$D:$AF,3,FALSE),"Name-PetPoint Mismatch",IF(VLOOKUP($K35,'Consolidated Data - Static'!$K:$AM,4,FALSE)&lt;&gt;VLOOKUP($K35,'Consolidated Data - Dynamic'!$D:$AF,4,FALSE),"Name-Inventory Mismatch", IF(VLOOKUP($K35,'Consolidated Data - Static'!$K:$AM,5,FALSE)&lt;&gt;VLOOKUP($K35,'Consolidated Data - Dynamic'!$D:$AF,5,FALSE),"Primary Breed Mismatch",IF(VLOOKUP($K35,'Consolidated Data - Static'!$K:$AM,6,FALSE)&lt;&gt;VLOOKUP($K35,'Consolidated Data - Dynamic'!$D:$AF,6,FALSE),"Secondary Breed Mismatch", IF(VLOOKUP($K35,'Consolidated Data - Static'!$K:$AM,7,FALSE)&lt;&gt;VLOOKUP($K35,'Consolidated Data - Dynamic'!$D:$AF,7,FALSE),"Color Mismatch",IF(VLOOKUP($K35,'Consolidated Data - Static'!$K:$AM,8,FALSE)&lt;&gt;VLOOKUP($K35,'Consolidated Data - Dynamic'!$D:$AF,8,FALSE),"Sex Mismatch",IF(VLOOKUP($K35,'Consolidated Data - Static'!$K:$AM,9,FALSE)&lt;&gt;VLOOKUP($K35,'Consolidated Data - Dynamic'!$D:$AF,9,FALSE),"Age Mismatch",IF(VLOOKUP($K35,'Consolidated Data - Static'!$K:$AM,10,FALSE)&lt;&gt;VLOOKUP($K35,'Consolidated Data - Dynamic'!$D:$AF,10,FALSE),"Size Mismatch",IF(VLOOKUP($K35,'Consolidated Data - Static'!$K:$AM,11,FALSE)&lt;&gt;VLOOKUP($K35,'Consolidated Data - Dynamic'!$D:$AF,11,FALSE),"Mixed Mismatch",IF(VLOOKUP($K35,'Consolidated Data - Static'!$K:$AM,12,FALSE)&lt;&gt;VLOOKUP($K35,'Consolidated Data - Dynamic'!$D:$AF,12,FALSE),"Altered Mismatch",IF(VLOOKUP($K35,'Consolidated Data - Static'!$K:$AM,13,FALSE)&lt;&gt;VLOOKUP($K35,'Consolidated Data - Dynamic'!$D:$AF,13,FALSE),"Shots Current Mismatch",IF(VLOOKUP($K35,'Consolidated Data - Static'!$K:$AM,14,FALSE)&lt;&gt;VLOOKUP($K35,'Consolidated Data - Dynamic'!$D:$AF,14,FALSE),"Housebroken Mismatch",IF(VLOOKUP($K35,'Consolidated Data - Static'!$K:$AM,15,FALSE)&lt;&gt;VLOOKUP($K35,'Consolidated Data - Dynamic'!$D:$AF,15,FALSE),"Special Needs Mismatch",IF(VLOOKUP($K35,'Consolidated Data - Static'!$K:$AM,16,FALSE)&lt;&gt;VLOOKUP($K35,'Consolidated Data - Dynamic'!$D:$AF,16,FALSE),"OK w/kids Mismatch",IF(VLOOKUP($K35,'Consolidated Data - Static'!$K:$AM,17,FALSE)&lt;&gt;VLOOKUP($K35,'Consolidated Data - Dynamic'!$D:$AF,17,FALSE),"OK w/dogs Mismatch",IF(VLOOKUP($K35,'Consolidated Data - Static'!$K:$AM,18,FALSE)&lt;&gt;VLOOKUP($K35,'Consolidated Data - Dynamic'!$D:$AF,18,FALSE),"OK w/cats Mismatch",IF(VLOOKUP($K35,'Consolidated Data - Static'!$K:$AM,19,FALSE)&lt;&gt;VLOOKUP($K35,'Consolidated Data - Dynamic'!$D:$AF,19,FALSE),"Pre Treatment Description Mismatch",IF(VLOOKUP($K35,'Consolidated Data - Static'!$K:$AM,20,FALSE)&lt;&gt;VLOOKUP($K35,'Consolidated Data - Dynamic'!$D:$AF,20,FALSE),"Stage Mismatch",IF(VLOOKUP($K35,'Consolidated Data - Static'!$K:$AM,21,FALSE)&lt;&gt;VLOOKUP($K35,'Consolidated Data - Dynamic'!$D:$AF,21,FALSE),"Primary Color Mismatch",IF(VLOOKUP($K35,'Consolidated Data - Static'!$K:$AM,22,FALSE)&lt;&gt;VLOOKUP($K35,'Consolidated Data - Dynamic'!$D:$AF,22,FALSE),"Location Mismatch",IF(VLOOKUP($K35,'Consolidated Data - Static'!$K:$AM,23,FALSE)&lt;&gt;VLOOKUP($K35,'Consolidated Data - Dynamic'!$D:$AF,23,FALSE),"Intake Type Mismatch",IF(VLOOKUP($K35,'Consolidated Data - Static'!$K:$AM,24,FALSE)&lt;&gt;VLOOKUP($K35,'Consolidated Data - Dynamic'!$D:$AF,24,FALSE),"Emancipation Date Mismatch",IF(VLOOKUP($K35,'Consolidated Data - Static'!$K:$AM,25,FALSE)&lt;&gt;VLOOKUP($K35,'Consolidated Data - Dynamic'!$D:$AF,25,FALSE),"Intake Date Mismatch",IF(VLOOKUP($K35,'Consolidated Data - Static'!$K:$AM,26,FALSE)&lt;&gt;VLOOKUP($K35,'Consolidated Data - Dynamic'!$D:$AF,26,FALSE),"LOS Days Mismatch",IF(VLOOKUP($K35,'Consolidated Data - Static'!$K:$AM,27,FALSE)&lt;&gt;VLOOKUP($K35,'Consolidated Data - Dynamic'!$D:$AF,27,FALSE),"Stage Change Mismatch",IF(VLOOKUP($K35,'Consolidated Data - Static'!$K:$AM,28,FALSE)&lt;&gt;VLOOKUP($K35,'Consolidated Data - Dynamic'!$D:$AF,28,FALSE),"Animal Weight Mismatch",IF(VLOOKUP($K35,'Consolidated Data - Static'!$K:$AM,29,FALSE)&lt;&gt;VLOOKUP($K35,'Consolidated Data - Dynamic'!$D:$AF,29,FALSE),"Number of Pictures Mismatch", "Record Match"))))))))))))))))))))))))))))</f>
        <v>#N/A</v>
      </c>
      <c r="J35">
        <v>46184910</v>
      </c>
      <c r="K35" t="s">
        <v>802</v>
      </c>
      <c r="L35" t="s">
        <v>2201</v>
      </c>
      <c r="M35" t="e">
        <v>#N/A</v>
      </c>
      <c r="N35" t="e">
        <v>#N/A</v>
      </c>
      <c r="O35" t="s">
        <v>1428</v>
      </c>
      <c r="P35" t="s">
        <v>90</v>
      </c>
      <c r="Q35" t="s">
        <v>146</v>
      </c>
      <c r="R35" t="s">
        <v>48</v>
      </c>
      <c r="S35" t="s">
        <v>37</v>
      </c>
      <c r="T35" t="s">
        <v>50</v>
      </c>
      <c r="U35" t="s">
        <v>39</v>
      </c>
      <c r="V35" t="s">
        <v>39</v>
      </c>
      <c r="W35" t="s">
        <v>39</v>
      </c>
      <c r="X35" t="s">
        <v>41</v>
      </c>
      <c r="Y35" t="s">
        <v>41</v>
      </c>
      <c r="Z35" t="s">
        <v>39</v>
      </c>
      <c r="AA35" t="s">
        <v>39</v>
      </c>
      <c r="AB35" t="s">
        <v>40</v>
      </c>
      <c r="AC35" t="s">
        <v>39</v>
      </c>
      <c r="AD35" t="e">
        <v>#N/A</v>
      </c>
      <c r="AE35" t="e">
        <v>#N/A</v>
      </c>
      <c r="AF35" t="e">
        <v>#N/A</v>
      </c>
      <c r="AG35" t="e">
        <v>#N/A</v>
      </c>
      <c r="AH35" s="9" t="e">
        <v>#N/A</v>
      </c>
      <c r="AI35" s="9" t="e">
        <v>#N/A</v>
      </c>
      <c r="AJ35" t="e">
        <v>#N/A</v>
      </c>
      <c r="AK35" t="e">
        <v>#N/A</v>
      </c>
      <c r="AL35" t="e">
        <v>#N/A</v>
      </c>
      <c r="AM35" t="e">
        <v>#N/A</v>
      </c>
      <c r="AN35" t="s">
        <v>1497</v>
      </c>
      <c r="AO35" t="s">
        <v>1497</v>
      </c>
      <c r="AP35" t="s">
        <v>1497</v>
      </c>
      <c r="AQ35" t="s">
        <v>1497</v>
      </c>
      <c r="AR35" t="s">
        <v>1497</v>
      </c>
      <c r="AS35" t="s">
        <v>1497</v>
      </c>
      <c r="AT35" t="s">
        <v>1498</v>
      </c>
    </row>
    <row r="36" spans="1:46" x14ac:dyDescent="0.2">
      <c r="A36">
        <f>VLOOKUP(Table4[[#This Row],[Rescue_ID]],Randomize_10_20_25!$B:$D,3,FALSE)</f>
        <v>0</v>
      </c>
      <c r="B36" t="e">
        <f>VLOOKUP(Table4[[#This Row],[Rescue_ID]],InitialRandom_10_07_25!$I:$AL,30,FALSE)</f>
        <v>#N/A</v>
      </c>
      <c r="C36" s="9">
        <f>VLOOKUP(Table4[[#This Row],[Rescue_ID]],'Experiment Tracker'!$B:$P,7,FALSE)</f>
        <v>0</v>
      </c>
      <c r="D36" s="8">
        <f>VLOOKUP(Table4[[#This Row],[Rescue_ID]],'Experiment Tracker'!$B:$P,6,FALSE)</f>
        <v>0</v>
      </c>
      <c r="F36">
        <f>VLOOKUP(Table4[[#This Row],[Rescue_ID]],'Experiment Tracker'!$B:$I,8,FALSE)</f>
        <v>75</v>
      </c>
      <c r="H36" t="str">
        <f>VLOOKUP(Table4[[#This Row],[Primary_Breed]],'Breed Group'!$A:$B,2,FALSE)</f>
        <v>Stigma</v>
      </c>
      <c r="I36" t="str">
        <f>IF(VLOOKUP($K36,'Consolidated Data - Static'!$K:$AM,2,FALSE)&lt;&gt;VLOOKUP($K36,'Consolidated Data - Dynamic'!$D:$AF,2,FALSE),"Name-AdoptAPet Mismatch",IF(VLOOKUP($K36,'Consolidated Data - Static'!$K:$AM,3,FALSE)&lt;&gt;VLOOKUP($K36,'Consolidated Data - Dynamic'!$D:$AF,3,FALSE),"Name-PetPoint Mismatch",IF(VLOOKUP($K36,'Consolidated Data - Static'!$K:$AM,4,FALSE)&lt;&gt;VLOOKUP($K36,'Consolidated Data - Dynamic'!$D:$AF,4,FALSE),"Name-Inventory Mismatch", IF(VLOOKUP($K36,'Consolidated Data - Static'!$K:$AM,5,FALSE)&lt;&gt;VLOOKUP($K36,'Consolidated Data - Dynamic'!$D:$AF,5,FALSE),"Primary Breed Mismatch",IF(VLOOKUP($K36,'Consolidated Data - Static'!$K:$AM,6,FALSE)&lt;&gt;VLOOKUP($K36,'Consolidated Data - Dynamic'!$D:$AF,6,FALSE),"Secondary Breed Mismatch", IF(VLOOKUP($K36,'Consolidated Data - Static'!$K:$AM,7,FALSE)&lt;&gt;VLOOKUP($K36,'Consolidated Data - Dynamic'!$D:$AF,7,FALSE),"Color Mismatch",IF(VLOOKUP($K36,'Consolidated Data - Static'!$K:$AM,8,FALSE)&lt;&gt;VLOOKUP($K36,'Consolidated Data - Dynamic'!$D:$AF,8,FALSE),"Sex Mismatch",IF(VLOOKUP($K36,'Consolidated Data - Static'!$K:$AM,9,FALSE)&lt;&gt;VLOOKUP($K36,'Consolidated Data - Dynamic'!$D:$AF,9,FALSE),"Age Mismatch",IF(VLOOKUP($K36,'Consolidated Data - Static'!$K:$AM,10,FALSE)&lt;&gt;VLOOKUP($K36,'Consolidated Data - Dynamic'!$D:$AF,10,FALSE),"Size Mismatch",IF(VLOOKUP($K36,'Consolidated Data - Static'!$K:$AM,11,FALSE)&lt;&gt;VLOOKUP($K36,'Consolidated Data - Dynamic'!$D:$AF,11,FALSE),"Mixed Mismatch",IF(VLOOKUP($K36,'Consolidated Data - Static'!$K:$AM,12,FALSE)&lt;&gt;VLOOKUP($K36,'Consolidated Data - Dynamic'!$D:$AF,12,FALSE),"Altered Mismatch",IF(VLOOKUP($K36,'Consolidated Data - Static'!$K:$AM,13,FALSE)&lt;&gt;VLOOKUP($K36,'Consolidated Data - Dynamic'!$D:$AF,13,FALSE),"Shots Current Mismatch",IF(VLOOKUP($K36,'Consolidated Data - Static'!$K:$AM,14,FALSE)&lt;&gt;VLOOKUP($K36,'Consolidated Data - Dynamic'!$D:$AF,14,FALSE),"Housebroken Mismatch",IF(VLOOKUP($K36,'Consolidated Data - Static'!$K:$AM,15,FALSE)&lt;&gt;VLOOKUP($K36,'Consolidated Data - Dynamic'!$D:$AF,15,FALSE),"Special Needs Mismatch",IF(VLOOKUP($K36,'Consolidated Data - Static'!$K:$AM,16,FALSE)&lt;&gt;VLOOKUP($K36,'Consolidated Data - Dynamic'!$D:$AF,16,FALSE),"OK w/kids Mismatch",IF(VLOOKUP($K36,'Consolidated Data - Static'!$K:$AM,17,FALSE)&lt;&gt;VLOOKUP($K36,'Consolidated Data - Dynamic'!$D:$AF,17,FALSE),"OK w/dogs Mismatch",IF(VLOOKUP($K36,'Consolidated Data - Static'!$K:$AM,18,FALSE)&lt;&gt;VLOOKUP($K36,'Consolidated Data - Dynamic'!$D:$AF,18,FALSE),"OK w/cats Mismatch",IF(VLOOKUP($K36,'Consolidated Data - Static'!$K:$AM,19,FALSE)&lt;&gt;VLOOKUP($K36,'Consolidated Data - Dynamic'!$D:$AF,19,FALSE),"Pre Treatment Description Mismatch",IF(VLOOKUP($K36,'Consolidated Data - Static'!$K:$AM,20,FALSE)&lt;&gt;VLOOKUP($K36,'Consolidated Data - Dynamic'!$D:$AF,20,FALSE),"Stage Mismatch",IF(VLOOKUP($K36,'Consolidated Data - Static'!$K:$AM,21,FALSE)&lt;&gt;VLOOKUP($K36,'Consolidated Data - Dynamic'!$D:$AF,21,FALSE),"Primary Color Mismatch",IF(VLOOKUP($K36,'Consolidated Data - Static'!$K:$AM,22,FALSE)&lt;&gt;VLOOKUP($K36,'Consolidated Data - Dynamic'!$D:$AF,22,FALSE),"Location Mismatch",IF(VLOOKUP($K36,'Consolidated Data - Static'!$K:$AM,23,FALSE)&lt;&gt;VLOOKUP($K36,'Consolidated Data - Dynamic'!$D:$AF,23,FALSE),"Intake Type Mismatch",IF(VLOOKUP($K36,'Consolidated Data - Static'!$K:$AM,24,FALSE)&lt;&gt;VLOOKUP($K36,'Consolidated Data - Dynamic'!$D:$AF,24,FALSE),"Emancipation Date Mismatch",IF(VLOOKUP($K36,'Consolidated Data - Static'!$K:$AM,25,FALSE)&lt;&gt;VLOOKUP($K36,'Consolidated Data - Dynamic'!$D:$AF,25,FALSE),"Intake Date Mismatch",IF(VLOOKUP($K36,'Consolidated Data - Static'!$K:$AM,26,FALSE)&lt;&gt;VLOOKUP($K36,'Consolidated Data - Dynamic'!$D:$AF,26,FALSE),"LOS Days Mismatch",IF(VLOOKUP($K36,'Consolidated Data - Static'!$K:$AM,27,FALSE)&lt;&gt;VLOOKUP($K36,'Consolidated Data - Dynamic'!$D:$AF,27,FALSE),"Stage Change Mismatch",IF(VLOOKUP($K36,'Consolidated Data - Static'!$K:$AM,28,FALSE)&lt;&gt;VLOOKUP($K36,'Consolidated Data - Dynamic'!$D:$AF,28,FALSE),"Animal Weight Mismatch",IF(VLOOKUP($K36,'Consolidated Data - Static'!$K:$AM,29,FALSE)&lt;&gt;VLOOKUP($K36,'Consolidated Data - Dynamic'!$D:$AF,29,FALSE),"Number of Pictures Mismatch", "Record Match"))))))))))))))))))))))))))))</f>
        <v>Record Match</v>
      </c>
      <c r="J36">
        <v>46184619</v>
      </c>
      <c r="K36" t="s">
        <v>713</v>
      </c>
      <c r="L36" t="s">
        <v>712</v>
      </c>
      <c r="M36" t="s">
        <v>1924</v>
      </c>
      <c r="N36" t="s">
        <v>1924</v>
      </c>
      <c r="O36" t="s">
        <v>46</v>
      </c>
      <c r="P36" t="s">
        <v>53</v>
      </c>
      <c r="Q36" t="s">
        <v>1440</v>
      </c>
      <c r="R36" t="s">
        <v>48</v>
      </c>
      <c r="S36" t="s">
        <v>49</v>
      </c>
      <c r="T36" t="s">
        <v>50</v>
      </c>
      <c r="U36" t="s">
        <v>39</v>
      </c>
      <c r="V36" t="s">
        <v>39</v>
      </c>
      <c r="W36" t="s">
        <v>39</v>
      </c>
      <c r="X36" t="s">
        <v>41</v>
      </c>
      <c r="Y36" t="s">
        <v>41</v>
      </c>
      <c r="Z36" t="s">
        <v>39</v>
      </c>
      <c r="AA36" t="s">
        <v>39</v>
      </c>
      <c r="AB36" t="s">
        <v>40</v>
      </c>
      <c r="AC36" t="s">
        <v>41</v>
      </c>
      <c r="AD36" t="s">
        <v>461</v>
      </c>
      <c r="AE36" t="s">
        <v>286</v>
      </c>
      <c r="AF36" t="s">
        <v>446</v>
      </c>
      <c r="AG36" t="s">
        <v>893</v>
      </c>
      <c r="AH36" s="9">
        <v>0</v>
      </c>
      <c r="AI36" s="9">
        <v>45875.455555555556</v>
      </c>
      <c r="AJ36">
        <v>103.3</v>
      </c>
      <c r="AK36">
        <v>0</v>
      </c>
      <c r="AL36" t="s">
        <v>1210</v>
      </c>
      <c r="AM36">
        <v>2</v>
      </c>
      <c r="AN36" t="s">
        <v>1497</v>
      </c>
      <c r="AO36" t="s">
        <v>1497</v>
      </c>
      <c r="AP36" t="s">
        <v>1497</v>
      </c>
      <c r="AQ36" t="s">
        <v>1497</v>
      </c>
      <c r="AR36" t="s">
        <v>1497</v>
      </c>
      <c r="AS36" t="s">
        <v>1497</v>
      </c>
      <c r="AT36" t="s">
        <v>1498</v>
      </c>
    </row>
    <row r="37" spans="1:46" x14ac:dyDescent="0.2">
      <c r="A37">
        <f>VLOOKUP(Table4[[#This Row],[Rescue_ID]],Randomize_10_20_25!$B:$D,3,FALSE)</f>
        <v>1</v>
      </c>
      <c r="B37" t="e">
        <f>VLOOKUP(Table4[[#This Row],[Rescue_ID]],InitialRandom_10_07_25!$I:$AL,30,FALSE)</f>
        <v>#N/A</v>
      </c>
      <c r="C37" s="9">
        <f>VLOOKUP(Table4[[#This Row],[Rescue_ID]],'Experiment Tracker'!$B:$P,7,FALSE)</f>
        <v>45964</v>
      </c>
      <c r="D37" s="8" t="str">
        <f>VLOOKUP(Table4[[#This Row],[Rescue_ID]],'Experiment Tracker'!$B:$P,6,FALSE)</f>
        <v>Rocky is a gentle sweetheart with a soft soul and a big heart. This handsome brindle-and-white Pittie/Bulldog mix can be a little shy at first, but once he feels comfortable, his affectionate and loving nature shines through. Rocky is wonderful with kids and other dogs, making him a perfect family companion. He has a calm, mellow energy and enjoys simple pleasures—gentle pets, cozy naps, and quiet moments with his people. Once he trusts you, he’ll shower you with loyalty and love. If you’re looking for a kind, tender-hearted dog who just needs a little patience to blossom, Rocky will be your most devoted friend.</v>
      </c>
      <c r="F37">
        <f>VLOOKUP(Table4[[#This Row],[Rescue_ID]],'Experiment Tracker'!$B:$I,8,FALSE)</f>
        <v>42.3</v>
      </c>
      <c r="H37" t="str">
        <f>VLOOKUP(Table4[[#This Row],[Primary_Breed]],'Breed Group'!$A:$B,2,FALSE)</f>
        <v>Stigma</v>
      </c>
      <c r="I37" t="str">
        <f>IF(VLOOKUP($K37,'Consolidated Data - Static'!$K:$AM,2,FALSE)&lt;&gt;VLOOKUP($K37,'Consolidated Data - Dynamic'!$D:$AF,2,FALSE),"Name-AdoptAPet Mismatch",IF(VLOOKUP($K37,'Consolidated Data - Static'!$K:$AM,3,FALSE)&lt;&gt;VLOOKUP($K37,'Consolidated Data - Dynamic'!$D:$AF,3,FALSE),"Name-PetPoint Mismatch",IF(VLOOKUP($K37,'Consolidated Data - Static'!$K:$AM,4,FALSE)&lt;&gt;VLOOKUP($K37,'Consolidated Data - Dynamic'!$D:$AF,4,FALSE),"Name-Inventory Mismatch", IF(VLOOKUP($K37,'Consolidated Data - Static'!$K:$AM,5,FALSE)&lt;&gt;VLOOKUP($K37,'Consolidated Data - Dynamic'!$D:$AF,5,FALSE),"Primary Breed Mismatch",IF(VLOOKUP($K37,'Consolidated Data - Static'!$K:$AM,6,FALSE)&lt;&gt;VLOOKUP($K37,'Consolidated Data - Dynamic'!$D:$AF,6,FALSE),"Secondary Breed Mismatch", IF(VLOOKUP($K37,'Consolidated Data - Static'!$K:$AM,7,FALSE)&lt;&gt;VLOOKUP($K37,'Consolidated Data - Dynamic'!$D:$AF,7,FALSE),"Color Mismatch",IF(VLOOKUP($K37,'Consolidated Data - Static'!$K:$AM,8,FALSE)&lt;&gt;VLOOKUP($K37,'Consolidated Data - Dynamic'!$D:$AF,8,FALSE),"Sex Mismatch",IF(VLOOKUP($K37,'Consolidated Data - Static'!$K:$AM,9,FALSE)&lt;&gt;VLOOKUP($K37,'Consolidated Data - Dynamic'!$D:$AF,9,FALSE),"Age Mismatch",IF(VLOOKUP($K37,'Consolidated Data - Static'!$K:$AM,10,FALSE)&lt;&gt;VLOOKUP($K37,'Consolidated Data - Dynamic'!$D:$AF,10,FALSE),"Size Mismatch",IF(VLOOKUP($K37,'Consolidated Data - Static'!$K:$AM,11,FALSE)&lt;&gt;VLOOKUP($K37,'Consolidated Data - Dynamic'!$D:$AF,11,FALSE),"Mixed Mismatch",IF(VLOOKUP($K37,'Consolidated Data - Static'!$K:$AM,12,FALSE)&lt;&gt;VLOOKUP($K37,'Consolidated Data - Dynamic'!$D:$AF,12,FALSE),"Altered Mismatch",IF(VLOOKUP($K37,'Consolidated Data - Static'!$K:$AM,13,FALSE)&lt;&gt;VLOOKUP($K37,'Consolidated Data - Dynamic'!$D:$AF,13,FALSE),"Shots Current Mismatch",IF(VLOOKUP($K37,'Consolidated Data - Static'!$K:$AM,14,FALSE)&lt;&gt;VLOOKUP($K37,'Consolidated Data - Dynamic'!$D:$AF,14,FALSE),"Housebroken Mismatch",IF(VLOOKUP($K37,'Consolidated Data - Static'!$K:$AM,15,FALSE)&lt;&gt;VLOOKUP($K37,'Consolidated Data - Dynamic'!$D:$AF,15,FALSE),"Special Needs Mismatch",IF(VLOOKUP($K37,'Consolidated Data - Static'!$K:$AM,16,FALSE)&lt;&gt;VLOOKUP($K37,'Consolidated Data - Dynamic'!$D:$AF,16,FALSE),"OK w/kids Mismatch",IF(VLOOKUP($K37,'Consolidated Data - Static'!$K:$AM,17,FALSE)&lt;&gt;VLOOKUP($K37,'Consolidated Data - Dynamic'!$D:$AF,17,FALSE),"OK w/dogs Mismatch",IF(VLOOKUP($K37,'Consolidated Data - Static'!$K:$AM,18,FALSE)&lt;&gt;VLOOKUP($K37,'Consolidated Data - Dynamic'!$D:$AF,18,FALSE),"OK w/cats Mismatch",IF(VLOOKUP($K37,'Consolidated Data - Static'!$K:$AM,19,FALSE)&lt;&gt;VLOOKUP($K37,'Consolidated Data - Dynamic'!$D:$AF,19,FALSE),"Pre Treatment Description Mismatch",IF(VLOOKUP($K37,'Consolidated Data - Static'!$K:$AM,20,FALSE)&lt;&gt;VLOOKUP($K37,'Consolidated Data - Dynamic'!$D:$AF,20,FALSE),"Stage Mismatch",IF(VLOOKUP($K37,'Consolidated Data - Static'!$K:$AM,21,FALSE)&lt;&gt;VLOOKUP($K37,'Consolidated Data - Dynamic'!$D:$AF,21,FALSE),"Primary Color Mismatch",IF(VLOOKUP($K37,'Consolidated Data - Static'!$K:$AM,22,FALSE)&lt;&gt;VLOOKUP($K37,'Consolidated Data - Dynamic'!$D:$AF,22,FALSE),"Location Mismatch",IF(VLOOKUP($K37,'Consolidated Data - Static'!$K:$AM,23,FALSE)&lt;&gt;VLOOKUP($K37,'Consolidated Data - Dynamic'!$D:$AF,23,FALSE),"Intake Type Mismatch",IF(VLOOKUP($K37,'Consolidated Data - Static'!$K:$AM,24,FALSE)&lt;&gt;VLOOKUP($K37,'Consolidated Data - Dynamic'!$D:$AF,24,FALSE),"Emancipation Date Mismatch",IF(VLOOKUP($K37,'Consolidated Data - Static'!$K:$AM,25,FALSE)&lt;&gt;VLOOKUP($K37,'Consolidated Data - Dynamic'!$D:$AF,25,FALSE),"Intake Date Mismatch",IF(VLOOKUP($K37,'Consolidated Data - Static'!$K:$AM,26,FALSE)&lt;&gt;VLOOKUP($K37,'Consolidated Data - Dynamic'!$D:$AF,26,FALSE),"LOS Days Mismatch",IF(VLOOKUP($K37,'Consolidated Data - Static'!$K:$AM,27,FALSE)&lt;&gt;VLOOKUP($K37,'Consolidated Data - Dynamic'!$D:$AF,27,FALSE),"Stage Change Mismatch",IF(VLOOKUP($K37,'Consolidated Data - Static'!$K:$AM,28,FALSE)&lt;&gt;VLOOKUP($K37,'Consolidated Data - Dynamic'!$D:$AF,28,FALSE),"Animal Weight Mismatch",IF(VLOOKUP($K37,'Consolidated Data - Static'!$K:$AM,29,FALSE)&lt;&gt;VLOOKUP($K37,'Consolidated Data - Dynamic'!$D:$AF,29,FALSE),"Number of Pictures Mismatch", "Record Match"))))))))))))))))))))))))))))</f>
        <v>Record Match</v>
      </c>
      <c r="J37">
        <v>46185064</v>
      </c>
      <c r="K37" t="s">
        <v>834</v>
      </c>
      <c r="L37" t="s">
        <v>833</v>
      </c>
      <c r="M37" t="s">
        <v>833</v>
      </c>
      <c r="N37" t="s">
        <v>833</v>
      </c>
      <c r="O37" t="s">
        <v>46</v>
      </c>
      <c r="P37" t="s">
        <v>1444</v>
      </c>
      <c r="Q37" t="s">
        <v>69</v>
      </c>
      <c r="R37" t="s">
        <v>48</v>
      </c>
      <c r="S37" t="s">
        <v>49</v>
      </c>
      <c r="T37" t="s">
        <v>50</v>
      </c>
      <c r="U37" t="s">
        <v>39</v>
      </c>
      <c r="V37" t="s">
        <v>39</v>
      </c>
      <c r="W37" t="s">
        <v>39</v>
      </c>
      <c r="X37" t="s">
        <v>41</v>
      </c>
      <c r="Y37" t="s">
        <v>41</v>
      </c>
      <c r="Z37" t="s">
        <v>39</v>
      </c>
      <c r="AA37" t="s">
        <v>39</v>
      </c>
      <c r="AB37" t="s">
        <v>40</v>
      </c>
      <c r="AC37" t="s">
        <v>39</v>
      </c>
      <c r="AD37" t="s">
        <v>461</v>
      </c>
      <c r="AE37" t="s">
        <v>448</v>
      </c>
      <c r="AF37" t="s">
        <v>492</v>
      </c>
      <c r="AG37" t="s">
        <v>887</v>
      </c>
      <c r="AH37" s="9">
        <v>45927.527083333334</v>
      </c>
      <c r="AI37" s="9">
        <v>45922.527083333334</v>
      </c>
      <c r="AJ37">
        <v>56.3</v>
      </c>
      <c r="AK37">
        <v>0</v>
      </c>
      <c r="AL37" t="s">
        <v>943</v>
      </c>
      <c r="AM37">
        <v>2</v>
      </c>
      <c r="AN37" t="s">
        <v>1497</v>
      </c>
      <c r="AO37" t="s">
        <v>1497</v>
      </c>
      <c r="AP37" t="s">
        <v>1497</v>
      </c>
      <c r="AQ37" t="s">
        <v>1497</v>
      </c>
      <c r="AR37" t="s">
        <v>1497</v>
      </c>
      <c r="AS37" t="s">
        <v>1497</v>
      </c>
      <c r="AT37" t="s">
        <v>1498</v>
      </c>
    </row>
    <row r="38" spans="1:46" x14ac:dyDescent="0.2">
      <c r="A38" t="e">
        <f>VLOOKUP(Table4[[#This Row],[Rescue_ID]],Randomize_10_20_25!$B:$D,3,FALSE)</f>
        <v>#N/A</v>
      </c>
      <c r="B38" t="e">
        <f>VLOOKUP(Table4[[#This Row],[Rescue_ID]],InitialRandom_10_07_25!$I:$AL,30,FALSE)</f>
        <v>#N/A</v>
      </c>
      <c r="C38" s="9" t="e">
        <f>VLOOKUP(Table4[[#This Row],[Rescue_ID]],'Experiment Tracker'!$B:$P,7,FALSE)</f>
        <v>#N/A</v>
      </c>
      <c r="D38" s="8" t="e">
        <f>VLOOKUP(Table4[[#This Row],[Rescue_ID]],'Experiment Tracker'!$B:$P,6,FALSE)</f>
        <v>#N/A</v>
      </c>
      <c r="F38" t="e">
        <f>VLOOKUP(Table4[[#This Row],[Rescue_ID]],'Experiment Tracker'!$B:$I,8,FALSE)</f>
        <v>#N/A</v>
      </c>
      <c r="H38" t="str">
        <f>VLOOKUP(Table4[[#This Row],[Primary_Breed]],'Breed Group'!$A:$B,2,FALSE)</f>
        <v>Stigma</v>
      </c>
      <c r="I38" t="str">
        <f>IF(VLOOKUP($K38,'Consolidated Data - Static'!$K:$AM,2,FALSE)&lt;&gt;VLOOKUP($K38,'Consolidated Data - Dynamic'!$D:$AF,2,FALSE),"Name-AdoptAPet Mismatch",IF(VLOOKUP($K38,'Consolidated Data - Static'!$K:$AM,3,FALSE)&lt;&gt;VLOOKUP($K38,'Consolidated Data - Dynamic'!$D:$AF,3,FALSE),"Name-PetPoint Mismatch",IF(VLOOKUP($K38,'Consolidated Data - Static'!$K:$AM,4,FALSE)&lt;&gt;VLOOKUP($K38,'Consolidated Data - Dynamic'!$D:$AF,4,FALSE),"Name-Inventory Mismatch", IF(VLOOKUP($K38,'Consolidated Data - Static'!$K:$AM,5,FALSE)&lt;&gt;VLOOKUP($K38,'Consolidated Data - Dynamic'!$D:$AF,5,FALSE),"Primary Breed Mismatch",IF(VLOOKUP($K38,'Consolidated Data - Static'!$K:$AM,6,FALSE)&lt;&gt;VLOOKUP($K38,'Consolidated Data - Dynamic'!$D:$AF,6,FALSE),"Secondary Breed Mismatch", IF(VLOOKUP($K38,'Consolidated Data - Static'!$K:$AM,7,FALSE)&lt;&gt;VLOOKUP($K38,'Consolidated Data - Dynamic'!$D:$AF,7,FALSE),"Color Mismatch",IF(VLOOKUP($K38,'Consolidated Data - Static'!$K:$AM,8,FALSE)&lt;&gt;VLOOKUP($K38,'Consolidated Data - Dynamic'!$D:$AF,8,FALSE),"Sex Mismatch",IF(VLOOKUP($K38,'Consolidated Data - Static'!$K:$AM,9,FALSE)&lt;&gt;VLOOKUP($K38,'Consolidated Data - Dynamic'!$D:$AF,9,FALSE),"Age Mismatch",IF(VLOOKUP($K38,'Consolidated Data - Static'!$K:$AM,10,FALSE)&lt;&gt;VLOOKUP($K38,'Consolidated Data - Dynamic'!$D:$AF,10,FALSE),"Size Mismatch",IF(VLOOKUP($K38,'Consolidated Data - Static'!$K:$AM,11,FALSE)&lt;&gt;VLOOKUP($K38,'Consolidated Data - Dynamic'!$D:$AF,11,FALSE),"Mixed Mismatch",IF(VLOOKUP($K38,'Consolidated Data - Static'!$K:$AM,12,FALSE)&lt;&gt;VLOOKUP($K38,'Consolidated Data - Dynamic'!$D:$AF,12,FALSE),"Altered Mismatch",IF(VLOOKUP($K38,'Consolidated Data - Static'!$K:$AM,13,FALSE)&lt;&gt;VLOOKUP($K38,'Consolidated Data - Dynamic'!$D:$AF,13,FALSE),"Shots Current Mismatch",IF(VLOOKUP($K38,'Consolidated Data - Static'!$K:$AM,14,FALSE)&lt;&gt;VLOOKUP($K38,'Consolidated Data - Dynamic'!$D:$AF,14,FALSE),"Housebroken Mismatch",IF(VLOOKUP($K38,'Consolidated Data - Static'!$K:$AM,15,FALSE)&lt;&gt;VLOOKUP($K38,'Consolidated Data - Dynamic'!$D:$AF,15,FALSE),"Special Needs Mismatch",IF(VLOOKUP($K38,'Consolidated Data - Static'!$K:$AM,16,FALSE)&lt;&gt;VLOOKUP($K38,'Consolidated Data - Dynamic'!$D:$AF,16,FALSE),"OK w/kids Mismatch",IF(VLOOKUP($K38,'Consolidated Data - Static'!$K:$AM,17,FALSE)&lt;&gt;VLOOKUP($K38,'Consolidated Data - Dynamic'!$D:$AF,17,FALSE),"OK w/dogs Mismatch",IF(VLOOKUP($K38,'Consolidated Data - Static'!$K:$AM,18,FALSE)&lt;&gt;VLOOKUP($K38,'Consolidated Data - Dynamic'!$D:$AF,18,FALSE),"OK w/cats Mismatch",IF(VLOOKUP($K38,'Consolidated Data - Static'!$K:$AM,19,FALSE)&lt;&gt;VLOOKUP($K38,'Consolidated Data - Dynamic'!$D:$AF,19,FALSE),"Pre Treatment Description Mismatch",IF(VLOOKUP($K38,'Consolidated Data - Static'!$K:$AM,20,FALSE)&lt;&gt;VLOOKUP($K38,'Consolidated Data - Dynamic'!$D:$AF,20,FALSE),"Stage Mismatch",IF(VLOOKUP($K38,'Consolidated Data - Static'!$K:$AM,21,FALSE)&lt;&gt;VLOOKUP($K38,'Consolidated Data - Dynamic'!$D:$AF,21,FALSE),"Primary Color Mismatch",IF(VLOOKUP($K38,'Consolidated Data - Static'!$K:$AM,22,FALSE)&lt;&gt;VLOOKUP($K38,'Consolidated Data - Dynamic'!$D:$AF,22,FALSE),"Location Mismatch",IF(VLOOKUP($K38,'Consolidated Data - Static'!$K:$AM,23,FALSE)&lt;&gt;VLOOKUP($K38,'Consolidated Data - Dynamic'!$D:$AF,23,FALSE),"Intake Type Mismatch",IF(VLOOKUP($K38,'Consolidated Data - Static'!$K:$AM,24,FALSE)&lt;&gt;VLOOKUP($K38,'Consolidated Data - Dynamic'!$D:$AF,24,FALSE),"Emancipation Date Mismatch",IF(VLOOKUP($K38,'Consolidated Data - Static'!$K:$AM,25,FALSE)&lt;&gt;VLOOKUP($K38,'Consolidated Data - Dynamic'!$D:$AF,25,FALSE),"Intake Date Mismatch",IF(VLOOKUP($K38,'Consolidated Data - Static'!$K:$AM,26,FALSE)&lt;&gt;VLOOKUP($K38,'Consolidated Data - Dynamic'!$D:$AF,26,FALSE),"LOS Days Mismatch",IF(VLOOKUP($K38,'Consolidated Data - Static'!$K:$AM,27,FALSE)&lt;&gt;VLOOKUP($K38,'Consolidated Data - Dynamic'!$D:$AF,27,FALSE),"Stage Change Mismatch",IF(VLOOKUP($K38,'Consolidated Data - Static'!$K:$AM,28,FALSE)&lt;&gt;VLOOKUP($K38,'Consolidated Data - Dynamic'!$D:$AF,28,FALSE),"Animal Weight Mismatch",IF(VLOOKUP($K38,'Consolidated Data - Static'!$K:$AM,29,FALSE)&lt;&gt;VLOOKUP($K38,'Consolidated Data - Dynamic'!$D:$AF,29,FALSE),"Number of Pictures Mismatch", "Record Match"))))))))))))))))))))))))))))</f>
        <v>Record Match</v>
      </c>
      <c r="J38">
        <v>46336664</v>
      </c>
      <c r="K38" t="s">
        <v>796</v>
      </c>
      <c r="L38" t="s">
        <v>2204</v>
      </c>
      <c r="M38" t="s">
        <v>1178</v>
      </c>
      <c r="N38" t="s">
        <v>1178</v>
      </c>
      <c r="O38" t="s">
        <v>46</v>
      </c>
      <c r="P38">
        <v>0</v>
      </c>
      <c r="Q38" t="s">
        <v>112</v>
      </c>
      <c r="R38" t="s">
        <v>48</v>
      </c>
      <c r="S38" t="s">
        <v>37</v>
      </c>
      <c r="T38" t="s">
        <v>50</v>
      </c>
      <c r="U38" t="s">
        <v>39</v>
      </c>
      <c r="V38" t="s">
        <v>39</v>
      </c>
      <c r="W38" t="s">
        <v>39</v>
      </c>
      <c r="X38" t="s">
        <v>41</v>
      </c>
      <c r="Y38" t="s">
        <v>41</v>
      </c>
      <c r="Z38" t="s">
        <v>40</v>
      </c>
      <c r="AA38" t="s">
        <v>40</v>
      </c>
      <c r="AB38" t="s">
        <v>40</v>
      </c>
      <c r="AC38" t="s">
        <v>41</v>
      </c>
      <c r="AD38" t="s">
        <v>461</v>
      </c>
      <c r="AE38" t="s">
        <v>112</v>
      </c>
      <c r="AF38" t="s">
        <v>446</v>
      </c>
      <c r="AG38" t="s">
        <v>922</v>
      </c>
      <c r="AH38" s="9">
        <v>45917.484027777777</v>
      </c>
      <c r="AI38" s="9">
        <v>45912.484027777777</v>
      </c>
      <c r="AJ38">
        <v>66.3</v>
      </c>
      <c r="AK38">
        <v>0</v>
      </c>
      <c r="AL38" t="s">
        <v>995</v>
      </c>
      <c r="AM38">
        <v>1</v>
      </c>
      <c r="AN38">
        <v>159</v>
      </c>
      <c r="AO38">
        <v>286</v>
      </c>
      <c r="AP38">
        <v>286</v>
      </c>
      <c r="AQ38">
        <v>13</v>
      </c>
      <c r="AR38">
        <v>45</v>
      </c>
      <c r="AS38">
        <v>45</v>
      </c>
      <c r="AT38" s="5">
        <v>8.2000000000000003E-2</v>
      </c>
    </row>
    <row r="39" spans="1:46" x14ac:dyDescent="0.2">
      <c r="A39" t="e">
        <f>VLOOKUP(Table4[[#This Row],[Rescue_ID]],Randomize_10_20_25!$B:$D,3,FALSE)</f>
        <v>#N/A</v>
      </c>
      <c r="B39" t="e">
        <f>VLOOKUP(Table4[[#This Row],[Rescue_ID]],InitialRandom_10_07_25!$I:$AL,30,FALSE)</f>
        <v>#N/A</v>
      </c>
      <c r="C39" s="9" t="e">
        <f>VLOOKUP(Table4[[#This Row],[Rescue_ID]],'Experiment Tracker'!$B:$P,7,FALSE)</f>
        <v>#N/A</v>
      </c>
      <c r="D39" s="8" t="e">
        <f>VLOOKUP(Table4[[#This Row],[Rescue_ID]],'Experiment Tracker'!$B:$P,6,FALSE)</f>
        <v>#N/A</v>
      </c>
      <c r="F39" t="e">
        <f>VLOOKUP(Table4[[#This Row],[Rescue_ID]],'Experiment Tracker'!$B:$I,8,FALSE)</f>
        <v>#N/A</v>
      </c>
      <c r="H39" t="str">
        <f>VLOOKUP(Table4[[#This Row],[Primary_Breed]],'Breed Group'!$A:$B,2,FALSE)</f>
        <v>Stigma</v>
      </c>
      <c r="I39" t="str">
        <f>IF(VLOOKUP($K39,'Consolidated Data - Static'!$K:$AM,2,FALSE)&lt;&gt;VLOOKUP($K39,'Consolidated Data - Dynamic'!$D:$AF,2,FALSE),"Name-AdoptAPet Mismatch",IF(VLOOKUP($K39,'Consolidated Data - Static'!$K:$AM,3,FALSE)&lt;&gt;VLOOKUP($K39,'Consolidated Data - Dynamic'!$D:$AF,3,FALSE),"Name-PetPoint Mismatch",IF(VLOOKUP($K39,'Consolidated Data - Static'!$K:$AM,4,FALSE)&lt;&gt;VLOOKUP($K39,'Consolidated Data - Dynamic'!$D:$AF,4,FALSE),"Name-Inventory Mismatch", IF(VLOOKUP($K39,'Consolidated Data - Static'!$K:$AM,5,FALSE)&lt;&gt;VLOOKUP($K39,'Consolidated Data - Dynamic'!$D:$AF,5,FALSE),"Primary Breed Mismatch",IF(VLOOKUP($K39,'Consolidated Data - Static'!$K:$AM,6,FALSE)&lt;&gt;VLOOKUP($K39,'Consolidated Data - Dynamic'!$D:$AF,6,FALSE),"Secondary Breed Mismatch", IF(VLOOKUP($K39,'Consolidated Data - Static'!$K:$AM,7,FALSE)&lt;&gt;VLOOKUP($K39,'Consolidated Data - Dynamic'!$D:$AF,7,FALSE),"Color Mismatch",IF(VLOOKUP($K39,'Consolidated Data - Static'!$K:$AM,8,FALSE)&lt;&gt;VLOOKUP($K39,'Consolidated Data - Dynamic'!$D:$AF,8,FALSE),"Sex Mismatch",IF(VLOOKUP($K39,'Consolidated Data - Static'!$K:$AM,9,FALSE)&lt;&gt;VLOOKUP($K39,'Consolidated Data - Dynamic'!$D:$AF,9,FALSE),"Age Mismatch",IF(VLOOKUP($K39,'Consolidated Data - Static'!$K:$AM,10,FALSE)&lt;&gt;VLOOKUP($K39,'Consolidated Data - Dynamic'!$D:$AF,10,FALSE),"Size Mismatch",IF(VLOOKUP($K39,'Consolidated Data - Static'!$K:$AM,11,FALSE)&lt;&gt;VLOOKUP($K39,'Consolidated Data - Dynamic'!$D:$AF,11,FALSE),"Mixed Mismatch",IF(VLOOKUP($K39,'Consolidated Data - Static'!$K:$AM,12,FALSE)&lt;&gt;VLOOKUP($K39,'Consolidated Data - Dynamic'!$D:$AF,12,FALSE),"Altered Mismatch",IF(VLOOKUP($K39,'Consolidated Data - Static'!$K:$AM,13,FALSE)&lt;&gt;VLOOKUP($K39,'Consolidated Data - Dynamic'!$D:$AF,13,FALSE),"Shots Current Mismatch",IF(VLOOKUP($K39,'Consolidated Data - Static'!$K:$AM,14,FALSE)&lt;&gt;VLOOKUP($K39,'Consolidated Data - Dynamic'!$D:$AF,14,FALSE),"Housebroken Mismatch",IF(VLOOKUP($K39,'Consolidated Data - Static'!$K:$AM,15,FALSE)&lt;&gt;VLOOKUP($K39,'Consolidated Data - Dynamic'!$D:$AF,15,FALSE),"Special Needs Mismatch",IF(VLOOKUP($K39,'Consolidated Data - Static'!$K:$AM,16,FALSE)&lt;&gt;VLOOKUP($K39,'Consolidated Data - Dynamic'!$D:$AF,16,FALSE),"OK w/kids Mismatch",IF(VLOOKUP($K39,'Consolidated Data - Static'!$K:$AM,17,FALSE)&lt;&gt;VLOOKUP($K39,'Consolidated Data - Dynamic'!$D:$AF,17,FALSE),"OK w/dogs Mismatch",IF(VLOOKUP($K39,'Consolidated Data - Static'!$K:$AM,18,FALSE)&lt;&gt;VLOOKUP($K39,'Consolidated Data - Dynamic'!$D:$AF,18,FALSE),"OK w/cats Mismatch",IF(VLOOKUP($K39,'Consolidated Data - Static'!$K:$AM,19,FALSE)&lt;&gt;VLOOKUP($K39,'Consolidated Data - Dynamic'!$D:$AF,19,FALSE),"Pre Treatment Description Mismatch",IF(VLOOKUP($K39,'Consolidated Data - Static'!$K:$AM,20,FALSE)&lt;&gt;VLOOKUP($K39,'Consolidated Data - Dynamic'!$D:$AF,20,FALSE),"Stage Mismatch",IF(VLOOKUP($K39,'Consolidated Data - Static'!$K:$AM,21,FALSE)&lt;&gt;VLOOKUP($K39,'Consolidated Data - Dynamic'!$D:$AF,21,FALSE),"Primary Color Mismatch",IF(VLOOKUP($K39,'Consolidated Data - Static'!$K:$AM,22,FALSE)&lt;&gt;VLOOKUP($K39,'Consolidated Data - Dynamic'!$D:$AF,22,FALSE),"Location Mismatch",IF(VLOOKUP($K39,'Consolidated Data - Static'!$K:$AM,23,FALSE)&lt;&gt;VLOOKUP($K39,'Consolidated Data - Dynamic'!$D:$AF,23,FALSE),"Intake Type Mismatch",IF(VLOOKUP($K39,'Consolidated Data - Static'!$K:$AM,24,FALSE)&lt;&gt;VLOOKUP($K39,'Consolidated Data - Dynamic'!$D:$AF,24,FALSE),"Emancipation Date Mismatch",IF(VLOOKUP($K39,'Consolidated Data - Static'!$K:$AM,25,FALSE)&lt;&gt;VLOOKUP($K39,'Consolidated Data - Dynamic'!$D:$AF,25,FALSE),"Intake Date Mismatch",IF(VLOOKUP($K39,'Consolidated Data - Static'!$K:$AM,26,FALSE)&lt;&gt;VLOOKUP($K39,'Consolidated Data - Dynamic'!$D:$AF,26,FALSE),"LOS Days Mismatch",IF(VLOOKUP($K39,'Consolidated Data - Static'!$K:$AM,27,FALSE)&lt;&gt;VLOOKUP($K39,'Consolidated Data - Dynamic'!$D:$AF,27,FALSE),"Stage Change Mismatch",IF(VLOOKUP($K39,'Consolidated Data - Static'!$K:$AM,28,FALSE)&lt;&gt;VLOOKUP($K39,'Consolidated Data - Dynamic'!$D:$AF,28,FALSE),"Animal Weight Mismatch",IF(VLOOKUP($K39,'Consolidated Data - Static'!$K:$AM,29,FALSE)&lt;&gt;VLOOKUP($K39,'Consolidated Data - Dynamic'!$D:$AF,29,FALSE),"Number of Pictures Mismatch", "Record Match"))))))))))))))))))))))))))))</f>
        <v>Record Match</v>
      </c>
      <c r="J39">
        <v>46336636</v>
      </c>
      <c r="K39" t="s">
        <v>797</v>
      </c>
      <c r="L39" t="s">
        <v>2209</v>
      </c>
      <c r="M39" t="s">
        <v>1176</v>
      </c>
      <c r="N39" t="s">
        <v>1176</v>
      </c>
      <c r="O39" t="s">
        <v>46</v>
      </c>
      <c r="P39">
        <v>0</v>
      </c>
      <c r="Q39" t="s">
        <v>146</v>
      </c>
      <c r="R39" t="s">
        <v>48</v>
      </c>
      <c r="S39" t="s">
        <v>37</v>
      </c>
      <c r="T39" t="s">
        <v>50</v>
      </c>
      <c r="U39" t="s">
        <v>39</v>
      </c>
      <c r="V39" t="s">
        <v>39</v>
      </c>
      <c r="W39" t="s">
        <v>39</v>
      </c>
      <c r="X39" t="s">
        <v>41</v>
      </c>
      <c r="Y39" t="s">
        <v>41</v>
      </c>
      <c r="Z39" t="s">
        <v>40</v>
      </c>
      <c r="AA39" t="s">
        <v>40</v>
      </c>
      <c r="AB39" t="s">
        <v>40</v>
      </c>
      <c r="AC39" t="s">
        <v>41</v>
      </c>
      <c r="AD39" t="s">
        <v>461</v>
      </c>
      <c r="AE39" t="s">
        <v>448</v>
      </c>
      <c r="AF39" t="s">
        <v>446</v>
      </c>
      <c r="AG39" t="s">
        <v>922</v>
      </c>
      <c r="AH39" s="9">
        <v>45917.484027777777</v>
      </c>
      <c r="AI39" s="9">
        <v>45912.484027777777</v>
      </c>
      <c r="AJ39">
        <v>66.3</v>
      </c>
      <c r="AK39">
        <v>0</v>
      </c>
      <c r="AL39" t="s">
        <v>995</v>
      </c>
      <c r="AM39">
        <v>1</v>
      </c>
      <c r="AN39" t="e">
        <v>#N/A</v>
      </c>
      <c r="AO39" t="e">
        <v>#N/A</v>
      </c>
      <c r="AP39" t="e">
        <v>#N/A</v>
      </c>
      <c r="AQ39" t="e">
        <v>#N/A</v>
      </c>
      <c r="AR39" t="e">
        <v>#N/A</v>
      </c>
      <c r="AS39" t="e">
        <v>#N/A</v>
      </c>
      <c r="AT39" t="e">
        <v>#N/A</v>
      </c>
    </row>
    <row r="40" spans="1:46" x14ac:dyDescent="0.2">
      <c r="A40" t="e">
        <f>VLOOKUP(Table4[[#This Row],[Rescue_ID]],Randomize_10_20_25!$B:$D,3,FALSE)</f>
        <v>#N/A</v>
      </c>
      <c r="B40" t="e">
        <f>VLOOKUP(Table4[[#This Row],[Rescue_ID]],InitialRandom_10_07_25!$I:$AL,30,FALSE)</f>
        <v>#N/A</v>
      </c>
      <c r="C40" s="9" t="e">
        <f>VLOOKUP(Table4[[#This Row],[Rescue_ID]],'Experiment Tracker'!$B:$P,7,FALSE)</f>
        <v>#N/A</v>
      </c>
      <c r="D40" s="8" t="e">
        <f>VLOOKUP(Table4[[#This Row],[Rescue_ID]],'Experiment Tracker'!$B:$P,6,FALSE)</f>
        <v>#N/A</v>
      </c>
      <c r="F40" t="e">
        <f>VLOOKUP(Table4[[#This Row],[Rescue_ID]],'Experiment Tracker'!$B:$I,8,FALSE)</f>
        <v>#N/A</v>
      </c>
      <c r="H40" t="str">
        <f>VLOOKUP(Table4[[#This Row],[Primary_Breed]],'Breed Group'!$A:$B,2,FALSE)</f>
        <v>Non-Stigma</v>
      </c>
      <c r="I40" t="str">
        <f>IF(VLOOKUP($K40,'Consolidated Data - Static'!$K:$AM,2,FALSE)&lt;&gt;VLOOKUP($K40,'Consolidated Data - Dynamic'!$D:$AF,2,FALSE),"Name-AdoptAPet Mismatch",IF(VLOOKUP($K40,'Consolidated Data - Static'!$K:$AM,3,FALSE)&lt;&gt;VLOOKUP($K40,'Consolidated Data - Dynamic'!$D:$AF,3,FALSE),"Name-PetPoint Mismatch",IF(VLOOKUP($K40,'Consolidated Data - Static'!$K:$AM,4,FALSE)&lt;&gt;VLOOKUP($K40,'Consolidated Data - Dynamic'!$D:$AF,4,FALSE),"Name-Inventory Mismatch", IF(VLOOKUP($K40,'Consolidated Data - Static'!$K:$AM,5,FALSE)&lt;&gt;VLOOKUP($K40,'Consolidated Data - Dynamic'!$D:$AF,5,FALSE),"Primary Breed Mismatch",IF(VLOOKUP($K40,'Consolidated Data - Static'!$K:$AM,6,FALSE)&lt;&gt;VLOOKUP($K40,'Consolidated Data - Dynamic'!$D:$AF,6,FALSE),"Secondary Breed Mismatch", IF(VLOOKUP($K40,'Consolidated Data - Static'!$K:$AM,7,FALSE)&lt;&gt;VLOOKUP($K40,'Consolidated Data - Dynamic'!$D:$AF,7,FALSE),"Color Mismatch",IF(VLOOKUP($K40,'Consolidated Data - Static'!$K:$AM,8,FALSE)&lt;&gt;VLOOKUP($K40,'Consolidated Data - Dynamic'!$D:$AF,8,FALSE),"Sex Mismatch",IF(VLOOKUP($K40,'Consolidated Data - Static'!$K:$AM,9,FALSE)&lt;&gt;VLOOKUP($K40,'Consolidated Data - Dynamic'!$D:$AF,9,FALSE),"Age Mismatch",IF(VLOOKUP($K40,'Consolidated Data - Static'!$K:$AM,10,FALSE)&lt;&gt;VLOOKUP($K40,'Consolidated Data - Dynamic'!$D:$AF,10,FALSE),"Size Mismatch",IF(VLOOKUP($K40,'Consolidated Data - Static'!$K:$AM,11,FALSE)&lt;&gt;VLOOKUP($K40,'Consolidated Data - Dynamic'!$D:$AF,11,FALSE),"Mixed Mismatch",IF(VLOOKUP($K40,'Consolidated Data - Static'!$K:$AM,12,FALSE)&lt;&gt;VLOOKUP($K40,'Consolidated Data - Dynamic'!$D:$AF,12,FALSE),"Altered Mismatch",IF(VLOOKUP($K40,'Consolidated Data - Static'!$K:$AM,13,FALSE)&lt;&gt;VLOOKUP($K40,'Consolidated Data - Dynamic'!$D:$AF,13,FALSE),"Shots Current Mismatch",IF(VLOOKUP($K40,'Consolidated Data - Static'!$K:$AM,14,FALSE)&lt;&gt;VLOOKUP($K40,'Consolidated Data - Dynamic'!$D:$AF,14,FALSE),"Housebroken Mismatch",IF(VLOOKUP($K40,'Consolidated Data - Static'!$K:$AM,15,FALSE)&lt;&gt;VLOOKUP($K40,'Consolidated Data - Dynamic'!$D:$AF,15,FALSE),"Special Needs Mismatch",IF(VLOOKUP($K40,'Consolidated Data - Static'!$K:$AM,16,FALSE)&lt;&gt;VLOOKUP($K40,'Consolidated Data - Dynamic'!$D:$AF,16,FALSE),"OK w/kids Mismatch",IF(VLOOKUP($K40,'Consolidated Data - Static'!$K:$AM,17,FALSE)&lt;&gt;VLOOKUP($K40,'Consolidated Data - Dynamic'!$D:$AF,17,FALSE),"OK w/dogs Mismatch",IF(VLOOKUP($K40,'Consolidated Data - Static'!$K:$AM,18,FALSE)&lt;&gt;VLOOKUP($K40,'Consolidated Data - Dynamic'!$D:$AF,18,FALSE),"OK w/cats Mismatch",IF(VLOOKUP($K40,'Consolidated Data - Static'!$K:$AM,19,FALSE)&lt;&gt;VLOOKUP($K40,'Consolidated Data - Dynamic'!$D:$AF,19,FALSE),"Pre Treatment Description Mismatch",IF(VLOOKUP($K40,'Consolidated Data - Static'!$K:$AM,20,FALSE)&lt;&gt;VLOOKUP($K40,'Consolidated Data - Dynamic'!$D:$AF,20,FALSE),"Stage Mismatch",IF(VLOOKUP($K40,'Consolidated Data - Static'!$K:$AM,21,FALSE)&lt;&gt;VLOOKUP($K40,'Consolidated Data - Dynamic'!$D:$AF,21,FALSE),"Primary Color Mismatch",IF(VLOOKUP($K40,'Consolidated Data - Static'!$K:$AM,22,FALSE)&lt;&gt;VLOOKUP($K40,'Consolidated Data - Dynamic'!$D:$AF,22,FALSE),"Location Mismatch",IF(VLOOKUP($K40,'Consolidated Data - Static'!$K:$AM,23,FALSE)&lt;&gt;VLOOKUP($K40,'Consolidated Data - Dynamic'!$D:$AF,23,FALSE),"Intake Type Mismatch",IF(VLOOKUP($K40,'Consolidated Data - Static'!$K:$AM,24,FALSE)&lt;&gt;VLOOKUP($K40,'Consolidated Data - Dynamic'!$D:$AF,24,FALSE),"Emancipation Date Mismatch",IF(VLOOKUP($K40,'Consolidated Data - Static'!$K:$AM,25,FALSE)&lt;&gt;VLOOKUP($K40,'Consolidated Data - Dynamic'!$D:$AF,25,FALSE),"Intake Date Mismatch",IF(VLOOKUP($K40,'Consolidated Data - Static'!$K:$AM,26,FALSE)&lt;&gt;VLOOKUP($K40,'Consolidated Data - Dynamic'!$D:$AF,26,FALSE),"LOS Days Mismatch",IF(VLOOKUP($K40,'Consolidated Data - Static'!$K:$AM,27,FALSE)&lt;&gt;VLOOKUP($K40,'Consolidated Data - Dynamic'!$D:$AF,27,FALSE),"Stage Change Mismatch",IF(VLOOKUP($K40,'Consolidated Data - Static'!$K:$AM,28,FALSE)&lt;&gt;VLOOKUP($K40,'Consolidated Data - Dynamic'!$D:$AF,28,FALSE),"Animal Weight Mismatch",IF(VLOOKUP($K40,'Consolidated Data - Static'!$K:$AM,29,FALSE)&lt;&gt;VLOOKUP($K40,'Consolidated Data - Dynamic'!$D:$AF,29,FALSE),"Number of Pictures Mismatch", "Record Match"))))))))))))))))))))))))))))</f>
        <v>Record Match</v>
      </c>
      <c r="J40">
        <v>46336682</v>
      </c>
      <c r="K40" t="s">
        <v>765</v>
      </c>
      <c r="L40" t="s">
        <v>2214</v>
      </c>
      <c r="M40" t="s">
        <v>764</v>
      </c>
      <c r="N40" t="s">
        <v>764</v>
      </c>
      <c r="O40" t="s">
        <v>90</v>
      </c>
      <c r="P40">
        <v>0</v>
      </c>
      <c r="Q40" t="s">
        <v>138</v>
      </c>
      <c r="R40" t="s">
        <v>48</v>
      </c>
      <c r="S40" t="s">
        <v>37</v>
      </c>
      <c r="T40" t="s">
        <v>50</v>
      </c>
      <c r="U40" t="s">
        <v>39</v>
      </c>
      <c r="V40" t="s">
        <v>39</v>
      </c>
      <c r="W40" t="s">
        <v>39</v>
      </c>
      <c r="X40" t="s">
        <v>41</v>
      </c>
      <c r="Y40" t="s">
        <v>41</v>
      </c>
      <c r="Z40" t="s">
        <v>40</v>
      </c>
      <c r="AA40" t="s">
        <v>40</v>
      </c>
      <c r="AB40" t="s">
        <v>40</v>
      </c>
      <c r="AC40" t="s">
        <v>41</v>
      </c>
      <c r="AD40" t="s">
        <v>461</v>
      </c>
      <c r="AE40" t="s">
        <v>138</v>
      </c>
      <c r="AF40" t="s">
        <v>446</v>
      </c>
      <c r="AG40" t="s">
        <v>922</v>
      </c>
      <c r="AH40" s="9">
        <v>45902.651388888888</v>
      </c>
      <c r="AI40" s="9">
        <v>45897.651388888888</v>
      </c>
      <c r="AJ40">
        <v>81.099999999999994</v>
      </c>
      <c r="AK40">
        <v>0</v>
      </c>
      <c r="AL40" t="s">
        <v>974</v>
      </c>
      <c r="AM40">
        <v>1</v>
      </c>
      <c r="AN40" t="e">
        <v>#N/A</v>
      </c>
      <c r="AO40" t="e">
        <v>#N/A</v>
      </c>
      <c r="AP40" t="e">
        <v>#N/A</v>
      </c>
      <c r="AQ40" t="e">
        <v>#N/A</v>
      </c>
      <c r="AR40" t="e">
        <v>#N/A</v>
      </c>
      <c r="AS40" t="e">
        <v>#N/A</v>
      </c>
      <c r="AT40" t="e">
        <v>#N/A</v>
      </c>
    </row>
    <row r="41" spans="1:46" x14ac:dyDescent="0.2">
      <c r="A41" t="e">
        <f>VLOOKUP(Table4[[#This Row],[Rescue_ID]],Randomize_10_20_25!$B:$D,3,FALSE)</f>
        <v>#N/A</v>
      </c>
      <c r="B41" t="e">
        <f>VLOOKUP(Table4[[#This Row],[Rescue_ID]],InitialRandom_10_07_25!$I:$AL,30,FALSE)</f>
        <v>#N/A</v>
      </c>
      <c r="C41" s="9" t="e">
        <f>VLOOKUP(Table4[[#This Row],[Rescue_ID]],'Experiment Tracker'!$B:$P,7,FALSE)</f>
        <v>#N/A</v>
      </c>
      <c r="D41" s="8" t="e">
        <f>VLOOKUP(Table4[[#This Row],[Rescue_ID]],'Experiment Tracker'!$B:$P,6,FALSE)</f>
        <v>#N/A</v>
      </c>
      <c r="F41" t="e">
        <f>VLOOKUP(Table4[[#This Row],[Rescue_ID]],'Experiment Tracker'!$B:$I,8,FALSE)</f>
        <v>#N/A</v>
      </c>
      <c r="H41" t="str">
        <f>VLOOKUP(Table4[[#This Row],[Primary_Breed]],'Breed Group'!$A:$B,2,FALSE)</f>
        <v>Stigma</v>
      </c>
      <c r="I41" t="str">
        <f>IF(VLOOKUP($K41,'Consolidated Data - Static'!$K:$AM,2,FALSE)&lt;&gt;VLOOKUP($K41,'Consolidated Data - Dynamic'!$D:$AF,2,FALSE),"Name-AdoptAPet Mismatch",IF(VLOOKUP($K41,'Consolidated Data - Static'!$K:$AM,3,FALSE)&lt;&gt;VLOOKUP($K41,'Consolidated Data - Dynamic'!$D:$AF,3,FALSE),"Name-PetPoint Mismatch",IF(VLOOKUP($K41,'Consolidated Data - Static'!$K:$AM,4,FALSE)&lt;&gt;VLOOKUP($K41,'Consolidated Data - Dynamic'!$D:$AF,4,FALSE),"Name-Inventory Mismatch", IF(VLOOKUP($K41,'Consolidated Data - Static'!$K:$AM,5,FALSE)&lt;&gt;VLOOKUP($K41,'Consolidated Data - Dynamic'!$D:$AF,5,FALSE),"Primary Breed Mismatch",IF(VLOOKUP($K41,'Consolidated Data - Static'!$K:$AM,6,FALSE)&lt;&gt;VLOOKUP($K41,'Consolidated Data - Dynamic'!$D:$AF,6,FALSE),"Secondary Breed Mismatch", IF(VLOOKUP($K41,'Consolidated Data - Static'!$K:$AM,7,FALSE)&lt;&gt;VLOOKUP($K41,'Consolidated Data - Dynamic'!$D:$AF,7,FALSE),"Color Mismatch",IF(VLOOKUP($K41,'Consolidated Data - Static'!$K:$AM,8,FALSE)&lt;&gt;VLOOKUP($K41,'Consolidated Data - Dynamic'!$D:$AF,8,FALSE),"Sex Mismatch",IF(VLOOKUP($K41,'Consolidated Data - Static'!$K:$AM,9,FALSE)&lt;&gt;VLOOKUP($K41,'Consolidated Data - Dynamic'!$D:$AF,9,FALSE),"Age Mismatch",IF(VLOOKUP($K41,'Consolidated Data - Static'!$K:$AM,10,FALSE)&lt;&gt;VLOOKUP($K41,'Consolidated Data - Dynamic'!$D:$AF,10,FALSE),"Size Mismatch",IF(VLOOKUP($K41,'Consolidated Data - Static'!$K:$AM,11,FALSE)&lt;&gt;VLOOKUP($K41,'Consolidated Data - Dynamic'!$D:$AF,11,FALSE),"Mixed Mismatch",IF(VLOOKUP($K41,'Consolidated Data - Static'!$K:$AM,12,FALSE)&lt;&gt;VLOOKUP($K41,'Consolidated Data - Dynamic'!$D:$AF,12,FALSE),"Altered Mismatch",IF(VLOOKUP($K41,'Consolidated Data - Static'!$K:$AM,13,FALSE)&lt;&gt;VLOOKUP($K41,'Consolidated Data - Dynamic'!$D:$AF,13,FALSE),"Shots Current Mismatch",IF(VLOOKUP($K41,'Consolidated Data - Static'!$K:$AM,14,FALSE)&lt;&gt;VLOOKUP($K41,'Consolidated Data - Dynamic'!$D:$AF,14,FALSE),"Housebroken Mismatch",IF(VLOOKUP($K41,'Consolidated Data - Static'!$K:$AM,15,FALSE)&lt;&gt;VLOOKUP($K41,'Consolidated Data - Dynamic'!$D:$AF,15,FALSE),"Special Needs Mismatch",IF(VLOOKUP($K41,'Consolidated Data - Static'!$K:$AM,16,FALSE)&lt;&gt;VLOOKUP($K41,'Consolidated Data - Dynamic'!$D:$AF,16,FALSE),"OK w/kids Mismatch",IF(VLOOKUP($K41,'Consolidated Data - Static'!$K:$AM,17,FALSE)&lt;&gt;VLOOKUP($K41,'Consolidated Data - Dynamic'!$D:$AF,17,FALSE),"OK w/dogs Mismatch",IF(VLOOKUP($K41,'Consolidated Data - Static'!$K:$AM,18,FALSE)&lt;&gt;VLOOKUP($K41,'Consolidated Data - Dynamic'!$D:$AF,18,FALSE),"OK w/cats Mismatch",IF(VLOOKUP($K41,'Consolidated Data - Static'!$K:$AM,19,FALSE)&lt;&gt;VLOOKUP($K41,'Consolidated Data - Dynamic'!$D:$AF,19,FALSE),"Pre Treatment Description Mismatch",IF(VLOOKUP($K41,'Consolidated Data - Static'!$K:$AM,20,FALSE)&lt;&gt;VLOOKUP($K41,'Consolidated Data - Dynamic'!$D:$AF,20,FALSE),"Stage Mismatch",IF(VLOOKUP($K41,'Consolidated Data - Static'!$K:$AM,21,FALSE)&lt;&gt;VLOOKUP($K41,'Consolidated Data - Dynamic'!$D:$AF,21,FALSE),"Primary Color Mismatch",IF(VLOOKUP($K41,'Consolidated Data - Static'!$K:$AM,22,FALSE)&lt;&gt;VLOOKUP($K41,'Consolidated Data - Dynamic'!$D:$AF,22,FALSE),"Location Mismatch",IF(VLOOKUP($K41,'Consolidated Data - Static'!$K:$AM,23,FALSE)&lt;&gt;VLOOKUP($K41,'Consolidated Data - Dynamic'!$D:$AF,23,FALSE),"Intake Type Mismatch",IF(VLOOKUP($K41,'Consolidated Data - Static'!$K:$AM,24,FALSE)&lt;&gt;VLOOKUP($K41,'Consolidated Data - Dynamic'!$D:$AF,24,FALSE),"Emancipation Date Mismatch",IF(VLOOKUP($K41,'Consolidated Data - Static'!$K:$AM,25,FALSE)&lt;&gt;VLOOKUP($K41,'Consolidated Data - Dynamic'!$D:$AF,25,FALSE),"Intake Date Mismatch",IF(VLOOKUP($K41,'Consolidated Data - Static'!$K:$AM,26,FALSE)&lt;&gt;VLOOKUP($K41,'Consolidated Data - Dynamic'!$D:$AF,26,FALSE),"LOS Days Mismatch",IF(VLOOKUP($K41,'Consolidated Data - Static'!$K:$AM,27,FALSE)&lt;&gt;VLOOKUP($K41,'Consolidated Data - Dynamic'!$D:$AF,27,FALSE),"Stage Change Mismatch",IF(VLOOKUP($K41,'Consolidated Data - Static'!$K:$AM,28,FALSE)&lt;&gt;VLOOKUP($K41,'Consolidated Data - Dynamic'!$D:$AF,28,FALSE),"Animal Weight Mismatch",IF(VLOOKUP($K41,'Consolidated Data - Static'!$K:$AM,29,FALSE)&lt;&gt;VLOOKUP($K41,'Consolidated Data - Dynamic'!$D:$AF,29,FALSE),"Number of Pictures Mismatch", "Record Match"))))))))))))))))))))))))))))</f>
        <v>Record Match</v>
      </c>
      <c r="J41">
        <v>46337025</v>
      </c>
      <c r="K41" t="s">
        <v>1091</v>
      </c>
      <c r="L41" t="s">
        <v>2219</v>
      </c>
      <c r="M41" t="s">
        <v>1164</v>
      </c>
      <c r="N41" t="s">
        <v>1164</v>
      </c>
      <c r="O41" t="s">
        <v>97</v>
      </c>
      <c r="P41" t="s">
        <v>53</v>
      </c>
      <c r="Q41" t="s">
        <v>154</v>
      </c>
      <c r="R41" t="s">
        <v>48</v>
      </c>
      <c r="S41" t="s">
        <v>37</v>
      </c>
      <c r="T41" t="s">
        <v>50</v>
      </c>
      <c r="U41" t="s">
        <v>39</v>
      </c>
      <c r="V41" t="s">
        <v>39</v>
      </c>
      <c r="W41" t="s">
        <v>39</v>
      </c>
      <c r="X41" t="s">
        <v>41</v>
      </c>
      <c r="Y41" t="s">
        <v>41</v>
      </c>
      <c r="Z41" t="s">
        <v>39</v>
      </c>
      <c r="AA41" t="s">
        <v>39</v>
      </c>
      <c r="AB41" t="s">
        <v>40</v>
      </c>
      <c r="AC41" t="s">
        <v>41</v>
      </c>
      <c r="AD41" t="s">
        <v>461</v>
      </c>
      <c r="AE41" t="s">
        <v>138</v>
      </c>
      <c r="AF41" t="s">
        <v>446</v>
      </c>
      <c r="AG41" t="s">
        <v>922</v>
      </c>
      <c r="AH41" s="9">
        <v>45941.494444444441</v>
      </c>
      <c r="AI41" s="9">
        <v>45936.494444444441</v>
      </c>
      <c r="AJ41">
        <v>42.3</v>
      </c>
      <c r="AK41">
        <v>0</v>
      </c>
      <c r="AL41" t="s">
        <v>1097</v>
      </c>
      <c r="AM41">
        <v>1</v>
      </c>
      <c r="AN41" t="e">
        <v>#N/A</v>
      </c>
      <c r="AO41" t="e">
        <v>#N/A</v>
      </c>
      <c r="AP41" t="e">
        <v>#N/A</v>
      </c>
      <c r="AQ41" t="e">
        <v>#N/A</v>
      </c>
      <c r="AR41" t="e">
        <v>#N/A</v>
      </c>
      <c r="AS41" t="e">
        <v>#N/A</v>
      </c>
      <c r="AT41" t="e">
        <v>#N/A</v>
      </c>
    </row>
    <row r="42" spans="1:46" x14ac:dyDescent="0.2">
      <c r="A42" t="e">
        <f>VLOOKUP(Table4[[#This Row],[Rescue_ID]],Randomize_10_20_25!$B:$D,3,FALSE)</f>
        <v>#N/A</v>
      </c>
      <c r="B42" t="e">
        <f>VLOOKUP(Table4[[#This Row],[Rescue_ID]],InitialRandom_10_07_25!$I:$AL,30,FALSE)</f>
        <v>#N/A</v>
      </c>
      <c r="C42" s="9" t="e">
        <f>VLOOKUP(Table4[[#This Row],[Rescue_ID]],'Experiment Tracker'!$B:$P,7,FALSE)</f>
        <v>#N/A</v>
      </c>
      <c r="D42" s="8" t="e">
        <f>VLOOKUP(Table4[[#This Row],[Rescue_ID]],'Experiment Tracker'!$B:$P,6,FALSE)</f>
        <v>#N/A</v>
      </c>
      <c r="F42" t="e">
        <f>VLOOKUP(Table4[[#This Row],[Rescue_ID]],'Experiment Tracker'!$B:$I,8,FALSE)</f>
        <v>#N/A</v>
      </c>
      <c r="H42" t="str">
        <f>VLOOKUP(Table4[[#This Row],[Primary_Breed]],'Breed Group'!$A:$B,2,FALSE)</f>
        <v>Non-Stigma</v>
      </c>
      <c r="I42" t="str">
        <f>IF(VLOOKUP($K42,'Consolidated Data - Static'!$K:$AM,2,FALSE)&lt;&gt;VLOOKUP($K42,'Consolidated Data - Dynamic'!$D:$AF,2,FALSE),"Name-AdoptAPet Mismatch",IF(VLOOKUP($K42,'Consolidated Data - Static'!$K:$AM,3,FALSE)&lt;&gt;VLOOKUP($K42,'Consolidated Data - Dynamic'!$D:$AF,3,FALSE),"Name-PetPoint Mismatch",IF(VLOOKUP($K42,'Consolidated Data - Static'!$K:$AM,4,FALSE)&lt;&gt;VLOOKUP($K42,'Consolidated Data - Dynamic'!$D:$AF,4,FALSE),"Name-Inventory Mismatch", IF(VLOOKUP($K42,'Consolidated Data - Static'!$K:$AM,5,FALSE)&lt;&gt;VLOOKUP($K42,'Consolidated Data - Dynamic'!$D:$AF,5,FALSE),"Primary Breed Mismatch",IF(VLOOKUP($K42,'Consolidated Data - Static'!$K:$AM,6,FALSE)&lt;&gt;VLOOKUP($K42,'Consolidated Data - Dynamic'!$D:$AF,6,FALSE),"Secondary Breed Mismatch", IF(VLOOKUP($K42,'Consolidated Data - Static'!$K:$AM,7,FALSE)&lt;&gt;VLOOKUP($K42,'Consolidated Data - Dynamic'!$D:$AF,7,FALSE),"Color Mismatch",IF(VLOOKUP($K42,'Consolidated Data - Static'!$K:$AM,8,FALSE)&lt;&gt;VLOOKUP($K42,'Consolidated Data - Dynamic'!$D:$AF,8,FALSE),"Sex Mismatch",IF(VLOOKUP($K42,'Consolidated Data - Static'!$K:$AM,9,FALSE)&lt;&gt;VLOOKUP($K42,'Consolidated Data - Dynamic'!$D:$AF,9,FALSE),"Age Mismatch",IF(VLOOKUP($K42,'Consolidated Data - Static'!$K:$AM,10,FALSE)&lt;&gt;VLOOKUP($K42,'Consolidated Data - Dynamic'!$D:$AF,10,FALSE),"Size Mismatch",IF(VLOOKUP($K42,'Consolidated Data - Static'!$K:$AM,11,FALSE)&lt;&gt;VLOOKUP($K42,'Consolidated Data - Dynamic'!$D:$AF,11,FALSE),"Mixed Mismatch",IF(VLOOKUP($K42,'Consolidated Data - Static'!$K:$AM,12,FALSE)&lt;&gt;VLOOKUP($K42,'Consolidated Data - Dynamic'!$D:$AF,12,FALSE),"Altered Mismatch",IF(VLOOKUP($K42,'Consolidated Data - Static'!$K:$AM,13,FALSE)&lt;&gt;VLOOKUP($K42,'Consolidated Data - Dynamic'!$D:$AF,13,FALSE),"Shots Current Mismatch",IF(VLOOKUP($K42,'Consolidated Data - Static'!$K:$AM,14,FALSE)&lt;&gt;VLOOKUP($K42,'Consolidated Data - Dynamic'!$D:$AF,14,FALSE),"Housebroken Mismatch",IF(VLOOKUP($K42,'Consolidated Data - Static'!$K:$AM,15,FALSE)&lt;&gt;VLOOKUP($K42,'Consolidated Data - Dynamic'!$D:$AF,15,FALSE),"Special Needs Mismatch",IF(VLOOKUP($K42,'Consolidated Data - Static'!$K:$AM,16,FALSE)&lt;&gt;VLOOKUP($K42,'Consolidated Data - Dynamic'!$D:$AF,16,FALSE),"OK w/kids Mismatch",IF(VLOOKUP($K42,'Consolidated Data - Static'!$K:$AM,17,FALSE)&lt;&gt;VLOOKUP($K42,'Consolidated Data - Dynamic'!$D:$AF,17,FALSE),"OK w/dogs Mismatch",IF(VLOOKUP($K42,'Consolidated Data - Static'!$K:$AM,18,FALSE)&lt;&gt;VLOOKUP($K42,'Consolidated Data - Dynamic'!$D:$AF,18,FALSE),"OK w/cats Mismatch",IF(VLOOKUP($K42,'Consolidated Data - Static'!$K:$AM,19,FALSE)&lt;&gt;VLOOKUP($K42,'Consolidated Data - Dynamic'!$D:$AF,19,FALSE),"Pre Treatment Description Mismatch",IF(VLOOKUP($K42,'Consolidated Data - Static'!$K:$AM,20,FALSE)&lt;&gt;VLOOKUP($K42,'Consolidated Data - Dynamic'!$D:$AF,20,FALSE),"Stage Mismatch",IF(VLOOKUP($K42,'Consolidated Data - Static'!$K:$AM,21,FALSE)&lt;&gt;VLOOKUP($K42,'Consolidated Data - Dynamic'!$D:$AF,21,FALSE),"Primary Color Mismatch",IF(VLOOKUP($K42,'Consolidated Data - Static'!$K:$AM,22,FALSE)&lt;&gt;VLOOKUP($K42,'Consolidated Data - Dynamic'!$D:$AF,22,FALSE),"Location Mismatch",IF(VLOOKUP($K42,'Consolidated Data - Static'!$K:$AM,23,FALSE)&lt;&gt;VLOOKUP($K42,'Consolidated Data - Dynamic'!$D:$AF,23,FALSE),"Intake Type Mismatch",IF(VLOOKUP($K42,'Consolidated Data - Static'!$K:$AM,24,FALSE)&lt;&gt;VLOOKUP($K42,'Consolidated Data - Dynamic'!$D:$AF,24,FALSE),"Emancipation Date Mismatch",IF(VLOOKUP($K42,'Consolidated Data - Static'!$K:$AM,25,FALSE)&lt;&gt;VLOOKUP($K42,'Consolidated Data - Dynamic'!$D:$AF,25,FALSE),"Intake Date Mismatch",IF(VLOOKUP($K42,'Consolidated Data - Static'!$K:$AM,26,FALSE)&lt;&gt;VLOOKUP($K42,'Consolidated Data - Dynamic'!$D:$AF,26,FALSE),"LOS Days Mismatch",IF(VLOOKUP($K42,'Consolidated Data - Static'!$K:$AM,27,FALSE)&lt;&gt;VLOOKUP($K42,'Consolidated Data - Dynamic'!$D:$AF,27,FALSE),"Stage Change Mismatch",IF(VLOOKUP($K42,'Consolidated Data - Static'!$K:$AM,28,FALSE)&lt;&gt;VLOOKUP($K42,'Consolidated Data - Dynamic'!$D:$AF,28,FALSE),"Animal Weight Mismatch",IF(VLOOKUP($K42,'Consolidated Data - Static'!$K:$AM,29,FALSE)&lt;&gt;VLOOKUP($K42,'Consolidated Data - Dynamic'!$D:$AF,29,FALSE),"Number of Pictures Mismatch", "Record Match"))))))))))))))))))))))))))))</f>
        <v>Record Match</v>
      </c>
      <c r="J42">
        <v>46420508</v>
      </c>
      <c r="K42" t="s">
        <v>1134</v>
      </c>
      <c r="L42" t="s">
        <v>2224</v>
      </c>
      <c r="M42" t="s">
        <v>1885</v>
      </c>
      <c r="N42" t="s">
        <v>1885</v>
      </c>
      <c r="O42" t="s">
        <v>96</v>
      </c>
      <c r="P42">
        <v>0</v>
      </c>
      <c r="Q42" t="s">
        <v>1438</v>
      </c>
      <c r="R42" t="s">
        <v>48</v>
      </c>
      <c r="S42" t="s">
        <v>386</v>
      </c>
      <c r="T42" t="s">
        <v>50</v>
      </c>
      <c r="U42" t="s">
        <v>39</v>
      </c>
      <c r="V42" t="s">
        <v>41</v>
      </c>
      <c r="W42" t="s">
        <v>39</v>
      </c>
      <c r="X42" t="s">
        <v>41</v>
      </c>
      <c r="Y42" t="s">
        <v>41</v>
      </c>
      <c r="Z42" t="s">
        <v>39</v>
      </c>
      <c r="AA42" t="s">
        <v>39</v>
      </c>
      <c r="AB42" t="s">
        <v>40</v>
      </c>
      <c r="AC42" t="s">
        <v>41</v>
      </c>
      <c r="AD42" t="s">
        <v>494</v>
      </c>
      <c r="AE42" t="s">
        <v>448</v>
      </c>
      <c r="AF42" t="s">
        <v>446</v>
      </c>
      <c r="AG42" t="s">
        <v>887</v>
      </c>
      <c r="AH42" s="9">
        <v>45945.481249999997</v>
      </c>
      <c r="AI42" s="9">
        <v>45940.481249999997</v>
      </c>
      <c r="AJ42">
        <v>38.299999999999997</v>
      </c>
      <c r="AK42">
        <v>0</v>
      </c>
      <c r="AL42" t="s">
        <v>2092</v>
      </c>
      <c r="AM42">
        <v>2</v>
      </c>
      <c r="AN42" t="e">
        <v>#N/A</v>
      </c>
      <c r="AO42" t="e">
        <v>#N/A</v>
      </c>
      <c r="AP42" t="e">
        <v>#N/A</v>
      </c>
      <c r="AQ42" t="e">
        <v>#N/A</v>
      </c>
      <c r="AR42" t="e">
        <v>#N/A</v>
      </c>
      <c r="AS42" t="e">
        <v>#N/A</v>
      </c>
      <c r="AT42" t="e">
        <v>#N/A</v>
      </c>
    </row>
    <row r="43" spans="1:46" x14ac:dyDescent="0.2">
      <c r="A43" t="e">
        <f>VLOOKUP(Table4[[#This Row],[Rescue_ID]],Randomize_10_20_25!$B:$D,3,FALSE)</f>
        <v>#N/A</v>
      </c>
      <c r="B43" t="e">
        <f>VLOOKUP(Table4[[#This Row],[Rescue_ID]],InitialRandom_10_07_25!$I:$AL,30,FALSE)</f>
        <v>#N/A</v>
      </c>
      <c r="C43" s="9" t="e">
        <f>VLOOKUP(Table4[[#This Row],[Rescue_ID]],'Experiment Tracker'!$B:$P,7,FALSE)</f>
        <v>#N/A</v>
      </c>
      <c r="D43" s="8" t="e">
        <f>VLOOKUP(Table4[[#This Row],[Rescue_ID]],'Experiment Tracker'!$B:$P,6,FALSE)</f>
        <v>#N/A</v>
      </c>
      <c r="F43" t="e">
        <f>VLOOKUP(Table4[[#This Row],[Rescue_ID]],'Experiment Tracker'!$B:$I,8,FALSE)</f>
        <v>#N/A</v>
      </c>
      <c r="H43" t="str">
        <f>VLOOKUP(Table4[[#This Row],[Primary_Breed]],'Breed Group'!$A:$B,2,FALSE)</f>
        <v>Non-Stigma</v>
      </c>
      <c r="I43" t="str">
        <f>IF(VLOOKUP($K43,'Consolidated Data - Static'!$K:$AM,2,FALSE)&lt;&gt;VLOOKUP($K43,'Consolidated Data - Dynamic'!$D:$AF,2,FALSE),"Name-AdoptAPet Mismatch",IF(VLOOKUP($K43,'Consolidated Data - Static'!$K:$AM,3,FALSE)&lt;&gt;VLOOKUP($K43,'Consolidated Data - Dynamic'!$D:$AF,3,FALSE),"Name-PetPoint Mismatch",IF(VLOOKUP($K43,'Consolidated Data - Static'!$K:$AM,4,FALSE)&lt;&gt;VLOOKUP($K43,'Consolidated Data - Dynamic'!$D:$AF,4,FALSE),"Name-Inventory Mismatch", IF(VLOOKUP($K43,'Consolidated Data - Static'!$K:$AM,5,FALSE)&lt;&gt;VLOOKUP($K43,'Consolidated Data - Dynamic'!$D:$AF,5,FALSE),"Primary Breed Mismatch",IF(VLOOKUP($K43,'Consolidated Data - Static'!$K:$AM,6,FALSE)&lt;&gt;VLOOKUP($K43,'Consolidated Data - Dynamic'!$D:$AF,6,FALSE),"Secondary Breed Mismatch", IF(VLOOKUP($K43,'Consolidated Data - Static'!$K:$AM,7,FALSE)&lt;&gt;VLOOKUP($K43,'Consolidated Data - Dynamic'!$D:$AF,7,FALSE),"Color Mismatch",IF(VLOOKUP($K43,'Consolidated Data - Static'!$K:$AM,8,FALSE)&lt;&gt;VLOOKUP($K43,'Consolidated Data - Dynamic'!$D:$AF,8,FALSE),"Sex Mismatch",IF(VLOOKUP($K43,'Consolidated Data - Static'!$K:$AM,9,FALSE)&lt;&gt;VLOOKUP($K43,'Consolidated Data - Dynamic'!$D:$AF,9,FALSE),"Age Mismatch",IF(VLOOKUP($K43,'Consolidated Data - Static'!$K:$AM,10,FALSE)&lt;&gt;VLOOKUP($K43,'Consolidated Data - Dynamic'!$D:$AF,10,FALSE),"Size Mismatch",IF(VLOOKUP($K43,'Consolidated Data - Static'!$K:$AM,11,FALSE)&lt;&gt;VLOOKUP($K43,'Consolidated Data - Dynamic'!$D:$AF,11,FALSE),"Mixed Mismatch",IF(VLOOKUP($K43,'Consolidated Data - Static'!$K:$AM,12,FALSE)&lt;&gt;VLOOKUP($K43,'Consolidated Data - Dynamic'!$D:$AF,12,FALSE),"Altered Mismatch",IF(VLOOKUP($K43,'Consolidated Data - Static'!$K:$AM,13,FALSE)&lt;&gt;VLOOKUP($K43,'Consolidated Data - Dynamic'!$D:$AF,13,FALSE),"Shots Current Mismatch",IF(VLOOKUP($K43,'Consolidated Data - Static'!$K:$AM,14,FALSE)&lt;&gt;VLOOKUP($K43,'Consolidated Data - Dynamic'!$D:$AF,14,FALSE),"Housebroken Mismatch",IF(VLOOKUP($K43,'Consolidated Data - Static'!$K:$AM,15,FALSE)&lt;&gt;VLOOKUP($K43,'Consolidated Data - Dynamic'!$D:$AF,15,FALSE),"Special Needs Mismatch",IF(VLOOKUP($K43,'Consolidated Data - Static'!$K:$AM,16,FALSE)&lt;&gt;VLOOKUP($K43,'Consolidated Data - Dynamic'!$D:$AF,16,FALSE),"OK w/kids Mismatch",IF(VLOOKUP($K43,'Consolidated Data - Static'!$K:$AM,17,FALSE)&lt;&gt;VLOOKUP($K43,'Consolidated Data - Dynamic'!$D:$AF,17,FALSE),"OK w/dogs Mismatch",IF(VLOOKUP($K43,'Consolidated Data - Static'!$K:$AM,18,FALSE)&lt;&gt;VLOOKUP($K43,'Consolidated Data - Dynamic'!$D:$AF,18,FALSE),"OK w/cats Mismatch",IF(VLOOKUP($K43,'Consolidated Data - Static'!$K:$AM,19,FALSE)&lt;&gt;VLOOKUP($K43,'Consolidated Data - Dynamic'!$D:$AF,19,FALSE),"Pre Treatment Description Mismatch",IF(VLOOKUP($K43,'Consolidated Data - Static'!$K:$AM,20,FALSE)&lt;&gt;VLOOKUP($K43,'Consolidated Data - Dynamic'!$D:$AF,20,FALSE),"Stage Mismatch",IF(VLOOKUP($K43,'Consolidated Data - Static'!$K:$AM,21,FALSE)&lt;&gt;VLOOKUP($K43,'Consolidated Data - Dynamic'!$D:$AF,21,FALSE),"Primary Color Mismatch",IF(VLOOKUP($K43,'Consolidated Data - Static'!$K:$AM,22,FALSE)&lt;&gt;VLOOKUP($K43,'Consolidated Data - Dynamic'!$D:$AF,22,FALSE),"Location Mismatch",IF(VLOOKUP($K43,'Consolidated Data - Static'!$K:$AM,23,FALSE)&lt;&gt;VLOOKUP($K43,'Consolidated Data - Dynamic'!$D:$AF,23,FALSE),"Intake Type Mismatch",IF(VLOOKUP($K43,'Consolidated Data - Static'!$K:$AM,24,FALSE)&lt;&gt;VLOOKUP($K43,'Consolidated Data - Dynamic'!$D:$AF,24,FALSE),"Emancipation Date Mismatch",IF(VLOOKUP($K43,'Consolidated Data - Static'!$K:$AM,25,FALSE)&lt;&gt;VLOOKUP($K43,'Consolidated Data - Dynamic'!$D:$AF,25,FALSE),"Intake Date Mismatch",IF(VLOOKUP($K43,'Consolidated Data - Static'!$K:$AM,26,FALSE)&lt;&gt;VLOOKUP($K43,'Consolidated Data - Dynamic'!$D:$AF,26,FALSE),"LOS Days Mismatch",IF(VLOOKUP($K43,'Consolidated Data - Static'!$K:$AM,27,FALSE)&lt;&gt;VLOOKUP($K43,'Consolidated Data - Dynamic'!$D:$AF,27,FALSE),"Stage Change Mismatch",IF(VLOOKUP($K43,'Consolidated Data - Static'!$K:$AM,28,FALSE)&lt;&gt;VLOOKUP($K43,'Consolidated Data - Dynamic'!$D:$AF,28,FALSE),"Animal Weight Mismatch",IF(VLOOKUP($K43,'Consolidated Data - Static'!$K:$AM,29,FALSE)&lt;&gt;VLOOKUP($K43,'Consolidated Data - Dynamic'!$D:$AF,29,FALSE),"Number of Pictures Mismatch", "Record Match"))))))))))))))))))))))))))))</f>
        <v>Record Match</v>
      </c>
      <c r="J43">
        <v>46420475</v>
      </c>
      <c r="K43" t="s">
        <v>1133</v>
      </c>
      <c r="L43" t="s">
        <v>2229</v>
      </c>
      <c r="M43" t="s">
        <v>1884</v>
      </c>
      <c r="N43" t="s">
        <v>1884</v>
      </c>
      <c r="O43" t="s">
        <v>96</v>
      </c>
      <c r="P43">
        <v>0</v>
      </c>
      <c r="Q43" t="s">
        <v>2230</v>
      </c>
      <c r="R43" t="s">
        <v>48</v>
      </c>
      <c r="S43" t="s">
        <v>386</v>
      </c>
      <c r="T43" t="s">
        <v>50</v>
      </c>
      <c r="U43" t="s">
        <v>39</v>
      </c>
      <c r="V43" t="s">
        <v>41</v>
      </c>
      <c r="W43" t="s">
        <v>39</v>
      </c>
      <c r="X43" t="s">
        <v>41</v>
      </c>
      <c r="Y43" t="s">
        <v>41</v>
      </c>
      <c r="Z43" t="s">
        <v>39</v>
      </c>
      <c r="AA43" t="s">
        <v>39</v>
      </c>
      <c r="AB43" t="s">
        <v>40</v>
      </c>
      <c r="AC43" t="s">
        <v>41</v>
      </c>
      <c r="AD43" t="s">
        <v>494</v>
      </c>
      <c r="AE43" t="s">
        <v>448</v>
      </c>
      <c r="AF43" t="s">
        <v>446</v>
      </c>
      <c r="AG43" t="s">
        <v>887</v>
      </c>
      <c r="AH43" s="9">
        <v>45945.481249999997</v>
      </c>
      <c r="AI43" s="9">
        <v>45940.481249999997</v>
      </c>
      <c r="AJ43">
        <v>38.299999999999997</v>
      </c>
      <c r="AK43">
        <v>0</v>
      </c>
      <c r="AL43" t="s">
        <v>942</v>
      </c>
      <c r="AM43">
        <v>2</v>
      </c>
      <c r="AN43" t="e">
        <v>#N/A</v>
      </c>
      <c r="AO43" t="e">
        <v>#N/A</v>
      </c>
      <c r="AP43" t="e">
        <v>#N/A</v>
      </c>
      <c r="AQ43" t="e">
        <v>#N/A</v>
      </c>
      <c r="AR43" t="e">
        <v>#N/A</v>
      </c>
      <c r="AS43" t="e">
        <v>#N/A</v>
      </c>
      <c r="AT43" t="e">
        <v>#N/A</v>
      </c>
    </row>
  </sheetData>
  <pageMargins left="0.7" right="0.7" top="0.75" bottom="0.75" header="0.3" footer="0.3"/>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4D11D-B9DB-8A45-82A8-F4B04EEB7B09}">
  <sheetPr filterMode="1">
    <tabColor theme="5" tint="-0.249977111117893"/>
  </sheetPr>
  <dimension ref="A1:AM88"/>
  <sheetViews>
    <sheetView workbookViewId="0">
      <selection activeCell="E45" sqref="E45:F45"/>
    </sheetView>
  </sheetViews>
  <sheetFormatPr baseColWidth="10" defaultRowHeight="15" x14ac:dyDescent="0.2"/>
  <cols>
    <col min="5" max="5" width="24" bestFit="1" customWidth="1"/>
    <col min="6" max="7" width="22.33203125" bestFit="1" customWidth="1"/>
    <col min="8" max="8" width="12.33203125" bestFit="1" customWidth="1"/>
    <col min="22" max="22" width="21.5" bestFit="1" customWidth="1"/>
    <col min="23" max="23" width="21" bestFit="1" customWidth="1"/>
    <col min="27" max="27" width="20.83203125" bestFit="1" customWidth="1"/>
  </cols>
  <sheetData>
    <row r="1" spans="1:39" x14ac:dyDescent="0.2">
      <c r="A1" s="8" t="s">
        <v>1487</v>
      </c>
      <c r="B1" s="8" t="s">
        <v>2166</v>
      </c>
      <c r="C1" t="s">
        <v>0</v>
      </c>
      <c r="D1" t="s">
        <v>1</v>
      </c>
      <c r="E1" s="8" t="s">
        <v>1049</v>
      </c>
      <c r="F1" s="8" t="s">
        <v>1050</v>
      </c>
      <c r="G1" s="8" t="s">
        <v>1051</v>
      </c>
      <c r="H1" t="s">
        <v>7</v>
      </c>
      <c r="I1" t="s">
        <v>8</v>
      </c>
      <c r="J1" t="s">
        <v>9</v>
      </c>
      <c r="K1" t="s">
        <v>10</v>
      </c>
      <c r="L1" t="s">
        <v>11</v>
      </c>
      <c r="M1" t="s">
        <v>12</v>
      </c>
      <c r="N1" t="s">
        <v>14</v>
      </c>
      <c r="O1" t="s">
        <v>15</v>
      </c>
      <c r="P1" t="s">
        <v>16</v>
      </c>
      <c r="Q1" t="s">
        <v>17</v>
      </c>
      <c r="R1" t="s">
        <v>19</v>
      </c>
      <c r="S1" t="s">
        <v>20</v>
      </c>
      <c r="T1" t="s">
        <v>21</v>
      </c>
      <c r="U1" t="s">
        <v>22</v>
      </c>
      <c r="V1" s="8" t="s">
        <v>1052</v>
      </c>
      <c r="W1" s="8" t="s">
        <v>881</v>
      </c>
      <c r="X1" s="8" t="s">
        <v>878</v>
      </c>
      <c r="Y1" s="8" t="s">
        <v>876</v>
      </c>
      <c r="Z1" s="8" t="s">
        <v>1053</v>
      </c>
      <c r="AA1" t="s">
        <v>1015</v>
      </c>
      <c r="AB1" t="s">
        <v>1013</v>
      </c>
      <c r="AC1" t="s">
        <v>1012</v>
      </c>
      <c r="AD1" t="s">
        <v>1011</v>
      </c>
      <c r="AE1" t="s">
        <v>1009</v>
      </c>
      <c r="AF1" t="s">
        <v>1006</v>
      </c>
      <c r="AG1" t="s">
        <v>1402</v>
      </c>
      <c r="AH1" t="s">
        <v>1403</v>
      </c>
      <c r="AI1" t="s">
        <v>1404</v>
      </c>
      <c r="AJ1" t="s">
        <v>1405</v>
      </c>
      <c r="AK1" t="s">
        <v>1406</v>
      </c>
      <c r="AL1" t="s">
        <v>1407</v>
      </c>
      <c r="AM1" t="s">
        <v>1408</v>
      </c>
    </row>
    <row r="2" spans="1:39" hidden="1" x14ac:dyDescent="0.2">
      <c r="A2" t="str">
        <f>IF(D2="","",IFERROR(VLOOKUP(D2,REMOVED!$A:$D,3,FALSE),IFERROR(VLOOKUP(D2,OUTCOME!$A:$C,3,FALSE),"Yes")))</f>
        <v>PreTreat - No</v>
      </c>
      <c r="B2" t="e">
        <f>VLOOKUP(D2,'Experiment Tracker'!$B:$C,2,FALSE)</f>
        <v>#N/A</v>
      </c>
      <c r="C2">
        <v>41667618</v>
      </c>
      <c r="D2" t="s">
        <v>43</v>
      </c>
      <c r="E2" t="str">
        <f>VLOOKUP(D2,'All - AdoptAPet'!$B:$AE,2,FALSE)</f>
        <v>Cameron [Foster Home]</v>
      </c>
      <c r="F2" t="str">
        <f>VLOOKUP(D2,'All - PetPoint'!$B:$Q,7,FALSE)</f>
        <v>Cameron (E. Wilson)</v>
      </c>
      <c r="G2" t="str">
        <f>VLOOKUP(D2,'AnimalInventory - PetPoint'!$D:$AK,2,FALSE)</f>
        <v>Cameron (E. Wilson)</v>
      </c>
      <c r="H2" t="str">
        <f>VLOOKUP(D2,'All - AdoptAPet'!$B:$AE,7,FALSE)</f>
        <v>American Pit Bull Terrier</v>
      </c>
      <c r="I2">
        <f>VLOOKUP(D2,'All - AdoptAPet'!$B:$AE,8,FALSE)</f>
        <v>0</v>
      </c>
      <c r="J2" t="str">
        <f>VLOOKUP(D2,'All - AdoptAPet'!$B:$AE,9,FALSE)</f>
        <v>Tan/Yellow/Fawn</v>
      </c>
      <c r="K2" t="str">
        <f>VLOOKUP(D2,'All - AdoptAPet'!$B:$AE,10,FALSE)</f>
        <v>male</v>
      </c>
      <c r="L2" t="str">
        <f>VLOOKUP(D2,'All - AdoptAPet'!$B:$AE,11,FALSE)</f>
        <v>adult</v>
      </c>
      <c r="M2" t="str">
        <f>VLOOKUP(D2,'All - AdoptAPet'!$B:$AE,12,FALSE)</f>
        <v>Med. 26-60 lbs (12-27 kg)</v>
      </c>
      <c r="N2" t="str">
        <f>VLOOKUP(D2,'All - AdoptAPet'!$B:$AE,14,FALSE)</f>
        <v>Yes</v>
      </c>
      <c r="O2" t="str">
        <f>VLOOKUP(D2,'All - AdoptAPet'!$B:$AE,15,FALSE)</f>
        <v>Yes</v>
      </c>
      <c r="P2" t="str">
        <f>VLOOKUP(D2,'All - AdoptAPet'!$B:$AE,16,FALSE)</f>
        <v>Yes</v>
      </c>
      <c r="Q2" t="str">
        <f>VLOOKUP(D2,'All - AdoptAPet'!$B:$AE,17,FALSE)</f>
        <v>No</v>
      </c>
      <c r="R2" t="str">
        <f>VLOOKUP(D2,'All - AdoptAPet'!$B:$AE,19,FALSE)</f>
        <v>No</v>
      </c>
      <c r="S2" t="str">
        <f>VLOOKUP(D2,'All - AdoptAPet'!$B:$AE,20,FALSE)</f>
        <v>Yes</v>
      </c>
      <c r="T2" t="str">
        <f>VLOOKUP(D2,'All - AdoptAPet'!$B:$AE,21,FALSE)</f>
        <v>Yes</v>
      </c>
      <c r="U2" t="str">
        <f>VLOOKUP(D2,'All - AdoptAPet'!$B:$AE,22,FALSE)</f>
        <v>Unknown</v>
      </c>
      <c r="V2" t="str">
        <f>IF(VLOOKUP(D2,'All - AdoptAPet'!$B:$AE,23,FALSE)="","No", "Yes")</f>
        <v>Yes</v>
      </c>
      <c r="W2" t="str">
        <f>VLOOKUP(D2,'All - PetPoint'!$B:$Q,4,FALSE)</f>
        <v>Available</v>
      </c>
      <c r="X2" t="str">
        <f>VLOOKUP(D2,'All - PetPoint'!$B:$Q,11,FALSE)</f>
        <v>Rust</v>
      </c>
      <c r="Y2" t="str">
        <f>VLOOKUP(D2,'All - PetPoint'!$B:$Q,14,FALSE)</f>
        <v>Foster home</v>
      </c>
      <c r="Z2" t="str">
        <f>VLOOKUP(D2,'AnimalInventory - PetPoint'!$D:$AK,9,FALSE)</f>
        <v>Stray/ACO Pickup / Drop Off</v>
      </c>
      <c r="AA2" s="9">
        <f>VLOOKUP(D2,'AnimalInventory - PetPoint'!$D:$AK,19,FALSE)</f>
        <v>45369.333333333336</v>
      </c>
      <c r="AB2" s="9">
        <f>VLOOKUP(D2,'AnimalInventory - PetPoint'!$D:$AK,21,FALSE)</f>
        <v>45364.333333333336</v>
      </c>
      <c r="AC2">
        <f>VLOOKUP(D2,'AnimalInventory - PetPoint'!$D:$AK,22,FALSE)</f>
        <v>614.4</v>
      </c>
      <c r="AD2">
        <f>VLOOKUP(D2,'AnimalInventory - PetPoint'!$D:$AK,23,FALSE)</f>
        <v>0</v>
      </c>
      <c r="AE2" t="str">
        <f>VLOOKUP(D2,'AnimalInventory - PetPoint'!$D:$AK,25,FALSE)</f>
        <v>43.00 pound</v>
      </c>
      <c r="AF2">
        <f>VLOOKUP(D2,'AnimalInventory - PetPoint'!$D:$AK,28,FALSE)</f>
        <v>3</v>
      </c>
      <c r="AG2" t="str">
        <f>VLOOKUP(D2,'PreTreat DogTraffic'!$B:$I,2,FALSE)</f>
        <v>401</v>
      </c>
      <c r="AH2" t="str">
        <f>VLOOKUP(D2,'PreTreat DogTraffic'!$B:$I,3,FALSE)</f>
        <v>918</v>
      </c>
      <c r="AI2" t="str">
        <f>VLOOKUP(D2,'PreTreat DogTraffic'!$B:$I,4,FALSE)</f>
        <v>5,946</v>
      </c>
      <c r="AJ2" t="str">
        <f>VLOOKUP(D2,'PreTreat DogTraffic'!$B:$I,5,FALSE)</f>
        <v>11</v>
      </c>
      <c r="AK2" t="str">
        <f>VLOOKUP(D2,'PreTreat DogTraffic'!$B:$I,6,FALSE)</f>
        <v>71</v>
      </c>
      <c r="AL2" t="str">
        <f>VLOOKUP(D2,'PreTreat DogTraffic'!$B:$I,7,FALSE)</f>
        <v>1,098</v>
      </c>
      <c r="AM2" t="str">
        <f>VLOOKUP(D2,'PreTreat DogTraffic'!$B:$I,8,FALSE)</f>
        <v>2.7%</v>
      </c>
    </row>
    <row r="3" spans="1:39" x14ac:dyDescent="0.2">
      <c r="A3" t="str">
        <f>IF(D3="","",IFERROR(VLOOKUP(D3,REMOVED!$A:$D,3,FALSE),IFERROR(VLOOKUP(D3,OUTCOME!$A:$C,3,FALSE),"Yes")))</f>
        <v>Yes</v>
      </c>
      <c r="B3" t="str">
        <f>VLOOKUP(D3,'Experiment Tracker'!$B:$C,2,FALSE)</f>
        <v>Chucky [Foster Home]</v>
      </c>
      <c r="C3">
        <v>42938868</v>
      </c>
      <c r="D3" t="s">
        <v>57</v>
      </c>
      <c r="E3" t="str">
        <f>VLOOKUP(D3,'All - AdoptAPet'!$B:$AE,2,FALSE)</f>
        <v>Chucky [Foster Home]</v>
      </c>
      <c r="F3" t="str">
        <f>VLOOKUP(D3,'All - PetPoint'!$B:$Q,7,FALSE)</f>
        <v>Chucky (J. Maher)</v>
      </c>
      <c r="G3" t="str">
        <f>VLOOKUP(D3,'AnimalInventory - PetPoint'!$D:$AK,2,FALSE)</f>
        <v>Chucky (J. Maher)</v>
      </c>
      <c r="H3" t="str">
        <f>VLOOKUP(D3,'All - AdoptAPet'!$B:$AE,7,FALSE)</f>
        <v>American Pit Bull Terrier</v>
      </c>
      <c r="I3" t="str">
        <f>VLOOKUP(D3,'All - AdoptAPet'!$B:$AE,8,FALSE)</f>
        <v>American Bulldog</v>
      </c>
      <c r="J3" t="str">
        <f>VLOOKUP(D3,'All - AdoptAPet'!$B:$AE,9,FALSE)</f>
        <v>Brown/Chocolate - with White</v>
      </c>
      <c r="K3" t="str">
        <f>VLOOKUP(D3,'All - AdoptAPet'!$B:$AE,10,FALSE)</f>
        <v>male</v>
      </c>
      <c r="L3" t="str">
        <f>VLOOKUP(D3,'All - AdoptAPet'!$B:$AE,11,FALSE)</f>
        <v>adult</v>
      </c>
      <c r="M3" t="str">
        <f>VLOOKUP(D3,'All - AdoptAPet'!$B:$AE,12,FALSE)</f>
        <v>Med. 26-60 lbs (12-27 kg)</v>
      </c>
      <c r="N3" t="str">
        <f>VLOOKUP(D3,'All - AdoptAPet'!$B:$AE,14,FALSE)</f>
        <v>Yes</v>
      </c>
      <c r="O3" t="str">
        <f>VLOOKUP(D3,'All - AdoptAPet'!$B:$AE,15,FALSE)</f>
        <v>Yes</v>
      </c>
      <c r="P3" t="str">
        <f>VLOOKUP(D3,'All - AdoptAPet'!$B:$AE,16,FALSE)</f>
        <v>Yes</v>
      </c>
      <c r="Q3" t="str">
        <f>VLOOKUP(D3,'All - AdoptAPet'!$B:$AE,17,FALSE)</f>
        <v>No</v>
      </c>
      <c r="R3" t="str">
        <f>VLOOKUP(D3,'All - AdoptAPet'!$B:$AE,19,FALSE)</f>
        <v>No</v>
      </c>
      <c r="S3" t="str">
        <f>VLOOKUP(D3,'All - AdoptAPet'!$B:$AE,20,FALSE)</f>
        <v>Yes</v>
      </c>
      <c r="T3" t="str">
        <f>VLOOKUP(D3,'All - AdoptAPet'!$B:$AE,21,FALSE)</f>
        <v>Yes</v>
      </c>
      <c r="U3" t="str">
        <f>VLOOKUP(D3,'All - AdoptAPet'!$B:$AE,22,FALSE)</f>
        <v>Unknown</v>
      </c>
      <c r="V3" t="str">
        <f>IF(VLOOKUP(D3,'All - AdoptAPet'!$B:$AE,23,FALSE)="","No", "Yes")</f>
        <v>Yes</v>
      </c>
      <c r="W3" t="str">
        <f>VLOOKUP(D3,'All - PetPoint'!$B:$Q,4,FALSE)</f>
        <v>Available</v>
      </c>
      <c r="X3" t="str">
        <f>VLOOKUP(D3,'All - PetPoint'!$B:$Q,11,FALSE)</f>
        <v>Brown</v>
      </c>
      <c r="Y3" t="str">
        <f>VLOOKUP(D3,'All - PetPoint'!$B:$Q,14,FALSE)</f>
        <v>Foster home</v>
      </c>
      <c r="Z3" t="str">
        <f>VLOOKUP(D3,'AnimalInventory - PetPoint'!$D:$AK,9,FALSE)</f>
        <v>Stray/ACO Pickup / Drop Off</v>
      </c>
      <c r="AA3" s="9">
        <f>VLOOKUP(D3,'AnimalInventory - PetPoint'!$D:$AK,19,FALSE)</f>
        <v>45539.418749999997</v>
      </c>
      <c r="AB3" s="9">
        <f>VLOOKUP(D3,'AnimalInventory - PetPoint'!$D:$AK,21,FALSE)</f>
        <v>45534.418749999997</v>
      </c>
      <c r="AC3">
        <f>VLOOKUP(D3,'AnimalInventory - PetPoint'!$D:$AK,22,FALSE)</f>
        <v>444.3</v>
      </c>
      <c r="AD3">
        <f>VLOOKUP(D3,'AnimalInventory - PetPoint'!$D:$AK,23,FALSE)</f>
        <v>0</v>
      </c>
      <c r="AE3" t="str">
        <f>VLOOKUP(D3,'AnimalInventory - PetPoint'!$D:$AK,25,FALSE)</f>
        <v>52.00 pound</v>
      </c>
      <c r="AF3">
        <f>VLOOKUP(D3,'AnimalInventory - PetPoint'!$D:$AK,28,FALSE)</f>
        <v>3</v>
      </c>
      <c r="AG3" t="str">
        <f>VLOOKUP(D3,'PreTreat DogTraffic'!$B:$I,2,FALSE)</f>
        <v>231</v>
      </c>
      <c r="AH3" t="str">
        <f>VLOOKUP(D3,'PreTreat DogTraffic'!$B:$I,3,FALSE)</f>
        <v>571</v>
      </c>
      <c r="AI3" t="str">
        <f>VLOOKUP(D3,'PreTreat DogTraffic'!$B:$I,4,FALSE)</f>
        <v>3,697</v>
      </c>
      <c r="AJ3" t="str">
        <f>VLOOKUP(D3,'PreTreat DogTraffic'!$B:$I,5,FALSE)</f>
        <v>1</v>
      </c>
      <c r="AK3" t="str">
        <f>VLOOKUP(D3,'PreTreat DogTraffic'!$B:$I,6,FALSE)</f>
        <v>23</v>
      </c>
      <c r="AL3" t="str">
        <f>VLOOKUP(D3,'PreTreat DogTraffic'!$B:$I,7,FALSE)</f>
        <v>433</v>
      </c>
      <c r="AM3" t="str">
        <f>VLOOKUP(D3,'PreTreat DogTraffic'!$B:$I,8,FALSE)</f>
        <v>0.4%</v>
      </c>
    </row>
    <row r="4" spans="1:39" x14ac:dyDescent="0.2">
      <c r="A4" t="str">
        <f>IF(D4="","",IFERROR(VLOOKUP(D4,REMOVED!$A:$D,3,FALSE),IFERROR(VLOOKUP(D4,OUTCOME!$A:$C,3,FALSE),"Yes")))</f>
        <v>Yes</v>
      </c>
      <c r="B4" t="str">
        <f>VLOOKUP(D4,'Experiment Tracker'!$B:$C,2,FALSE)</f>
        <v>Sebastian</v>
      </c>
      <c r="C4">
        <v>43635040</v>
      </c>
      <c r="D4" t="s">
        <v>70</v>
      </c>
      <c r="E4" t="str">
        <f>VLOOKUP(D4,'All - AdoptAPet'!$B:$AE,2,FALSE)</f>
        <v>Sebastian [Foster Home]</v>
      </c>
      <c r="F4" t="str">
        <f>VLOOKUP(D4,'All - PetPoint'!$B:$Q,7,FALSE)</f>
        <v>Sebastian (M. Kindel)</v>
      </c>
      <c r="G4" t="str">
        <f>VLOOKUP(D4,'AnimalInventory - PetPoint'!$D:$AK,2,FALSE)</f>
        <v>Sebastian (M. Kindel)</v>
      </c>
      <c r="H4" t="str">
        <f>VLOOKUP(D4,'All - AdoptAPet'!$B:$AE,7,FALSE)</f>
        <v>Rottweiler</v>
      </c>
      <c r="I4">
        <f>VLOOKUP(D4,'All - AdoptAPet'!$B:$AE,8,FALSE)</f>
        <v>0</v>
      </c>
      <c r="J4" t="str">
        <f>VLOOKUP(D4,'All - AdoptAPet'!$B:$AE,9,FALSE)</f>
        <v>Black - with Brown, Red, Golden, Orange or Chestnut</v>
      </c>
      <c r="K4" t="str">
        <f>VLOOKUP(D4,'All - AdoptAPet'!$B:$AE,10,FALSE)</f>
        <v>male</v>
      </c>
      <c r="L4" t="str">
        <f>VLOOKUP(D4,'All - AdoptAPet'!$B:$AE,11,FALSE)</f>
        <v>adult</v>
      </c>
      <c r="M4" t="str">
        <f>VLOOKUP(D4,'All - AdoptAPet'!$B:$AE,12,FALSE)</f>
        <v>Large 61-100 lbs (28-45 kg)</v>
      </c>
      <c r="N4" t="str">
        <f>VLOOKUP(D4,'All - AdoptAPet'!$B:$AE,14,FALSE)</f>
        <v>No</v>
      </c>
      <c r="O4" t="str">
        <f>VLOOKUP(D4,'All - AdoptAPet'!$B:$AE,15,FALSE)</f>
        <v>Yes</v>
      </c>
      <c r="P4" t="str">
        <f>VLOOKUP(D4,'All - AdoptAPet'!$B:$AE,16,FALSE)</f>
        <v>Yes</v>
      </c>
      <c r="Q4" t="str">
        <f>VLOOKUP(D4,'All - AdoptAPet'!$B:$AE,17,FALSE)</f>
        <v>No</v>
      </c>
      <c r="R4" t="str">
        <f>VLOOKUP(D4,'All - AdoptAPet'!$B:$AE,19,FALSE)</f>
        <v>No</v>
      </c>
      <c r="S4" t="str">
        <f>VLOOKUP(D4,'All - AdoptAPet'!$B:$AE,20,FALSE)</f>
        <v>Yes</v>
      </c>
      <c r="T4" t="str">
        <f>VLOOKUP(D4,'All - AdoptAPet'!$B:$AE,21,FALSE)</f>
        <v>Yes</v>
      </c>
      <c r="U4" t="str">
        <f>VLOOKUP(D4,'All - AdoptAPet'!$B:$AE,22,FALSE)</f>
        <v>Unknown</v>
      </c>
      <c r="V4" t="str">
        <f>IF(VLOOKUP(D4,'All - AdoptAPet'!$B:$AE,23,FALSE)="","No", "Yes")</f>
        <v>No</v>
      </c>
      <c r="W4" t="str">
        <f>VLOOKUP(D4,'All - PetPoint'!$B:$Q,4,FALSE)</f>
        <v>Available</v>
      </c>
      <c r="X4" t="str">
        <f>VLOOKUP(D4,'All - PetPoint'!$B:$Q,11,FALSE)</f>
        <v>Black</v>
      </c>
      <c r="Y4" t="str">
        <f>VLOOKUP(D4,'All - PetPoint'!$B:$Q,14,FALSE)</f>
        <v>Foster home</v>
      </c>
      <c r="Z4" t="str">
        <f>VLOOKUP(D4,'AnimalInventory - PetPoint'!$D:$AK,9,FALSE)</f>
        <v>Stray/ACO Pickup / Drop Off</v>
      </c>
      <c r="AA4" s="9">
        <f>VLOOKUP(D4,'AnimalInventory - PetPoint'!$D:$AK,19,FALSE)</f>
        <v>45593.788194444445</v>
      </c>
      <c r="AB4" s="9">
        <f>VLOOKUP(D4,'AnimalInventory - PetPoint'!$D:$AK,21,FALSE)</f>
        <v>45588.788194444445</v>
      </c>
      <c r="AC4">
        <f>VLOOKUP(D4,'AnimalInventory - PetPoint'!$D:$AK,22,FALSE)</f>
        <v>390</v>
      </c>
      <c r="AD4">
        <f>VLOOKUP(D4,'AnimalInventory - PetPoint'!$D:$AK,23,FALSE)</f>
        <v>0</v>
      </c>
      <c r="AE4" t="str">
        <f>VLOOKUP(D4,'AnimalInventory - PetPoint'!$D:$AK,25,FALSE)</f>
        <v>88.00 pound</v>
      </c>
      <c r="AF4">
        <f>VLOOKUP(D4,'AnimalInventory - PetPoint'!$D:$AK,28,FALSE)</f>
        <v>3</v>
      </c>
      <c r="AG4" t="str">
        <f>VLOOKUP(D4,'PreTreat DogTraffic'!$B:$I,2,FALSE)</f>
        <v>1,455</v>
      </c>
      <c r="AH4" t="str">
        <f>VLOOKUP(D4,'PreTreat DogTraffic'!$B:$I,3,FALSE)</f>
        <v>3,794</v>
      </c>
      <c r="AI4" t="str">
        <f>VLOOKUP(D4,'PreTreat DogTraffic'!$B:$I,4,FALSE)</f>
        <v>6,492</v>
      </c>
      <c r="AJ4" t="str">
        <f>VLOOKUP(D4,'PreTreat DogTraffic'!$B:$I,5,FALSE)</f>
        <v>12</v>
      </c>
      <c r="AK4" t="str">
        <f>VLOOKUP(D4,'PreTreat DogTraffic'!$B:$I,6,FALSE)</f>
        <v>76</v>
      </c>
      <c r="AL4" t="str">
        <f>VLOOKUP(D4,'PreTreat DogTraffic'!$B:$I,7,FALSE)</f>
        <v>1,182</v>
      </c>
      <c r="AM4" t="str">
        <f>VLOOKUP(D4,'PreTreat DogTraffic'!$B:$I,8,FALSE)</f>
        <v>0.8%</v>
      </c>
    </row>
    <row r="5" spans="1:39" hidden="1" x14ac:dyDescent="0.2">
      <c r="A5" t="str">
        <f>IF(D5="","",IFERROR(VLOOKUP(D5,REMOVED!$A:$D,3,FALSE),IFERROR(VLOOKUP(D5,OUTCOME!$A:$C,3,FALSE),"Yes")))</f>
        <v>PreTreat - No</v>
      </c>
      <c r="B5" t="e">
        <f>VLOOKUP(D5,'Experiment Tracker'!$B:$C,2,FALSE)</f>
        <v>#N/A</v>
      </c>
      <c r="C5">
        <v>43830374</v>
      </c>
      <c r="D5" t="s">
        <v>78</v>
      </c>
      <c r="E5" t="str">
        <f>VLOOKUP(D5,'All - AdoptAPet'!$B:$AE,2,FALSE)</f>
        <v>Lloyd [Foster Home]</v>
      </c>
      <c r="F5" t="str">
        <f>VLOOKUP(D5,'All - PetPoint'!$B:$Q,7,FALSE)</f>
        <v>Lloyd (S. Miller)</v>
      </c>
      <c r="G5" t="str">
        <f>VLOOKUP(D5,'AnimalInventory - PetPoint'!$D:$AK,2,FALSE)</f>
        <v>Lloyd (S. Miller)</v>
      </c>
      <c r="H5" t="str">
        <f>VLOOKUP(D5,'All - AdoptAPet'!$B:$AE,7,FALSE)</f>
        <v>Shepherd (Unknown Type)</v>
      </c>
      <c r="I5" t="str">
        <f>VLOOKUP(D5,'All - AdoptAPet'!$B:$AE,8,FALSE)</f>
        <v>Terrier (Unknown Type, Medium)</v>
      </c>
      <c r="J5" t="str">
        <f>VLOOKUP(D5,'All - AdoptAPet'!$B:$AE,9,FALSE)</f>
        <v>Gray/Blue/Silver/Salt &amp; Pepper</v>
      </c>
      <c r="K5" t="str">
        <f>VLOOKUP(D5,'All - AdoptAPet'!$B:$AE,10,FALSE)</f>
        <v>male</v>
      </c>
      <c r="L5" t="str">
        <f>VLOOKUP(D5,'All - AdoptAPet'!$B:$AE,11,FALSE)</f>
        <v>adult</v>
      </c>
      <c r="M5" t="str">
        <f>VLOOKUP(D5,'All - AdoptAPet'!$B:$AE,12,FALSE)</f>
        <v>Med. 26-60 lbs (12-27 kg)</v>
      </c>
      <c r="N5" t="str">
        <f>VLOOKUP(D5,'All - AdoptAPet'!$B:$AE,14,FALSE)</f>
        <v>Yes</v>
      </c>
      <c r="O5" t="str">
        <f>VLOOKUP(D5,'All - AdoptAPet'!$B:$AE,15,FALSE)</f>
        <v>Yes</v>
      </c>
      <c r="P5" t="str">
        <f>VLOOKUP(D5,'All - AdoptAPet'!$B:$AE,16,FALSE)</f>
        <v>Yes</v>
      </c>
      <c r="Q5" t="str">
        <f>VLOOKUP(D5,'All - AdoptAPet'!$B:$AE,17,FALSE)</f>
        <v>No</v>
      </c>
      <c r="R5" t="str">
        <f>VLOOKUP(D5,'All - AdoptAPet'!$B:$AE,19,FALSE)</f>
        <v>No</v>
      </c>
      <c r="S5" t="str">
        <f>VLOOKUP(D5,'All - AdoptAPet'!$B:$AE,20,FALSE)</f>
        <v>Yes</v>
      </c>
      <c r="T5" t="str">
        <f>VLOOKUP(D5,'All - AdoptAPet'!$B:$AE,21,FALSE)</f>
        <v>Yes</v>
      </c>
      <c r="U5" t="str">
        <f>VLOOKUP(D5,'All - AdoptAPet'!$B:$AE,22,FALSE)</f>
        <v>Unknown</v>
      </c>
      <c r="V5" t="str">
        <f>IF(VLOOKUP(D5,'All - AdoptAPet'!$B:$AE,23,FALSE)="","No", "Yes")</f>
        <v>Yes</v>
      </c>
      <c r="W5" t="str">
        <f>VLOOKUP(D5,'All - PetPoint'!$B:$Q,4,FALSE)</f>
        <v>Available</v>
      </c>
      <c r="X5" t="str">
        <f>VLOOKUP(D5,'All - PetPoint'!$B:$Q,11,FALSE)</f>
        <v>Black</v>
      </c>
      <c r="Y5" t="str">
        <f>VLOOKUP(D5,'All - PetPoint'!$B:$Q,14,FALSE)</f>
        <v>Foster home</v>
      </c>
      <c r="Z5" t="str">
        <f>VLOOKUP(D5,'AnimalInventory - PetPoint'!$D:$AK,9,FALSE)</f>
        <v>Stray/ACO Pickup / Drop Off</v>
      </c>
      <c r="AA5" s="9">
        <f>VLOOKUP(D5,'AnimalInventory - PetPoint'!$D:$AK,19,FALSE)</f>
        <v>45623.710416666669</v>
      </c>
      <c r="AB5" s="9">
        <f>VLOOKUP(D5,'AnimalInventory - PetPoint'!$D:$AK,21,FALSE)</f>
        <v>45618.710416666669</v>
      </c>
      <c r="AC5">
        <f>VLOOKUP(D5,'AnimalInventory - PetPoint'!$D:$AK,22,FALSE)</f>
        <v>360</v>
      </c>
      <c r="AD5">
        <f>VLOOKUP(D5,'AnimalInventory - PetPoint'!$D:$AK,23,FALSE)</f>
        <v>0</v>
      </c>
      <c r="AE5" t="str">
        <f>VLOOKUP(D5,'AnimalInventory - PetPoint'!$D:$AK,25,FALSE)</f>
        <v>60.50 pound</v>
      </c>
      <c r="AF5">
        <f>VLOOKUP(D5,'AnimalInventory - PetPoint'!$D:$AK,28,FALSE)</f>
        <v>3</v>
      </c>
      <c r="AG5" t="str">
        <f>VLOOKUP(D5,'PreTreat DogTraffic'!$B:$I,2,FALSE)</f>
        <v>347</v>
      </c>
      <c r="AH5" t="str">
        <f>VLOOKUP(D5,'PreTreat DogTraffic'!$B:$I,3,FALSE)</f>
        <v>740</v>
      </c>
      <c r="AI5" t="str">
        <f>VLOOKUP(D5,'PreTreat DogTraffic'!$B:$I,4,FALSE)</f>
        <v>2,723</v>
      </c>
      <c r="AJ5" t="str">
        <f>VLOOKUP(D5,'PreTreat DogTraffic'!$B:$I,5,FALSE)</f>
        <v>3</v>
      </c>
      <c r="AK5" t="str">
        <f>VLOOKUP(D5,'PreTreat DogTraffic'!$B:$I,6,FALSE)</f>
        <v>13</v>
      </c>
      <c r="AL5" t="str">
        <f>VLOOKUP(D5,'PreTreat DogTraffic'!$B:$I,7,FALSE)</f>
        <v>304</v>
      </c>
      <c r="AM5" t="str">
        <f>VLOOKUP(D5,'PreTreat DogTraffic'!$B:$I,8,FALSE)</f>
        <v>0.9%</v>
      </c>
    </row>
    <row r="6" spans="1:39" x14ac:dyDescent="0.2">
      <c r="A6" t="str">
        <f>IF(D6="","",IFERROR(VLOOKUP(D6,REMOVED!$A:$D,3,FALSE),IFERROR(VLOOKUP(D6,OUTCOME!$A:$C,3,FALSE),"Yes")))</f>
        <v>Yes</v>
      </c>
      <c r="B6" t="str">
        <f>VLOOKUP(D6,'Experiment Tracker'!$B:$C,2,FALSE)</f>
        <v>Woodstock</v>
      </c>
      <c r="C6">
        <v>44475813</v>
      </c>
      <c r="D6" t="s">
        <v>99</v>
      </c>
      <c r="E6" t="str">
        <f>VLOOKUP(D6,'All - AdoptAPet'!$B:$AE,2,FALSE)</f>
        <v>Woodstock</v>
      </c>
      <c r="F6" t="str">
        <f>VLOOKUP(D6,'All - PetPoint'!$B:$Q,7,FALSE)</f>
        <v>Woodstock</v>
      </c>
      <c r="G6" t="str">
        <f>VLOOKUP(D6,'AnimalInventory - PetPoint'!$D:$AK,2,FALSE)</f>
        <v>Woodstock</v>
      </c>
      <c r="H6" t="str">
        <f>VLOOKUP(D6,'All - AdoptAPet'!$B:$AE,7,FALSE)</f>
        <v>American Staffordshire Terrier</v>
      </c>
      <c r="I6" t="str">
        <f>VLOOKUP(D6,'All - AdoptAPet'!$B:$AE,8,FALSE)</f>
        <v>American Pit Bull Terrier</v>
      </c>
      <c r="J6" t="str">
        <f>VLOOKUP(D6,'All - AdoptAPet'!$B:$AE,9,FALSE)</f>
        <v>Gray/Blue/Silver/Salt &amp; Pepper</v>
      </c>
      <c r="K6" t="str">
        <f>VLOOKUP(D6,'All - AdoptAPet'!$B:$AE,10,FALSE)</f>
        <v>male</v>
      </c>
      <c r="L6" t="str">
        <f>VLOOKUP(D6,'All - AdoptAPet'!$B:$AE,11,FALSE)</f>
        <v>adult</v>
      </c>
      <c r="M6" t="str">
        <f>VLOOKUP(D6,'All - AdoptAPet'!$B:$AE,12,FALSE)</f>
        <v>Large 61-100 lbs (28-45 kg)</v>
      </c>
      <c r="N6" t="str">
        <f>VLOOKUP(D6,'All - AdoptAPet'!$B:$AE,14,FALSE)</f>
        <v>Yes</v>
      </c>
      <c r="O6" t="str">
        <f>VLOOKUP(D6,'All - AdoptAPet'!$B:$AE,15,FALSE)</f>
        <v>Yes</v>
      </c>
      <c r="P6" t="str">
        <f>VLOOKUP(D6,'All - AdoptAPet'!$B:$AE,16,FALSE)</f>
        <v>Yes</v>
      </c>
      <c r="Q6" t="str">
        <f>VLOOKUP(D6,'All - AdoptAPet'!$B:$AE,17,FALSE)</f>
        <v>No</v>
      </c>
      <c r="R6" t="str">
        <f>VLOOKUP(D6,'All - AdoptAPet'!$B:$AE,19,FALSE)</f>
        <v>No</v>
      </c>
      <c r="S6" t="str">
        <f>VLOOKUP(D6,'All - AdoptAPet'!$B:$AE,20,FALSE)</f>
        <v>Yes</v>
      </c>
      <c r="T6" t="str">
        <f>VLOOKUP(D6,'All - AdoptAPet'!$B:$AE,21,FALSE)</f>
        <v>Yes</v>
      </c>
      <c r="U6" t="str">
        <f>VLOOKUP(D6,'All - AdoptAPet'!$B:$AE,22,FALSE)</f>
        <v>Unknown</v>
      </c>
      <c r="V6" t="str">
        <f>IF(VLOOKUP(D6,'All - AdoptAPet'!$B:$AE,23,FALSE)="","No", "Yes")</f>
        <v>No</v>
      </c>
      <c r="W6" t="str">
        <f>VLOOKUP(D6,'All - PetPoint'!$B:$Q,4,FALSE)</f>
        <v>Available</v>
      </c>
      <c r="X6" t="str">
        <f>VLOOKUP(D6,'All - PetPoint'!$B:$Q,11,FALSE)</f>
        <v>Grey</v>
      </c>
      <c r="Y6" t="str">
        <f>VLOOKUP(D6,'All - PetPoint'!$B:$Q,14,FALSE)</f>
        <v>Holding Kennel</v>
      </c>
      <c r="Z6" t="str">
        <f>VLOOKUP(D6,'AnimalInventory - PetPoint'!$D:$AK,9,FALSE)</f>
        <v>Stray/ACO Pickup / Drop Off</v>
      </c>
      <c r="AA6" s="9">
        <f>VLOOKUP(D6,'AnimalInventory - PetPoint'!$D:$AK,19,FALSE)</f>
        <v>45704.376388888886</v>
      </c>
      <c r="AB6" s="9">
        <f>VLOOKUP(D6,'AnimalInventory - PetPoint'!$D:$AK,21,FALSE)</f>
        <v>45699.376388888886</v>
      </c>
      <c r="AC6">
        <f>VLOOKUP(D6,'AnimalInventory - PetPoint'!$D:$AK,22,FALSE)</f>
        <v>279.39999999999998</v>
      </c>
      <c r="AD6">
        <f>VLOOKUP(D6,'AnimalInventory - PetPoint'!$D:$AK,23,FALSE)</f>
        <v>0</v>
      </c>
      <c r="AE6" t="str">
        <f>VLOOKUP(D6,'AnimalInventory - PetPoint'!$D:$AK,25,FALSE)</f>
        <v>62.00 pound</v>
      </c>
      <c r="AF6">
        <f>VLOOKUP(D6,'AnimalInventory - PetPoint'!$D:$AK,28,FALSE)</f>
        <v>3</v>
      </c>
      <c r="AG6" t="str">
        <f>VLOOKUP(D6,'PreTreat DogTraffic'!$B:$I,2,FALSE)</f>
        <v>384</v>
      </c>
      <c r="AH6" t="str">
        <f>VLOOKUP(D6,'PreTreat DogTraffic'!$B:$I,3,FALSE)</f>
        <v>852</v>
      </c>
      <c r="AI6" t="str">
        <f>VLOOKUP(D6,'PreTreat DogTraffic'!$B:$I,4,FALSE)</f>
        <v>2,319</v>
      </c>
      <c r="AJ6" t="str">
        <f>VLOOKUP(D6,'PreTreat DogTraffic'!$B:$I,5,FALSE)</f>
        <v>3</v>
      </c>
      <c r="AK6" t="str">
        <f>VLOOKUP(D6,'PreTreat DogTraffic'!$B:$I,6,FALSE)</f>
        <v>27</v>
      </c>
      <c r="AL6" t="str">
        <f>VLOOKUP(D6,'PreTreat DogTraffic'!$B:$I,7,FALSE)</f>
        <v>399</v>
      </c>
      <c r="AM6" t="str">
        <f>VLOOKUP(D6,'PreTreat DogTraffic'!$B:$I,8,FALSE)</f>
        <v>0.8%</v>
      </c>
    </row>
    <row r="7" spans="1:39" hidden="1" x14ac:dyDescent="0.2">
      <c r="A7" t="str">
        <f>IF(D7="","",IFERROR(VLOOKUP(D7,REMOVED!$A:$D,3,FALSE),IFERROR(VLOOKUP(D7,OUTCOME!$A:$C,3,FALSE),"Yes")))</f>
        <v>PreTreat - No</v>
      </c>
      <c r="B7" t="e">
        <f>VLOOKUP(D7,'Experiment Tracker'!$B:$C,2,FALSE)</f>
        <v>#N/A</v>
      </c>
      <c r="C7">
        <v>44476170</v>
      </c>
      <c r="D7" t="s">
        <v>104</v>
      </c>
      <c r="E7" t="str">
        <f>VLOOKUP(D7,'All - AdoptAPet'!$B:$AE,2,FALSE)</f>
        <v>Zane [Foster Home]</v>
      </c>
      <c r="F7" t="str">
        <f>VLOOKUP(D7,'All - PetPoint'!$B:$Q,7,FALSE)</f>
        <v>Zane (L. Creech)</v>
      </c>
      <c r="G7" t="str">
        <f>VLOOKUP(D7,'AnimalInventory - PetPoint'!$D:$AK,2,FALSE)</f>
        <v>Zane (L. Creech)</v>
      </c>
      <c r="H7" t="str">
        <f>VLOOKUP(D7,'All - AdoptAPet'!$B:$AE,7,FALSE)</f>
        <v>Plott Hound</v>
      </c>
      <c r="I7" t="str">
        <f>VLOOKUP(D7,'All - AdoptAPet'!$B:$AE,8,FALSE)</f>
        <v>Hound (Unknown Type)</v>
      </c>
      <c r="J7" t="str">
        <f>VLOOKUP(D7,'All - AdoptAPet'!$B:$AE,9,FALSE)</f>
        <v>Brindle - with White</v>
      </c>
      <c r="K7" t="str">
        <f>VLOOKUP(D7,'All - AdoptAPet'!$B:$AE,10,FALSE)</f>
        <v>male</v>
      </c>
      <c r="L7" t="str">
        <f>VLOOKUP(D7,'All - AdoptAPet'!$B:$AE,11,FALSE)</f>
        <v>adult</v>
      </c>
      <c r="M7" t="str">
        <f>VLOOKUP(D7,'All - AdoptAPet'!$B:$AE,12,FALSE)</f>
        <v>Med. 26-60 lbs (12-27 kg)</v>
      </c>
      <c r="N7" t="str">
        <f>VLOOKUP(D7,'All - AdoptAPet'!$B:$AE,14,FALSE)</f>
        <v>Yes</v>
      </c>
      <c r="O7" t="str">
        <f>VLOOKUP(D7,'All - AdoptAPet'!$B:$AE,15,FALSE)</f>
        <v>Yes</v>
      </c>
      <c r="P7" t="str">
        <f>VLOOKUP(D7,'All - AdoptAPet'!$B:$AE,16,FALSE)</f>
        <v>Yes</v>
      </c>
      <c r="Q7" t="str">
        <f>VLOOKUP(D7,'All - AdoptAPet'!$B:$AE,17,FALSE)</f>
        <v>No</v>
      </c>
      <c r="R7" t="str">
        <f>VLOOKUP(D7,'All - AdoptAPet'!$B:$AE,19,FALSE)</f>
        <v>No</v>
      </c>
      <c r="S7" t="str">
        <f>VLOOKUP(D7,'All - AdoptAPet'!$B:$AE,20,FALSE)</f>
        <v>Yes</v>
      </c>
      <c r="T7" t="str">
        <f>VLOOKUP(D7,'All - AdoptAPet'!$B:$AE,21,FALSE)</f>
        <v>Yes</v>
      </c>
      <c r="U7" t="str">
        <f>VLOOKUP(D7,'All - AdoptAPet'!$B:$AE,22,FALSE)</f>
        <v>Yes</v>
      </c>
      <c r="V7" t="str">
        <f>IF(VLOOKUP(D7,'All - AdoptAPet'!$B:$AE,23,FALSE)="","No", "Yes")</f>
        <v>Yes</v>
      </c>
      <c r="W7" t="str">
        <f>VLOOKUP(D7,'All - PetPoint'!$B:$Q,4,FALSE)</f>
        <v>Available</v>
      </c>
      <c r="X7" t="str">
        <f>VLOOKUP(D7,'All - PetPoint'!$B:$Q,11,FALSE)</f>
        <v>Brown</v>
      </c>
      <c r="Y7" t="str">
        <f>VLOOKUP(D7,'All - PetPoint'!$B:$Q,14,FALSE)</f>
        <v>Foster home</v>
      </c>
      <c r="Z7" t="str">
        <f>VLOOKUP(D7,'AnimalInventory - PetPoint'!$D:$AK,9,FALSE)</f>
        <v>Stray/ACO Pickup / Drop Off</v>
      </c>
      <c r="AA7" s="9">
        <f>VLOOKUP(D7,'AnimalInventory - PetPoint'!$D:$AK,19,FALSE)</f>
        <v>45754.594444444447</v>
      </c>
      <c r="AB7" s="9">
        <f>VLOOKUP(D7,'AnimalInventory - PetPoint'!$D:$AK,21,FALSE)</f>
        <v>45749.594444444447</v>
      </c>
      <c r="AC7">
        <f>VLOOKUP(D7,'AnimalInventory - PetPoint'!$D:$AK,22,FALSE)</f>
        <v>229.2</v>
      </c>
      <c r="AD7">
        <f>VLOOKUP(D7,'AnimalInventory - PetPoint'!$D:$AK,23,FALSE)</f>
        <v>0</v>
      </c>
      <c r="AE7" t="str">
        <f>VLOOKUP(D7,'AnimalInventory - PetPoint'!$D:$AK,25,FALSE)</f>
        <v>45.00 pound</v>
      </c>
      <c r="AF7">
        <f>VLOOKUP(D7,'AnimalInventory - PetPoint'!$D:$AK,28,FALSE)</f>
        <v>3</v>
      </c>
      <c r="AG7" t="str">
        <f>VLOOKUP(D7,'PreTreat DogTraffic'!$B:$I,2,FALSE)</f>
        <v>395</v>
      </c>
      <c r="AH7" t="str">
        <f>VLOOKUP(D7,'PreTreat DogTraffic'!$B:$I,3,FALSE)</f>
        <v>846</v>
      </c>
      <c r="AI7" t="str">
        <f>VLOOKUP(D7,'PreTreat DogTraffic'!$B:$I,4,FALSE)</f>
        <v>2,263</v>
      </c>
      <c r="AJ7" t="str">
        <f>VLOOKUP(D7,'PreTreat DogTraffic'!$B:$I,5,FALSE)</f>
        <v>13</v>
      </c>
      <c r="AK7" t="str">
        <f>VLOOKUP(D7,'PreTreat DogTraffic'!$B:$I,6,FALSE)</f>
        <v>38</v>
      </c>
      <c r="AL7" t="str">
        <f>VLOOKUP(D7,'PreTreat DogTraffic'!$B:$I,7,FALSE)</f>
        <v>318</v>
      </c>
      <c r="AM7" t="str">
        <f>VLOOKUP(D7,'PreTreat DogTraffic'!$B:$I,8,FALSE)</f>
        <v>3.3%</v>
      </c>
    </row>
    <row r="8" spans="1:39" x14ac:dyDescent="0.2">
      <c r="A8" t="str">
        <f>IF(D8="","",IFERROR(VLOOKUP(D8,REMOVED!$A:$D,3,FALSE),IFERROR(VLOOKUP(D8,OUTCOME!$A:$C,3,FALSE),"Yes")))</f>
        <v>Yes</v>
      </c>
      <c r="B8" t="str">
        <f>VLOOKUP(D8,'Experiment Tracker'!$B:$C,2,FALSE)</f>
        <v>Goose</v>
      </c>
      <c r="C8">
        <v>44937909</v>
      </c>
      <c r="D8" t="s">
        <v>109</v>
      </c>
      <c r="E8" t="str">
        <f>VLOOKUP(D8,'All - AdoptAPet'!$B:$AE,2,FALSE)</f>
        <v>Goose [Foster Home]</v>
      </c>
      <c r="F8" t="str">
        <f>VLOOKUP(D8,'All - PetPoint'!$B:$Q,7,FALSE)</f>
        <v>Goose (M. Fichera)</v>
      </c>
      <c r="G8" t="str">
        <f>VLOOKUP(D8,'AnimalInventory - PetPoint'!$D:$AK,2,FALSE)</f>
        <v>Goose (M. Fichera)</v>
      </c>
      <c r="H8" t="str">
        <f>VLOOKUP(D8,'All - AdoptAPet'!$B:$AE,7,FALSE)</f>
        <v>Bullmastiff</v>
      </c>
      <c r="I8">
        <f>VLOOKUP(D8,'All - AdoptAPet'!$B:$AE,8,FALSE)</f>
        <v>0</v>
      </c>
      <c r="J8" t="str">
        <f>VLOOKUP(D8,'All - AdoptAPet'!$B:$AE,9,FALSE)</f>
        <v>Brindle</v>
      </c>
      <c r="K8" t="str">
        <f>VLOOKUP(D8,'All - AdoptAPet'!$B:$AE,10,FALSE)</f>
        <v>male</v>
      </c>
      <c r="L8" t="str">
        <f>VLOOKUP(D8,'All - AdoptAPet'!$B:$AE,11,FALSE)</f>
        <v>adult</v>
      </c>
      <c r="M8" t="str">
        <f>VLOOKUP(D8,'All - AdoptAPet'!$B:$AE,12,FALSE)</f>
        <v>Large 61-100 lbs (28-45 kg)</v>
      </c>
      <c r="N8" t="str">
        <f>VLOOKUP(D8,'All - AdoptAPet'!$B:$AE,14,FALSE)</f>
        <v>Yes</v>
      </c>
      <c r="O8" t="str">
        <f>VLOOKUP(D8,'All - AdoptAPet'!$B:$AE,15,FALSE)</f>
        <v>Yes</v>
      </c>
      <c r="P8" t="str">
        <f>VLOOKUP(D8,'All - AdoptAPet'!$B:$AE,16,FALSE)</f>
        <v>Yes</v>
      </c>
      <c r="Q8" t="str">
        <f>VLOOKUP(D8,'All - AdoptAPet'!$B:$AE,17,FALSE)</f>
        <v>No</v>
      </c>
      <c r="R8" t="str">
        <f>VLOOKUP(D8,'All - AdoptAPet'!$B:$AE,19,FALSE)</f>
        <v>No</v>
      </c>
      <c r="S8" t="str">
        <f>VLOOKUP(D8,'All - AdoptAPet'!$B:$AE,20,FALSE)</f>
        <v>Yes</v>
      </c>
      <c r="T8" t="str">
        <f>VLOOKUP(D8,'All - AdoptAPet'!$B:$AE,21,FALSE)</f>
        <v>Yes</v>
      </c>
      <c r="U8" t="str">
        <f>VLOOKUP(D8,'All - AdoptAPet'!$B:$AE,22,FALSE)</f>
        <v>Unknown</v>
      </c>
      <c r="V8" t="str">
        <f>IF(VLOOKUP(D8,'All - AdoptAPet'!$B:$AE,23,FALSE)="","No", "Yes")</f>
        <v>Yes</v>
      </c>
      <c r="W8" t="str">
        <f>VLOOKUP(D8,'All - PetPoint'!$B:$Q,4,FALSE)</f>
        <v>Available</v>
      </c>
      <c r="X8" t="str">
        <f>VLOOKUP(D8,'All - PetPoint'!$B:$Q,11,FALSE)</f>
        <v>Brindle</v>
      </c>
      <c r="Y8" t="str">
        <f>VLOOKUP(D8,'All - PetPoint'!$B:$Q,14,FALSE)</f>
        <v>Foster home</v>
      </c>
      <c r="Z8" t="str">
        <f>VLOOKUP(D8,'AnimalInventory - PetPoint'!$D:$AK,9,FALSE)</f>
        <v>Return/Returned Adoption</v>
      </c>
      <c r="AA8" s="9">
        <f>VLOOKUP(D8,'AnimalInventory - PetPoint'!$D:$AK,19,FALSE)</f>
        <v>0</v>
      </c>
      <c r="AB8" s="9">
        <f>VLOOKUP(D8,'AnimalInventory - PetPoint'!$D:$AK,21,FALSE)</f>
        <v>45708.541666666664</v>
      </c>
      <c r="AC8">
        <f>VLOOKUP(D8,'AnimalInventory - PetPoint'!$D:$AK,22,FALSE)</f>
        <v>270.2</v>
      </c>
      <c r="AD8">
        <f>VLOOKUP(D8,'AnimalInventory - PetPoint'!$D:$AK,23,FALSE)</f>
        <v>0</v>
      </c>
      <c r="AE8" t="str">
        <f>VLOOKUP(D8,'AnimalInventory - PetPoint'!$D:$AK,25,FALSE)</f>
        <v>69.00 pound</v>
      </c>
      <c r="AF8">
        <f>VLOOKUP(D8,'AnimalInventory - PetPoint'!$D:$AK,28,FALSE)</f>
        <v>3</v>
      </c>
      <c r="AG8" t="str">
        <f>VLOOKUP(D8,'PreTreat DogTraffic'!$B:$I,2,FALSE)</f>
        <v>277</v>
      </c>
      <c r="AH8" t="str">
        <f>VLOOKUP(D8,'PreTreat DogTraffic'!$B:$I,3,FALSE)</f>
        <v>748</v>
      </c>
      <c r="AI8" t="str">
        <f>VLOOKUP(D8,'PreTreat DogTraffic'!$B:$I,4,FALSE)</f>
        <v>1,688</v>
      </c>
      <c r="AJ8" t="str">
        <f>VLOOKUP(D8,'PreTreat DogTraffic'!$B:$I,5,FALSE)</f>
        <v>10</v>
      </c>
      <c r="AK8" t="str">
        <f>VLOOKUP(D8,'PreTreat DogTraffic'!$B:$I,6,FALSE)</f>
        <v>60</v>
      </c>
      <c r="AL8" t="str">
        <f>VLOOKUP(D8,'PreTreat DogTraffic'!$B:$I,7,FALSE)</f>
        <v>274</v>
      </c>
      <c r="AM8" t="str">
        <f>VLOOKUP(D8,'PreTreat DogTraffic'!$B:$I,8,FALSE)</f>
        <v>3.6%</v>
      </c>
    </row>
    <row r="9" spans="1:39" hidden="1" x14ac:dyDescent="0.2">
      <c r="A9" t="str">
        <f>IF(D9="","",IFERROR(VLOOKUP(D9,REMOVED!$A:$D,3,FALSE),IFERROR(VLOOKUP(D9,OUTCOME!$A:$C,3,FALSE),"Yes")))</f>
        <v>PreTreat - No</v>
      </c>
      <c r="B9" t="e">
        <f>VLOOKUP(D9,'Experiment Tracker'!$B:$C,2,FALSE)</f>
        <v>#N/A</v>
      </c>
      <c r="C9">
        <v>44937100</v>
      </c>
      <c r="D9" t="s">
        <v>115</v>
      </c>
      <c r="E9" t="str">
        <f>VLOOKUP(D9,'All - AdoptAPet'!$B:$AE,2,FALSE)</f>
        <v>Grasshopper [Foster Home]</v>
      </c>
      <c r="F9" t="str">
        <f>VLOOKUP(D9,'All - PetPoint'!$B:$Q,7,FALSE)</f>
        <v>Grasshopper (E. Beam)</v>
      </c>
      <c r="G9" t="str">
        <f>VLOOKUP(D9,'AnimalInventory - PetPoint'!$D:$AK,2,FALSE)</f>
        <v>Grasshopper (E. Beam)</v>
      </c>
      <c r="H9" t="str">
        <f>VLOOKUP(D9,'All - AdoptAPet'!$B:$AE,7,FALSE)</f>
        <v>American Pit Bull Terrier</v>
      </c>
      <c r="I9">
        <f>VLOOKUP(D9,'All - AdoptAPet'!$B:$AE,8,FALSE)</f>
        <v>0</v>
      </c>
      <c r="J9" t="str">
        <f>VLOOKUP(D9,'All - AdoptAPet'!$B:$AE,9,FALSE)</f>
        <v>White - with Tan, Yellow or Fawn</v>
      </c>
      <c r="K9" t="str">
        <f>VLOOKUP(D9,'All - AdoptAPet'!$B:$AE,10,FALSE)</f>
        <v>male</v>
      </c>
      <c r="L9" t="str">
        <f>VLOOKUP(D9,'All - AdoptAPet'!$B:$AE,11,FALSE)</f>
        <v>adult</v>
      </c>
      <c r="M9" t="str">
        <f>VLOOKUP(D9,'All - AdoptAPet'!$B:$AE,12,FALSE)</f>
        <v>Med. 26-60 lbs (12-27 kg)</v>
      </c>
      <c r="N9" t="str">
        <f>VLOOKUP(D9,'All - AdoptAPet'!$B:$AE,14,FALSE)</f>
        <v>Yes</v>
      </c>
      <c r="O9" t="str">
        <f>VLOOKUP(D9,'All - AdoptAPet'!$B:$AE,15,FALSE)</f>
        <v>Yes</v>
      </c>
      <c r="P9" t="str">
        <f>VLOOKUP(D9,'All - AdoptAPet'!$B:$AE,16,FALSE)</f>
        <v>Yes</v>
      </c>
      <c r="Q9" t="str">
        <f>VLOOKUP(D9,'All - AdoptAPet'!$B:$AE,17,FALSE)</f>
        <v>Yes</v>
      </c>
      <c r="R9" t="str">
        <f>VLOOKUP(D9,'All - AdoptAPet'!$B:$AE,19,FALSE)</f>
        <v>No</v>
      </c>
      <c r="S9" t="str">
        <f>VLOOKUP(D9,'All - AdoptAPet'!$B:$AE,20,FALSE)</f>
        <v>Yes</v>
      </c>
      <c r="T9" t="str">
        <f>VLOOKUP(D9,'All - AdoptAPet'!$B:$AE,21,FALSE)</f>
        <v>Yes</v>
      </c>
      <c r="U9" t="str">
        <f>VLOOKUP(D9,'All - AdoptAPet'!$B:$AE,22,FALSE)</f>
        <v>Yes</v>
      </c>
      <c r="V9" t="str">
        <f>IF(VLOOKUP(D9,'All - AdoptAPet'!$B:$AE,23,FALSE)="","No", "Yes")</f>
        <v>Yes</v>
      </c>
      <c r="W9" t="str">
        <f>VLOOKUP(D9,'All - PetPoint'!$B:$Q,4,FALSE)</f>
        <v>Available</v>
      </c>
      <c r="X9" t="str">
        <f>VLOOKUP(D9,'All - PetPoint'!$B:$Q,11,FALSE)</f>
        <v>White</v>
      </c>
      <c r="Y9" t="str">
        <f>VLOOKUP(D9,'All - PetPoint'!$B:$Q,14,FALSE)</f>
        <v>Foster home</v>
      </c>
      <c r="Z9" t="str">
        <f>VLOOKUP(D9,'AnimalInventory - PetPoint'!$D:$AK,9,FALSE)</f>
        <v>Stray/ACO Pickup / Drop Off</v>
      </c>
      <c r="AA9" s="9">
        <f>VLOOKUP(D9,'AnimalInventory - PetPoint'!$D:$AK,19,FALSE)</f>
        <v>45773.615972222222</v>
      </c>
      <c r="AB9" s="9">
        <f>VLOOKUP(D9,'AnimalInventory - PetPoint'!$D:$AK,21,FALSE)</f>
        <v>45768.615972222222</v>
      </c>
      <c r="AC9">
        <f>VLOOKUP(D9,'AnimalInventory - PetPoint'!$D:$AK,22,FALSE)</f>
        <v>210.2</v>
      </c>
      <c r="AD9">
        <f>VLOOKUP(D9,'AnimalInventory - PetPoint'!$D:$AK,23,FALSE)</f>
        <v>0</v>
      </c>
      <c r="AE9" t="str">
        <f>VLOOKUP(D9,'AnimalInventory - PetPoint'!$D:$AK,25,FALSE)</f>
        <v>48.00 pound</v>
      </c>
      <c r="AF9">
        <f>VLOOKUP(D9,'AnimalInventory - PetPoint'!$D:$AK,28,FALSE)</f>
        <v>2</v>
      </c>
      <c r="AG9" t="str">
        <f>VLOOKUP(D9,'PreTreat DogTraffic'!$B:$I,2,FALSE)</f>
        <v>302</v>
      </c>
      <c r="AH9" t="str">
        <f>VLOOKUP(D9,'PreTreat DogTraffic'!$B:$I,3,FALSE)</f>
        <v>850</v>
      </c>
      <c r="AI9" t="str">
        <f>VLOOKUP(D9,'PreTreat DogTraffic'!$B:$I,4,FALSE)</f>
        <v>2,140</v>
      </c>
      <c r="AJ9" t="str">
        <f>VLOOKUP(D9,'PreTreat DogTraffic'!$B:$I,5,FALSE)</f>
        <v>28</v>
      </c>
      <c r="AK9" t="str">
        <f>VLOOKUP(D9,'PreTreat DogTraffic'!$B:$I,6,FALSE)</f>
        <v>93</v>
      </c>
      <c r="AL9" t="str">
        <f>VLOOKUP(D9,'PreTreat DogTraffic'!$B:$I,7,FALSE)</f>
        <v>313</v>
      </c>
      <c r="AM9" t="str">
        <f>VLOOKUP(D9,'PreTreat DogTraffic'!$B:$I,8,FALSE)</f>
        <v>9.3%</v>
      </c>
    </row>
    <row r="10" spans="1:39" hidden="1" x14ac:dyDescent="0.2">
      <c r="A10" t="str">
        <f>IF(D10="","",IFERROR(VLOOKUP(D10,REMOVED!$A:$D,3,FALSE),IFERROR(VLOOKUP(D10,OUTCOME!$A:$C,3,FALSE),"Yes")))</f>
        <v>PreTreat - No</v>
      </c>
      <c r="B10" t="e">
        <f>VLOOKUP(D10,'Experiment Tracker'!$B:$C,2,FALSE)</f>
        <v>#N/A</v>
      </c>
      <c r="C10">
        <v>44936854</v>
      </c>
      <c r="D10" t="s">
        <v>120</v>
      </c>
      <c r="E10" t="str">
        <f>VLOOKUP(D10,'All - AdoptAPet'!$B:$AE,2,FALSE)</f>
        <v>Jacob</v>
      </c>
      <c r="F10" t="str">
        <f>VLOOKUP(D10,'All - PetPoint'!$B:$Q,7,FALSE)</f>
        <v>Jacob</v>
      </c>
      <c r="G10" t="str">
        <f>VLOOKUP(D10,'AnimalInventory - PetPoint'!$D:$AK,2,FALSE)</f>
        <v>Jacob</v>
      </c>
      <c r="H10" t="str">
        <f>VLOOKUP(D10,'All - AdoptAPet'!$B:$AE,7,FALSE)</f>
        <v>American Eskimo Dog</v>
      </c>
      <c r="I10" t="str">
        <f>VLOOKUP(D10,'All - AdoptAPet'!$B:$AE,8,FALSE)</f>
        <v>American Pit Bull Terrier</v>
      </c>
      <c r="J10" t="str">
        <f>VLOOKUP(D10,'All - AdoptAPet'!$B:$AE,9,FALSE)</f>
        <v>Tan/Yellow/Fawn - with White</v>
      </c>
      <c r="K10" t="str">
        <f>VLOOKUP(D10,'All - AdoptAPet'!$B:$AE,10,FALSE)</f>
        <v>male</v>
      </c>
      <c r="L10" t="str">
        <f>VLOOKUP(D10,'All - AdoptAPet'!$B:$AE,11,FALSE)</f>
        <v>adult</v>
      </c>
      <c r="M10" t="str">
        <f>VLOOKUP(D10,'All - AdoptAPet'!$B:$AE,12,FALSE)</f>
        <v>Med. 26-60 lbs (12-27 kg)</v>
      </c>
      <c r="N10" t="str">
        <f>VLOOKUP(D10,'All - AdoptAPet'!$B:$AE,14,FALSE)</f>
        <v>Yes</v>
      </c>
      <c r="O10" t="str">
        <f>VLOOKUP(D10,'All - AdoptAPet'!$B:$AE,15,FALSE)</f>
        <v>Yes</v>
      </c>
      <c r="P10" t="str">
        <f>VLOOKUP(D10,'All - AdoptAPet'!$B:$AE,16,FALSE)</f>
        <v>Yes</v>
      </c>
      <c r="Q10" t="str">
        <f>VLOOKUP(D10,'All - AdoptAPet'!$B:$AE,17,FALSE)</f>
        <v>No</v>
      </c>
      <c r="R10" t="str">
        <f>VLOOKUP(D10,'All - AdoptAPet'!$B:$AE,19,FALSE)</f>
        <v>No</v>
      </c>
      <c r="S10" t="str">
        <f>VLOOKUP(D10,'All - AdoptAPet'!$B:$AE,20,FALSE)</f>
        <v>Yes</v>
      </c>
      <c r="T10" t="str">
        <f>VLOOKUP(D10,'All - AdoptAPet'!$B:$AE,21,FALSE)</f>
        <v>Yes</v>
      </c>
      <c r="U10" t="str">
        <f>VLOOKUP(D10,'All - AdoptAPet'!$B:$AE,22,FALSE)</f>
        <v>Unknown</v>
      </c>
      <c r="V10" t="str">
        <f>IF(VLOOKUP(D10,'All - AdoptAPet'!$B:$AE,23,FALSE)="","No", "Yes")</f>
        <v>Yes</v>
      </c>
      <c r="W10" t="str">
        <f>VLOOKUP(D10,'All - PetPoint'!$B:$Q,4,FALSE)</f>
        <v>Available</v>
      </c>
      <c r="X10" t="str">
        <f>VLOOKUP(D10,'All - PetPoint'!$B:$Q,11,FALSE)</f>
        <v>Brown</v>
      </c>
      <c r="Y10" t="str">
        <f>VLOOKUP(D10,'All - PetPoint'!$B:$Q,14,FALSE)</f>
        <v>Adoption Kennels</v>
      </c>
      <c r="Z10" t="str">
        <f>VLOOKUP(D10,'AnimalInventory - PetPoint'!$D:$AK,9,FALSE)</f>
        <v>Stray/ACO Pickup / Drop Off</v>
      </c>
      <c r="AA10" s="9">
        <f>VLOOKUP(D10,'AnimalInventory - PetPoint'!$D:$AK,19,FALSE)</f>
        <v>45755.588888888888</v>
      </c>
      <c r="AB10" s="9">
        <f>VLOOKUP(D10,'AnimalInventory - PetPoint'!$D:$AK,21,FALSE)</f>
        <v>45750.588888888888</v>
      </c>
      <c r="AC10">
        <f>VLOOKUP(D10,'AnimalInventory - PetPoint'!$D:$AK,22,FALSE)</f>
        <v>228.2</v>
      </c>
      <c r="AD10">
        <f>VLOOKUP(D10,'AnimalInventory - PetPoint'!$D:$AK,23,FALSE)</f>
        <v>0</v>
      </c>
      <c r="AE10" t="str">
        <f>VLOOKUP(D10,'AnimalInventory - PetPoint'!$D:$AK,25,FALSE)</f>
        <v>56.00 pound</v>
      </c>
      <c r="AF10">
        <f>VLOOKUP(D10,'AnimalInventory - PetPoint'!$D:$AK,28,FALSE)</f>
        <v>3</v>
      </c>
      <c r="AG10" t="str">
        <f>VLOOKUP(D10,'PreTreat DogTraffic'!$B:$I,2,FALSE)</f>
        <v>287</v>
      </c>
      <c r="AH10" t="str">
        <f>VLOOKUP(D10,'PreTreat DogTraffic'!$B:$I,3,FALSE)</f>
        <v>680</v>
      </c>
      <c r="AI10" t="str">
        <f>VLOOKUP(D10,'PreTreat DogTraffic'!$B:$I,4,FALSE)</f>
        <v>2,024</v>
      </c>
      <c r="AJ10" t="str">
        <f>VLOOKUP(D10,'PreTreat DogTraffic'!$B:$I,5,FALSE)</f>
        <v>11</v>
      </c>
      <c r="AK10" t="str">
        <f>VLOOKUP(D10,'PreTreat DogTraffic'!$B:$I,6,FALSE)</f>
        <v>52</v>
      </c>
      <c r="AL10" t="str">
        <f>VLOOKUP(D10,'PreTreat DogTraffic'!$B:$I,7,FALSE)</f>
        <v>240</v>
      </c>
      <c r="AM10" t="str">
        <f>VLOOKUP(D10,'PreTreat DogTraffic'!$B:$I,8,FALSE)</f>
        <v>3.8%</v>
      </c>
    </row>
    <row r="11" spans="1:39" hidden="1" x14ac:dyDescent="0.2">
      <c r="A11" t="str">
        <f>IF(D11="","",IFERROR(VLOOKUP(D11,REMOVED!$A:$D,3,FALSE),IFERROR(VLOOKUP(D11,OUTCOME!$A:$C,3,FALSE),"Yes")))</f>
        <v>PreTreat - No</v>
      </c>
      <c r="B11" t="e">
        <f>VLOOKUP(D11,'Experiment Tracker'!$B:$C,2,FALSE)</f>
        <v>#N/A</v>
      </c>
      <c r="C11">
        <v>44938981</v>
      </c>
      <c r="D11" t="s">
        <v>131</v>
      </c>
      <c r="E11" t="str">
        <f>VLOOKUP(D11,'All - AdoptAPet'!$B:$AE,2,FALSE)</f>
        <v>Luke [Foster Home]</v>
      </c>
      <c r="F11" t="str">
        <f>VLOOKUP(D11,'All - PetPoint'!$B:$Q,7,FALSE)</f>
        <v>Luke (M. Arnold)</v>
      </c>
      <c r="G11" t="str">
        <f>VLOOKUP(D11,'AnimalInventory - PetPoint'!$D:$AK,2,FALSE)</f>
        <v>Luke (M. Arnold)</v>
      </c>
      <c r="H11" t="str">
        <f>VLOOKUP(D11,'All - AdoptAPet'!$B:$AE,7,FALSE)</f>
        <v>Shepherd (Unknown Type)</v>
      </c>
      <c r="I11" t="str">
        <f>VLOOKUP(D11,'All - AdoptAPet'!$B:$AE,8,FALSE)</f>
        <v>Retriever (Unknown Type)</v>
      </c>
      <c r="J11" t="str">
        <f>VLOOKUP(D11,'All - AdoptAPet'!$B:$AE,9,FALSE)</f>
        <v>Red/Golden/Orange/Chestnut - with White</v>
      </c>
      <c r="K11" t="str">
        <f>VLOOKUP(D11,'All - AdoptAPet'!$B:$AE,10,FALSE)</f>
        <v>male</v>
      </c>
      <c r="L11" t="str">
        <f>VLOOKUP(D11,'All - AdoptAPet'!$B:$AE,11,FALSE)</f>
        <v>adult</v>
      </c>
      <c r="M11" t="str">
        <f>VLOOKUP(D11,'All - AdoptAPet'!$B:$AE,12,FALSE)</f>
        <v>Med. 26-60 lbs (12-27 kg)</v>
      </c>
      <c r="N11" t="str">
        <f>VLOOKUP(D11,'All - AdoptAPet'!$B:$AE,14,FALSE)</f>
        <v>Yes</v>
      </c>
      <c r="O11" t="str">
        <f>VLOOKUP(D11,'All - AdoptAPet'!$B:$AE,15,FALSE)</f>
        <v>Yes</v>
      </c>
      <c r="P11" t="str">
        <f>VLOOKUP(D11,'All - AdoptAPet'!$B:$AE,16,FALSE)</f>
        <v>Yes</v>
      </c>
      <c r="Q11" t="str">
        <f>VLOOKUP(D11,'All - AdoptAPet'!$B:$AE,17,FALSE)</f>
        <v>No</v>
      </c>
      <c r="R11" t="str">
        <f>VLOOKUP(D11,'All - AdoptAPet'!$B:$AE,19,FALSE)</f>
        <v>No</v>
      </c>
      <c r="S11" t="str">
        <f>VLOOKUP(D11,'All - AdoptAPet'!$B:$AE,20,FALSE)</f>
        <v>Yes</v>
      </c>
      <c r="T11" t="str">
        <f>VLOOKUP(D11,'All - AdoptAPet'!$B:$AE,21,FALSE)</f>
        <v>Yes</v>
      </c>
      <c r="U11" t="str">
        <f>VLOOKUP(D11,'All - AdoptAPet'!$B:$AE,22,FALSE)</f>
        <v>Unknown</v>
      </c>
      <c r="V11" t="str">
        <f>IF(VLOOKUP(D11,'All - AdoptAPet'!$B:$AE,23,FALSE)="","No", "Yes")</f>
        <v>Yes</v>
      </c>
      <c r="W11" t="str">
        <f>VLOOKUP(D11,'All - PetPoint'!$B:$Q,4,FALSE)</f>
        <v>Available</v>
      </c>
      <c r="X11" t="str">
        <f>VLOOKUP(D11,'All - PetPoint'!$B:$Q,11,FALSE)</f>
        <v>Brown</v>
      </c>
      <c r="Y11" t="str">
        <f>VLOOKUP(D11,'All - PetPoint'!$B:$Q,14,FALSE)</f>
        <v>Foster home</v>
      </c>
      <c r="Z11" t="str">
        <f>VLOOKUP(D11,'AnimalInventory - PetPoint'!$D:$AK,9,FALSE)</f>
        <v>Stray/ACO Pickup / Drop Off</v>
      </c>
      <c r="AA11" s="9">
        <f>VLOOKUP(D11,'AnimalInventory - PetPoint'!$D:$AK,19,FALSE)</f>
        <v>45764.78125</v>
      </c>
      <c r="AB11" s="9">
        <f>VLOOKUP(D11,'AnimalInventory - PetPoint'!$D:$AK,21,FALSE)</f>
        <v>45759.78125</v>
      </c>
      <c r="AC11">
        <f>VLOOKUP(D11,'AnimalInventory - PetPoint'!$D:$AK,22,FALSE)</f>
        <v>219</v>
      </c>
      <c r="AD11">
        <f>VLOOKUP(D11,'AnimalInventory - PetPoint'!$D:$AK,23,FALSE)</f>
        <v>0</v>
      </c>
      <c r="AE11" t="str">
        <f>VLOOKUP(D11,'AnimalInventory - PetPoint'!$D:$AK,25,FALSE)</f>
        <v>50.00 pound</v>
      </c>
      <c r="AF11">
        <f>VLOOKUP(D11,'AnimalInventory - PetPoint'!$D:$AK,28,FALSE)</f>
        <v>3</v>
      </c>
      <c r="AG11" t="str">
        <f>VLOOKUP(D11,'PreTreat DogTraffic'!$B:$I,2,FALSE)</f>
        <v>233</v>
      </c>
      <c r="AH11" t="str">
        <f>VLOOKUP(D11,'PreTreat DogTraffic'!$B:$I,3,FALSE)</f>
        <v>515</v>
      </c>
      <c r="AI11" t="str">
        <f>VLOOKUP(D11,'PreTreat DogTraffic'!$B:$I,4,FALSE)</f>
        <v>1,265</v>
      </c>
      <c r="AJ11" t="str">
        <f>VLOOKUP(D11,'PreTreat DogTraffic'!$B:$I,5,FALSE)</f>
        <v>7</v>
      </c>
      <c r="AK11" t="str">
        <f>VLOOKUP(D11,'PreTreat DogTraffic'!$B:$I,6,FALSE)</f>
        <v>48</v>
      </c>
      <c r="AL11" t="str">
        <f>VLOOKUP(D11,'PreTreat DogTraffic'!$B:$I,7,FALSE)</f>
        <v>156</v>
      </c>
      <c r="AM11" t="str">
        <f>VLOOKUP(D11,'PreTreat DogTraffic'!$B:$I,8,FALSE)</f>
        <v>3.0%</v>
      </c>
    </row>
    <row r="12" spans="1:39" hidden="1" x14ac:dyDescent="0.2">
      <c r="A12" t="str">
        <f>IF(D12="","",IFERROR(VLOOKUP(D12,REMOVED!$A:$D,3,FALSE),IFERROR(VLOOKUP(D12,OUTCOME!$A:$C,3,FALSE),"Yes")))</f>
        <v>PreTreat - No</v>
      </c>
      <c r="B12" t="e">
        <f>VLOOKUP(D12,'Experiment Tracker'!$B:$C,2,FALSE)</f>
        <v>#N/A</v>
      </c>
      <c r="C12">
        <v>44941336</v>
      </c>
      <c r="D12" t="s">
        <v>139</v>
      </c>
      <c r="E12" t="str">
        <f>VLOOKUP(D12,'All - AdoptAPet'!$B:$AE,2,FALSE)</f>
        <v>Miss White [Foster Home]</v>
      </c>
      <c r="F12" t="str">
        <f>VLOOKUP(D12,'All - PetPoint'!$B:$Q,7,FALSE)</f>
        <v>Miss White (M. Kelly)</v>
      </c>
      <c r="G12" t="str">
        <f>VLOOKUP(D12,'AnimalInventory - PetPoint'!$D:$AK,2,FALSE)</f>
        <v>Miss White (M. Kelly)</v>
      </c>
      <c r="H12" t="str">
        <f>VLOOKUP(D12,'All - AdoptAPet'!$B:$AE,7,FALSE)</f>
        <v>American Pit Bull Terrier</v>
      </c>
      <c r="I12" t="str">
        <f>VLOOKUP(D12,'All - AdoptAPet'!$B:$AE,8,FALSE)</f>
        <v>Labrador Retriever</v>
      </c>
      <c r="J12" t="str">
        <f>VLOOKUP(D12,'All - AdoptAPet'!$B:$AE,9,FALSE)</f>
        <v>White - with Tan, Yellow or Fawn</v>
      </c>
      <c r="K12" t="str">
        <f>VLOOKUP(D12,'All - AdoptAPet'!$B:$AE,10,FALSE)</f>
        <v>female</v>
      </c>
      <c r="L12" t="str">
        <f>VLOOKUP(D12,'All - AdoptAPet'!$B:$AE,11,FALSE)</f>
        <v>young</v>
      </c>
      <c r="M12" t="str">
        <f>VLOOKUP(D12,'All - AdoptAPet'!$B:$AE,12,FALSE)</f>
        <v>Med. 26-60 lbs (12-27 kg)</v>
      </c>
      <c r="N12" t="str">
        <f>VLOOKUP(D12,'All - AdoptAPet'!$B:$AE,14,FALSE)</f>
        <v>Yes</v>
      </c>
      <c r="O12" t="str">
        <f>VLOOKUP(D12,'All - AdoptAPet'!$B:$AE,15,FALSE)</f>
        <v>Yes</v>
      </c>
      <c r="P12" t="str">
        <f>VLOOKUP(D12,'All - AdoptAPet'!$B:$AE,16,FALSE)</f>
        <v>Yes</v>
      </c>
      <c r="Q12" t="str">
        <f>VLOOKUP(D12,'All - AdoptAPet'!$B:$AE,17,FALSE)</f>
        <v>No</v>
      </c>
      <c r="R12" t="str">
        <f>VLOOKUP(D12,'All - AdoptAPet'!$B:$AE,19,FALSE)</f>
        <v>No</v>
      </c>
      <c r="S12" t="str">
        <f>VLOOKUP(D12,'All - AdoptAPet'!$B:$AE,20,FALSE)</f>
        <v>Yes</v>
      </c>
      <c r="T12" t="str">
        <f>VLOOKUP(D12,'All - AdoptAPet'!$B:$AE,21,FALSE)</f>
        <v>Yes</v>
      </c>
      <c r="U12" t="str">
        <f>VLOOKUP(D12,'All - AdoptAPet'!$B:$AE,22,FALSE)</f>
        <v>Yes</v>
      </c>
      <c r="V12" t="str">
        <f>IF(VLOOKUP(D12,'All - AdoptAPet'!$B:$AE,23,FALSE)="","No", "Yes")</f>
        <v>Yes</v>
      </c>
      <c r="W12" t="str">
        <f>VLOOKUP(D12,'All - PetPoint'!$B:$Q,4,FALSE)</f>
        <v>Available</v>
      </c>
      <c r="X12" t="str">
        <f>VLOOKUP(D12,'All - PetPoint'!$B:$Q,11,FALSE)</f>
        <v>White</v>
      </c>
      <c r="Y12" t="str">
        <f>VLOOKUP(D12,'All - PetPoint'!$B:$Q,14,FALSE)</f>
        <v>Foster home</v>
      </c>
      <c r="Z12" t="str">
        <f>VLOOKUP(D12,'AnimalInventory - PetPoint'!$D:$AK,9,FALSE)</f>
        <v>Stray/ACO Pickup / Drop Off</v>
      </c>
      <c r="AA12" s="9">
        <f>VLOOKUP(D12,'AnimalInventory - PetPoint'!$D:$AK,19,FALSE)</f>
        <v>45804.612500000003</v>
      </c>
      <c r="AB12" s="9">
        <f>VLOOKUP(D12,'AnimalInventory - PetPoint'!$D:$AK,21,FALSE)</f>
        <v>45799.612500000003</v>
      </c>
      <c r="AC12">
        <f>VLOOKUP(D12,'AnimalInventory - PetPoint'!$D:$AK,22,FALSE)</f>
        <v>179.2</v>
      </c>
      <c r="AD12">
        <f>VLOOKUP(D12,'AnimalInventory - PetPoint'!$D:$AK,23,FALSE)</f>
        <v>0</v>
      </c>
      <c r="AE12" t="str">
        <f>VLOOKUP(D12,'AnimalInventory - PetPoint'!$D:$AK,25,FALSE)</f>
        <v>43.00 pound</v>
      </c>
      <c r="AF12">
        <f>VLOOKUP(D12,'AnimalInventory - PetPoint'!$D:$AK,28,FALSE)</f>
        <v>3</v>
      </c>
      <c r="AG12" t="str">
        <f>VLOOKUP(D12,'PreTreat DogTraffic'!$B:$I,2,FALSE)</f>
        <v>453</v>
      </c>
      <c r="AH12" t="str">
        <f>VLOOKUP(D12,'PreTreat DogTraffic'!$B:$I,3,FALSE)</f>
        <v>1,209</v>
      </c>
      <c r="AI12" t="str">
        <f>VLOOKUP(D12,'PreTreat DogTraffic'!$B:$I,4,FALSE)</f>
        <v>2,819</v>
      </c>
      <c r="AJ12" t="str">
        <f>VLOOKUP(D12,'PreTreat DogTraffic'!$B:$I,5,FALSE)</f>
        <v>26</v>
      </c>
      <c r="AK12" t="str">
        <f>VLOOKUP(D12,'PreTreat DogTraffic'!$B:$I,6,FALSE)</f>
        <v>65</v>
      </c>
      <c r="AL12" t="str">
        <f>VLOOKUP(D12,'PreTreat DogTraffic'!$B:$I,7,FALSE)</f>
        <v>311</v>
      </c>
      <c r="AM12" t="str">
        <f>VLOOKUP(D12,'PreTreat DogTraffic'!$B:$I,8,FALSE)</f>
        <v>5.7%</v>
      </c>
    </row>
    <row r="13" spans="1:39" hidden="1" x14ac:dyDescent="0.2">
      <c r="A13" t="str">
        <f>IF(D13="","",IFERROR(VLOOKUP(D13,REMOVED!$A:$D,3,FALSE),IFERROR(VLOOKUP(D13,OUTCOME!$A:$C,3,FALSE),"Yes")))</f>
        <v>PreTreat - No</v>
      </c>
      <c r="B13" t="e">
        <f>VLOOKUP(D13,'Experiment Tracker'!$B:$C,2,FALSE)</f>
        <v>#N/A</v>
      </c>
      <c r="C13">
        <v>44941030</v>
      </c>
      <c r="D13" t="s">
        <v>144</v>
      </c>
      <c r="E13" t="str">
        <f>VLOOKUP(D13,'All - AdoptAPet'!$B:$AE,2,FALSE)</f>
        <v>Nash</v>
      </c>
      <c r="F13" t="str">
        <f>VLOOKUP(D13,'All - PetPoint'!$B:$Q,7,FALSE)</f>
        <v>Nash</v>
      </c>
      <c r="G13" t="str">
        <f>VLOOKUP(D13,'AnimalInventory - PetPoint'!$D:$AK,2,FALSE)</f>
        <v>Nash</v>
      </c>
      <c r="H13" t="str">
        <f>VLOOKUP(D13,'All - AdoptAPet'!$B:$AE,7,FALSE)</f>
        <v>Labrador Retriever</v>
      </c>
      <c r="I13" t="str">
        <f>VLOOKUP(D13,'All - AdoptAPet'!$B:$AE,8,FALSE)</f>
        <v>American Pit Bull Terrier</v>
      </c>
      <c r="J13" t="str">
        <f>VLOOKUP(D13,'All - AdoptAPet'!$B:$AE,9,FALSE)</f>
        <v>Brown/Chocolate</v>
      </c>
      <c r="K13" t="str">
        <f>VLOOKUP(D13,'All - AdoptAPet'!$B:$AE,10,FALSE)</f>
        <v>male</v>
      </c>
      <c r="L13" t="str">
        <f>VLOOKUP(D13,'All - AdoptAPet'!$B:$AE,11,FALSE)</f>
        <v>adult</v>
      </c>
      <c r="M13" t="str">
        <f>VLOOKUP(D13,'All - AdoptAPet'!$B:$AE,12,FALSE)</f>
        <v>Med. 26-60 lbs (12-27 kg)</v>
      </c>
      <c r="N13" t="str">
        <f>VLOOKUP(D13,'All - AdoptAPet'!$B:$AE,14,FALSE)</f>
        <v>Yes</v>
      </c>
      <c r="O13" t="str">
        <f>VLOOKUP(D13,'All - AdoptAPet'!$B:$AE,15,FALSE)</f>
        <v>Yes</v>
      </c>
      <c r="P13" t="str">
        <f>VLOOKUP(D13,'All - AdoptAPet'!$B:$AE,16,FALSE)</f>
        <v>Yes</v>
      </c>
      <c r="Q13" t="str">
        <f>VLOOKUP(D13,'All - AdoptAPet'!$B:$AE,17,FALSE)</f>
        <v>No</v>
      </c>
      <c r="R13" t="str">
        <f>VLOOKUP(D13,'All - AdoptAPet'!$B:$AE,19,FALSE)</f>
        <v>No</v>
      </c>
      <c r="S13" t="str">
        <f>VLOOKUP(D13,'All - AdoptAPet'!$B:$AE,20,FALSE)</f>
        <v>Yes</v>
      </c>
      <c r="T13" t="str">
        <f>VLOOKUP(D13,'All - AdoptAPet'!$B:$AE,21,FALSE)</f>
        <v>Yes</v>
      </c>
      <c r="U13" t="str">
        <f>VLOOKUP(D13,'All - AdoptAPet'!$B:$AE,22,FALSE)</f>
        <v>Unknown</v>
      </c>
      <c r="V13" t="str">
        <f>IF(VLOOKUP(D13,'All - AdoptAPet'!$B:$AE,23,FALSE)="","No", "Yes")</f>
        <v>Yes</v>
      </c>
      <c r="W13" t="str">
        <f>VLOOKUP(D13,'All - PetPoint'!$B:$Q,4,FALSE)</f>
        <v>Available</v>
      </c>
      <c r="X13" t="str">
        <f>VLOOKUP(D13,'All - PetPoint'!$B:$Q,11,FALSE)</f>
        <v>Brown</v>
      </c>
      <c r="Y13" t="str">
        <f>VLOOKUP(D13,'All - PetPoint'!$B:$Q,14,FALSE)</f>
        <v>Adoption Kennels</v>
      </c>
      <c r="Z13" t="str">
        <f>VLOOKUP(D13,'AnimalInventory - PetPoint'!$D:$AK,9,FALSE)</f>
        <v>Stray/ACO Pickup / Drop Off</v>
      </c>
      <c r="AA13" s="9">
        <f>VLOOKUP(D13,'AnimalInventory - PetPoint'!$D:$AK,19,FALSE)</f>
        <v>45802.638194444444</v>
      </c>
      <c r="AB13" s="9">
        <f>VLOOKUP(D13,'AnimalInventory - PetPoint'!$D:$AK,21,FALSE)</f>
        <v>45797.638194444444</v>
      </c>
      <c r="AC13">
        <f>VLOOKUP(D13,'AnimalInventory - PetPoint'!$D:$AK,22,FALSE)</f>
        <v>181.1</v>
      </c>
      <c r="AD13">
        <f>VLOOKUP(D13,'AnimalInventory - PetPoint'!$D:$AK,23,FALSE)</f>
        <v>0</v>
      </c>
      <c r="AE13" t="str">
        <f>VLOOKUP(D13,'AnimalInventory - PetPoint'!$D:$AK,25,FALSE)</f>
        <v>53.40 pound</v>
      </c>
      <c r="AF13">
        <f>VLOOKUP(D13,'AnimalInventory - PetPoint'!$D:$AK,28,FALSE)</f>
        <v>3</v>
      </c>
      <c r="AG13" t="str">
        <f>VLOOKUP(D13,'PreTreat DogTraffic'!$B:$I,2,FALSE)</f>
        <v>402</v>
      </c>
      <c r="AH13" t="str">
        <f>VLOOKUP(D13,'PreTreat DogTraffic'!$B:$I,3,FALSE)</f>
        <v>930</v>
      </c>
      <c r="AI13" t="str">
        <f>VLOOKUP(D13,'PreTreat DogTraffic'!$B:$I,4,FALSE)</f>
        <v>2,081</v>
      </c>
      <c r="AJ13" t="str">
        <f>VLOOKUP(D13,'PreTreat DogTraffic'!$B:$I,5,FALSE)</f>
        <v>3</v>
      </c>
      <c r="AK13" t="str">
        <f>VLOOKUP(D13,'PreTreat DogTraffic'!$B:$I,6,FALSE)</f>
        <v>35</v>
      </c>
      <c r="AL13" t="str">
        <f>VLOOKUP(D13,'PreTreat DogTraffic'!$B:$I,7,FALSE)</f>
        <v>182</v>
      </c>
      <c r="AM13" t="str">
        <f>VLOOKUP(D13,'PreTreat DogTraffic'!$B:$I,8,FALSE)</f>
        <v>0.7%</v>
      </c>
    </row>
    <row r="14" spans="1:39" x14ac:dyDescent="0.2">
      <c r="A14" t="str">
        <f>IF(D14="","",IFERROR(VLOOKUP(D14,REMOVED!$A:$D,3,FALSE),IFERROR(VLOOKUP(D14,OUTCOME!$A:$C,3,FALSE),"Yes")))</f>
        <v>Yes</v>
      </c>
      <c r="B14" t="str">
        <f>VLOOKUP(D14,'Experiment Tracker'!$B:$C,2,FALSE)</f>
        <v>Zorua [Foster Home]</v>
      </c>
      <c r="C14">
        <v>44937929</v>
      </c>
      <c r="D14" t="s">
        <v>156</v>
      </c>
      <c r="E14" t="str">
        <f>VLOOKUP(D14,'All - AdoptAPet'!$B:$AE,2,FALSE)</f>
        <v>Zorua [Foster Home]</v>
      </c>
      <c r="F14" t="str">
        <f>VLOOKUP(D14,'All - PetPoint'!$B:$Q,7,FALSE)</f>
        <v>Zorua (C. Lester)</v>
      </c>
      <c r="G14" t="str">
        <f>VLOOKUP(D14,'AnimalInventory - PetPoint'!$D:$AK,2,FALSE)</f>
        <v>Zorua (C. Lester)</v>
      </c>
      <c r="H14" t="str">
        <f>VLOOKUP(D14,'All - AdoptAPet'!$B:$AE,7,FALSE)</f>
        <v>American Staffordshire Terrier</v>
      </c>
      <c r="I14" t="str">
        <f>VLOOKUP(D14,'All - AdoptAPet'!$B:$AE,8,FALSE)</f>
        <v>American Pit Bull Terrier</v>
      </c>
      <c r="J14" t="str">
        <f>VLOOKUP(D14,'All - AdoptAPet'!$B:$AE,9,FALSE)</f>
        <v>Black - with White</v>
      </c>
      <c r="K14" t="str">
        <f>VLOOKUP(D14,'All - AdoptAPet'!$B:$AE,10,FALSE)</f>
        <v>female</v>
      </c>
      <c r="L14" t="str">
        <f>VLOOKUP(D14,'All - AdoptAPet'!$B:$AE,11,FALSE)</f>
        <v>adult</v>
      </c>
      <c r="M14" t="str">
        <f>VLOOKUP(D14,'All - AdoptAPet'!$B:$AE,12,FALSE)</f>
        <v>Med. 26-60 lbs (12-27 kg)</v>
      </c>
      <c r="N14" t="str">
        <f>VLOOKUP(D14,'All - AdoptAPet'!$B:$AE,14,FALSE)</f>
        <v>Yes</v>
      </c>
      <c r="O14" t="str">
        <f>VLOOKUP(D14,'All - AdoptAPet'!$B:$AE,15,FALSE)</f>
        <v>Yes</v>
      </c>
      <c r="P14" t="str">
        <f>VLOOKUP(D14,'All - AdoptAPet'!$B:$AE,16,FALSE)</f>
        <v>Yes</v>
      </c>
      <c r="Q14" t="str">
        <f>VLOOKUP(D14,'All - AdoptAPet'!$B:$AE,17,FALSE)</f>
        <v>No</v>
      </c>
      <c r="R14" t="str">
        <f>VLOOKUP(D14,'All - AdoptAPet'!$B:$AE,19,FALSE)</f>
        <v>No</v>
      </c>
      <c r="S14" t="str">
        <f>VLOOKUP(D14,'All - AdoptAPet'!$B:$AE,20,FALSE)</f>
        <v>Yes</v>
      </c>
      <c r="T14" t="str">
        <f>VLOOKUP(D14,'All - AdoptAPet'!$B:$AE,21,FALSE)</f>
        <v>Yes</v>
      </c>
      <c r="U14" t="str">
        <f>VLOOKUP(D14,'All - AdoptAPet'!$B:$AE,22,FALSE)</f>
        <v>Unknown</v>
      </c>
      <c r="V14" t="str">
        <f>IF(VLOOKUP(D14,'All - AdoptAPet'!$B:$AE,23,FALSE)="","No", "Yes")</f>
        <v>Yes</v>
      </c>
      <c r="W14" t="str">
        <f>VLOOKUP(D14,'All - PetPoint'!$B:$Q,4,FALSE)</f>
        <v>Available</v>
      </c>
      <c r="X14" t="str">
        <f>VLOOKUP(D14,'All - PetPoint'!$B:$Q,11,FALSE)</f>
        <v>Black</v>
      </c>
      <c r="Y14" t="str">
        <f>VLOOKUP(D14,'All - PetPoint'!$B:$Q,14,FALSE)</f>
        <v>Foster home</v>
      </c>
      <c r="Z14" t="str">
        <f>VLOOKUP(D14,'AnimalInventory - PetPoint'!$D:$AK,9,FALSE)</f>
        <v>Stray/Public Drop Off</v>
      </c>
      <c r="AA14" s="9">
        <f>VLOOKUP(D14,'AnimalInventory - PetPoint'!$D:$AK,19,FALSE)</f>
        <v>45735.629861111112</v>
      </c>
      <c r="AB14" s="9">
        <f>VLOOKUP(D14,'AnimalInventory - PetPoint'!$D:$AK,21,FALSE)</f>
        <v>45730.629861111112</v>
      </c>
      <c r="AC14">
        <f>VLOOKUP(D14,'AnimalInventory - PetPoint'!$D:$AK,22,FALSE)</f>
        <v>248.1</v>
      </c>
      <c r="AD14">
        <f>VLOOKUP(D14,'AnimalInventory - PetPoint'!$D:$AK,23,FALSE)</f>
        <v>0</v>
      </c>
      <c r="AE14" t="str">
        <f>VLOOKUP(D14,'AnimalInventory - PetPoint'!$D:$AK,25,FALSE)</f>
        <v>52.00 pound</v>
      </c>
      <c r="AF14">
        <f>VLOOKUP(D14,'AnimalInventory - PetPoint'!$D:$AK,28,FALSE)</f>
        <v>3</v>
      </c>
      <c r="AG14" t="str">
        <f>VLOOKUP(D14,'PreTreat DogTraffic'!$B:$I,2,FALSE)</f>
        <v>400</v>
      </c>
      <c r="AH14" t="str">
        <f>VLOOKUP(D14,'PreTreat DogTraffic'!$B:$I,3,FALSE)</f>
        <v>912</v>
      </c>
      <c r="AI14" t="str">
        <f>VLOOKUP(D14,'PreTreat DogTraffic'!$B:$I,4,FALSE)</f>
        <v>1,947</v>
      </c>
      <c r="AJ14" t="str">
        <f>VLOOKUP(D14,'PreTreat DogTraffic'!$B:$I,5,FALSE)</f>
        <v>5</v>
      </c>
      <c r="AK14" t="str">
        <f>VLOOKUP(D14,'PreTreat DogTraffic'!$B:$I,6,FALSE)</f>
        <v>25</v>
      </c>
      <c r="AL14" t="str">
        <f>VLOOKUP(D14,'PreTreat DogTraffic'!$B:$I,7,FALSE)</f>
        <v>191</v>
      </c>
      <c r="AM14" t="str">
        <f>VLOOKUP(D14,'PreTreat DogTraffic'!$B:$I,8,FALSE)</f>
        <v>1.2%</v>
      </c>
    </row>
    <row r="15" spans="1:39" x14ac:dyDescent="0.2">
      <c r="A15" t="str">
        <f>IF(D15="","",IFERROR(VLOOKUP(D15,REMOVED!$A:$D,3,FALSE),IFERROR(VLOOKUP(D15,OUTCOME!$A:$C,3,FALSE),"Yes")))</f>
        <v>Yes</v>
      </c>
      <c r="B15" t="str">
        <f>VLOOKUP(D15,'Experiment Tracker'!$B:$C,2,FALSE)</f>
        <v>Ava Grace</v>
      </c>
      <c r="C15">
        <v>45190855</v>
      </c>
      <c r="D15" t="s">
        <v>171</v>
      </c>
      <c r="E15" t="str">
        <f>VLOOKUP(D15,'All - AdoptAPet'!$B:$AE,2,FALSE)</f>
        <v>Ava Grace [Foster To Adopt]</v>
      </c>
      <c r="F15" t="str">
        <f>VLOOKUP(D15,'All - PetPoint'!$B:$Q,7,FALSE)</f>
        <v>Ava Grace (A. Berlin)</v>
      </c>
      <c r="G15" t="str">
        <f>VLOOKUP(D15,'AnimalInventory - PetPoint'!$D:$AK,2,FALSE)</f>
        <v>Ava Grace (A. Berlin)</v>
      </c>
      <c r="H15" t="str">
        <f>VLOOKUP(D15,'All - AdoptAPet'!$B:$AE,7,FALSE)</f>
        <v>American Staffordshire Terrier</v>
      </c>
      <c r="I15" t="str">
        <f>VLOOKUP(D15,'All - AdoptAPet'!$B:$AE,8,FALSE)</f>
        <v>Cane Corso</v>
      </c>
      <c r="J15" t="str">
        <f>VLOOKUP(D15,'All - AdoptAPet'!$B:$AE,9,FALSE)</f>
        <v>Brindle - with White</v>
      </c>
      <c r="K15" t="str">
        <f>VLOOKUP(D15,'All - AdoptAPet'!$B:$AE,10,FALSE)</f>
        <v>female</v>
      </c>
      <c r="L15" t="str">
        <f>VLOOKUP(D15,'All - AdoptAPet'!$B:$AE,11,FALSE)</f>
        <v>adult</v>
      </c>
      <c r="M15" t="str">
        <f>VLOOKUP(D15,'All - AdoptAPet'!$B:$AE,12,FALSE)</f>
        <v>Large 61-100 lbs (28-45 kg)</v>
      </c>
      <c r="N15" t="str">
        <f>VLOOKUP(D15,'All - AdoptAPet'!$B:$AE,14,FALSE)</f>
        <v>Yes</v>
      </c>
      <c r="O15" t="str">
        <f>VLOOKUP(D15,'All - AdoptAPet'!$B:$AE,15,FALSE)</f>
        <v>Yes</v>
      </c>
      <c r="P15" t="str">
        <f>VLOOKUP(D15,'All - AdoptAPet'!$B:$AE,16,FALSE)</f>
        <v>Yes</v>
      </c>
      <c r="Q15" t="str">
        <f>VLOOKUP(D15,'All - AdoptAPet'!$B:$AE,17,FALSE)</f>
        <v>No</v>
      </c>
      <c r="R15" t="str">
        <f>VLOOKUP(D15,'All - AdoptAPet'!$B:$AE,19,FALSE)</f>
        <v>No</v>
      </c>
      <c r="S15" t="str">
        <f>VLOOKUP(D15,'All - AdoptAPet'!$B:$AE,20,FALSE)</f>
        <v>Yes</v>
      </c>
      <c r="T15" t="str">
        <f>VLOOKUP(D15,'All - AdoptAPet'!$B:$AE,21,FALSE)</f>
        <v>Yes</v>
      </c>
      <c r="U15" t="str">
        <f>VLOOKUP(D15,'All - AdoptAPet'!$B:$AE,22,FALSE)</f>
        <v>Unknown</v>
      </c>
      <c r="V15" t="str">
        <f>IF(VLOOKUP(D15,'All - AdoptAPet'!$B:$AE,23,FALSE)="","No", "Yes")</f>
        <v>No</v>
      </c>
      <c r="W15" t="str">
        <f>VLOOKUP(D15,'All - PetPoint'!$B:$Q,4,FALSE)</f>
        <v>Foster to Adopt</v>
      </c>
      <c r="X15" t="str">
        <f>VLOOKUP(D15,'All - PetPoint'!$B:$Q,11,FALSE)</f>
        <v>Brown</v>
      </c>
      <c r="Y15" t="str">
        <f>VLOOKUP(D15,'All - PetPoint'!$B:$Q,14,FALSE)</f>
        <v>Foster home</v>
      </c>
      <c r="Z15" t="str">
        <f>VLOOKUP(D15,'AnimalInventory - PetPoint'!$D:$AK,9,FALSE)</f>
        <v>Stray/Police Pickup / Drop Off</v>
      </c>
      <c r="AA15" s="9">
        <f>VLOOKUP(D15,'AnimalInventory - PetPoint'!$D:$AK,19,FALSE)</f>
        <v>45829.554166666669</v>
      </c>
      <c r="AB15" s="9">
        <f>VLOOKUP(D15,'AnimalInventory - PetPoint'!$D:$AK,21,FALSE)</f>
        <v>45824.554166666669</v>
      </c>
      <c r="AC15">
        <f>VLOOKUP(D15,'AnimalInventory - PetPoint'!$D:$AK,22,FALSE)</f>
        <v>154.19999999999999</v>
      </c>
      <c r="AD15">
        <f>VLOOKUP(D15,'AnimalInventory - PetPoint'!$D:$AK,23,FALSE)</f>
        <v>0</v>
      </c>
      <c r="AE15" t="str">
        <f>VLOOKUP(D15,'AnimalInventory - PetPoint'!$D:$AK,25,FALSE)</f>
        <v>81.00 pound</v>
      </c>
      <c r="AF15">
        <f>VLOOKUP(D15,'AnimalInventory - PetPoint'!$D:$AK,28,FALSE)</f>
        <v>3</v>
      </c>
      <c r="AG15" t="str">
        <f>VLOOKUP(D15,'PreTreat DogTraffic'!$B:$I,2,FALSE)</f>
        <v>409</v>
      </c>
      <c r="AH15" t="str">
        <f>VLOOKUP(D15,'PreTreat DogTraffic'!$B:$I,3,FALSE)</f>
        <v>911</v>
      </c>
      <c r="AI15" t="str">
        <f>VLOOKUP(D15,'PreTreat DogTraffic'!$B:$I,4,FALSE)</f>
        <v>1,599</v>
      </c>
      <c r="AJ15" t="str">
        <f>VLOOKUP(D15,'PreTreat DogTraffic'!$B:$I,5,FALSE)</f>
        <v>25</v>
      </c>
      <c r="AK15" t="str">
        <f>VLOOKUP(D15,'PreTreat DogTraffic'!$B:$I,6,FALSE)</f>
        <v>36</v>
      </c>
      <c r="AL15" t="str">
        <f>VLOOKUP(D15,'PreTreat DogTraffic'!$B:$I,7,FALSE)</f>
        <v>191</v>
      </c>
      <c r="AM15" t="str">
        <f>VLOOKUP(D15,'PreTreat DogTraffic'!$B:$I,8,FALSE)</f>
        <v>6.1%</v>
      </c>
    </row>
    <row r="16" spans="1:39" x14ac:dyDescent="0.2">
      <c r="A16" t="str">
        <f>IF(D16="","",IFERROR(VLOOKUP(D16,REMOVED!$A:$D,3,FALSE),IFERROR(VLOOKUP(D16,OUTCOME!$A:$C,3,FALSE),"Yes")))</f>
        <v>Yes</v>
      </c>
      <c r="B16" t="str">
        <f>VLOOKUP(D16,'Experiment Tracker'!$B:$C,2,FALSE)</f>
        <v>Cole [Foster Home]</v>
      </c>
      <c r="C16">
        <v>45190845</v>
      </c>
      <c r="D16" t="s">
        <v>178</v>
      </c>
      <c r="E16" t="str">
        <f>VLOOKUP(D16,'All - AdoptAPet'!$B:$AE,2,FALSE)</f>
        <v>Cole [Foster Home]</v>
      </c>
      <c r="F16" t="str">
        <f>VLOOKUP(D16,'All - PetPoint'!$B:$Q,7,FALSE)</f>
        <v>Cole (K. Vogel)</v>
      </c>
      <c r="G16" t="str">
        <f>VLOOKUP(D16,'AnimalInventory - PetPoint'!$D:$AK,2,FALSE)</f>
        <v>Cole (K. Vogel)</v>
      </c>
      <c r="H16" t="str">
        <f>VLOOKUP(D16,'All - AdoptAPet'!$B:$AE,7,FALSE)</f>
        <v>Labrador Retriever</v>
      </c>
      <c r="I16" t="str">
        <f>VLOOKUP(D16,'All - AdoptAPet'!$B:$AE,8,FALSE)</f>
        <v>Hound (Unknown Type)</v>
      </c>
      <c r="J16" t="str">
        <f>VLOOKUP(D16,'All - AdoptAPet'!$B:$AE,9,FALSE)</f>
        <v>Black</v>
      </c>
      <c r="K16" t="str">
        <f>VLOOKUP(D16,'All - AdoptAPet'!$B:$AE,10,FALSE)</f>
        <v>male</v>
      </c>
      <c r="L16" t="str">
        <f>VLOOKUP(D16,'All - AdoptAPet'!$B:$AE,11,FALSE)</f>
        <v>young</v>
      </c>
      <c r="M16" t="str">
        <f>VLOOKUP(D16,'All - AdoptAPet'!$B:$AE,12,FALSE)</f>
        <v>Med. 26-60 lbs (12-27 kg)</v>
      </c>
      <c r="N16" t="str">
        <f>VLOOKUP(D16,'All - AdoptAPet'!$B:$AE,14,FALSE)</f>
        <v>Yes</v>
      </c>
      <c r="O16" t="str">
        <f>VLOOKUP(D16,'All - AdoptAPet'!$B:$AE,15,FALSE)</f>
        <v>Yes</v>
      </c>
      <c r="P16" t="str">
        <f>VLOOKUP(D16,'All - AdoptAPet'!$B:$AE,16,FALSE)</f>
        <v>Yes</v>
      </c>
      <c r="Q16" t="str">
        <f>VLOOKUP(D16,'All - AdoptAPet'!$B:$AE,17,FALSE)</f>
        <v>No</v>
      </c>
      <c r="R16" t="str">
        <f>VLOOKUP(D16,'All - AdoptAPet'!$B:$AE,19,FALSE)</f>
        <v>No</v>
      </c>
      <c r="S16" t="str">
        <f>VLOOKUP(D16,'All - AdoptAPet'!$B:$AE,20,FALSE)</f>
        <v>Yes</v>
      </c>
      <c r="T16" t="str">
        <f>VLOOKUP(D16,'All - AdoptAPet'!$B:$AE,21,FALSE)</f>
        <v>Yes</v>
      </c>
      <c r="U16" t="str">
        <f>VLOOKUP(D16,'All - AdoptAPet'!$B:$AE,22,FALSE)</f>
        <v>Yes</v>
      </c>
      <c r="V16" t="str">
        <f>IF(VLOOKUP(D16,'All - AdoptAPet'!$B:$AE,23,FALSE)="","No", "Yes")</f>
        <v>Yes</v>
      </c>
      <c r="W16" t="str">
        <f>VLOOKUP(D16,'All - PetPoint'!$B:$Q,4,FALSE)</f>
        <v>Available</v>
      </c>
      <c r="X16" t="str">
        <f>VLOOKUP(D16,'All - PetPoint'!$B:$Q,11,FALSE)</f>
        <v>Black</v>
      </c>
      <c r="Y16" t="str">
        <f>VLOOKUP(D16,'All - PetPoint'!$B:$Q,14,FALSE)</f>
        <v>Foster home</v>
      </c>
      <c r="Z16" t="str">
        <f>VLOOKUP(D16,'AnimalInventory - PetPoint'!$D:$AK,9,FALSE)</f>
        <v>Stray/Public Drop Off</v>
      </c>
      <c r="AA16" s="9">
        <f>VLOOKUP(D16,'AnimalInventory - PetPoint'!$D:$AK,19,FALSE)</f>
        <v>45826.588194444441</v>
      </c>
      <c r="AB16" s="9">
        <f>VLOOKUP(D16,'AnimalInventory - PetPoint'!$D:$AK,21,FALSE)</f>
        <v>45821.588194444441</v>
      </c>
      <c r="AC16">
        <f>VLOOKUP(D16,'AnimalInventory - PetPoint'!$D:$AK,22,FALSE)</f>
        <v>157.19999999999999</v>
      </c>
      <c r="AD16">
        <f>VLOOKUP(D16,'AnimalInventory - PetPoint'!$D:$AK,23,FALSE)</f>
        <v>0</v>
      </c>
      <c r="AE16" t="str">
        <f>VLOOKUP(D16,'AnimalInventory - PetPoint'!$D:$AK,25,FALSE)</f>
        <v>39.10 pound</v>
      </c>
      <c r="AF16">
        <f>VLOOKUP(D16,'AnimalInventory - PetPoint'!$D:$AK,28,FALSE)</f>
        <v>3</v>
      </c>
      <c r="AG16" t="str">
        <f>VLOOKUP(D16,'PreTreat DogTraffic'!$B:$I,2,FALSE)</f>
        <v>336</v>
      </c>
      <c r="AH16" t="str">
        <f>VLOOKUP(D16,'PreTreat DogTraffic'!$B:$I,3,FALSE)</f>
        <v>905</v>
      </c>
      <c r="AI16" t="str">
        <f>VLOOKUP(D16,'PreTreat DogTraffic'!$B:$I,4,FALSE)</f>
        <v>2,002</v>
      </c>
      <c r="AJ16" t="str">
        <f>VLOOKUP(D16,'PreTreat DogTraffic'!$B:$I,5,FALSE)</f>
        <v>35</v>
      </c>
      <c r="AK16" t="str">
        <f>VLOOKUP(D16,'PreTreat DogTraffic'!$B:$I,6,FALSE)</f>
        <v>248</v>
      </c>
      <c r="AL16" t="str">
        <f>VLOOKUP(D16,'PreTreat DogTraffic'!$B:$I,7,FALSE)</f>
        <v>627</v>
      </c>
      <c r="AM16" t="str">
        <f>VLOOKUP(D16,'PreTreat DogTraffic'!$B:$I,8,FALSE)</f>
        <v>10.4%</v>
      </c>
    </row>
    <row r="17" spans="1:39" hidden="1" x14ac:dyDescent="0.2">
      <c r="A17" t="str">
        <f>IF(D17="","",IFERROR(VLOOKUP(D17,REMOVED!$A:$D,3,FALSE),IFERROR(VLOOKUP(D17,OUTCOME!$A:$C,3,FALSE),"Yes")))</f>
        <v>PreTreat - No</v>
      </c>
      <c r="B17" t="e">
        <f>VLOOKUP(D17,'Experiment Tracker'!$B:$C,2,FALSE)</f>
        <v>#N/A</v>
      </c>
      <c r="C17">
        <v>45190824</v>
      </c>
      <c r="D17" t="s">
        <v>185</v>
      </c>
      <c r="E17" t="str">
        <f>VLOOKUP(D17,'All - AdoptAPet'!$B:$AE,2,FALSE)</f>
        <v>Julian</v>
      </c>
      <c r="F17" t="str">
        <f>VLOOKUP(D17,'All - PetPoint'!$B:$Q,7,FALSE)</f>
        <v>Julian</v>
      </c>
      <c r="G17" t="str">
        <f>VLOOKUP(D17,'AnimalInventory - PetPoint'!$D:$AK,2,FALSE)</f>
        <v>Julian</v>
      </c>
      <c r="H17" t="str">
        <f>VLOOKUP(D17,'All - AdoptAPet'!$B:$AE,7,FALSE)</f>
        <v>Shepherd (Unknown Type)</v>
      </c>
      <c r="I17" t="str">
        <f>VLOOKUP(D17,'All - AdoptAPet'!$B:$AE,8,FALSE)</f>
        <v>Plott Hound</v>
      </c>
      <c r="J17" t="str">
        <f>VLOOKUP(D17,'All - AdoptAPet'!$B:$AE,9,FALSE)</f>
        <v>Brindle</v>
      </c>
      <c r="K17" t="str">
        <f>VLOOKUP(D17,'All - AdoptAPet'!$B:$AE,10,FALSE)</f>
        <v>male</v>
      </c>
      <c r="L17" t="str">
        <f>VLOOKUP(D17,'All - AdoptAPet'!$B:$AE,11,FALSE)</f>
        <v>adult</v>
      </c>
      <c r="M17" t="str">
        <f>VLOOKUP(D17,'All - AdoptAPet'!$B:$AE,12,FALSE)</f>
        <v>Med. 26-60 lbs (12-27 kg)</v>
      </c>
      <c r="N17" t="str">
        <f>VLOOKUP(D17,'All - AdoptAPet'!$B:$AE,14,FALSE)</f>
        <v>Yes</v>
      </c>
      <c r="O17" t="str">
        <f>VLOOKUP(D17,'All - AdoptAPet'!$B:$AE,15,FALSE)</f>
        <v>Yes</v>
      </c>
      <c r="P17" t="str">
        <f>VLOOKUP(D17,'All - AdoptAPet'!$B:$AE,16,FALSE)</f>
        <v>Yes</v>
      </c>
      <c r="Q17" t="str">
        <f>VLOOKUP(D17,'All - AdoptAPet'!$B:$AE,17,FALSE)</f>
        <v>No</v>
      </c>
      <c r="R17" t="str">
        <f>VLOOKUP(D17,'All - AdoptAPet'!$B:$AE,19,FALSE)</f>
        <v>No</v>
      </c>
      <c r="S17" t="str">
        <f>VLOOKUP(D17,'All - AdoptAPet'!$B:$AE,20,FALSE)</f>
        <v>Yes</v>
      </c>
      <c r="T17" t="str">
        <f>VLOOKUP(D17,'All - AdoptAPet'!$B:$AE,21,FALSE)</f>
        <v>Yes</v>
      </c>
      <c r="U17" t="str">
        <f>VLOOKUP(D17,'All - AdoptAPet'!$B:$AE,22,FALSE)</f>
        <v>Yes</v>
      </c>
      <c r="V17" t="str">
        <f>IF(VLOOKUP(D17,'All - AdoptAPet'!$B:$AE,23,FALSE)="","No", "Yes")</f>
        <v>Yes</v>
      </c>
      <c r="W17" t="str">
        <f>VLOOKUP(D17,'All - PetPoint'!$B:$Q,4,FALSE)</f>
        <v>Available</v>
      </c>
      <c r="X17" t="str">
        <f>VLOOKUP(D17,'All - PetPoint'!$B:$Q,11,FALSE)</f>
        <v>Black</v>
      </c>
      <c r="Y17" t="str">
        <f>VLOOKUP(D17,'All - PetPoint'!$B:$Q,14,FALSE)</f>
        <v>Adoption Kennels</v>
      </c>
      <c r="Z17" t="str">
        <f>VLOOKUP(D17,'AnimalInventory - PetPoint'!$D:$AK,9,FALSE)</f>
        <v>Stray/ACO Pickup / Drop Off</v>
      </c>
      <c r="AA17" s="9">
        <f>VLOOKUP(D17,'AnimalInventory - PetPoint'!$D:$AK,19,FALSE)</f>
        <v>45824.569444444445</v>
      </c>
      <c r="AB17" s="9">
        <f>VLOOKUP(D17,'AnimalInventory - PetPoint'!$D:$AK,21,FALSE)</f>
        <v>45819.569444444445</v>
      </c>
      <c r="AC17">
        <f>VLOOKUP(D17,'AnimalInventory - PetPoint'!$D:$AK,22,FALSE)</f>
        <v>159.19999999999999</v>
      </c>
      <c r="AD17">
        <f>VLOOKUP(D17,'AnimalInventory - PetPoint'!$D:$AK,23,FALSE)</f>
        <v>0</v>
      </c>
      <c r="AE17" t="str">
        <f>VLOOKUP(D17,'AnimalInventory - PetPoint'!$D:$AK,25,FALSE)</f>
        <v>61.00 pound</v>
      </c>
      <c r="AF17">
        <f>VLOOKUP(D17,'AnimalInventory - PetPoint'!$D:$AK,28,FALSE)</f>
        <v>3</v>
      </c>
      <c r="AG17" t="str">
        <f>VLOOKUP(D17,'PreTreat DogTraffic'!$B:$I,2,FALSE)</f>
        <v>236</v>
      </c>
      <c r="AH17" t="str">
        <f>VLOOKUP(D17,'PreTreat DogTraffic'!$B:$I,3,FALSE)</f>
        <v>593</v>
      </c>
      <c r="AI17" t="str">
        <f>VLOOKUP(D17,'PreTreat DogTraffic'!$B:$I,4,FALSE)</f>
        <v>1,235</v>
      </c>
      <c r="AJ17" t="str">
        <f>VLOOKUP(D17,'PreTreat DogTraffic'!$B:$I,5,FALSE)</f>
        <v>9</v>
      </c>
      <c r="AK17" t="str">
        <f>VLOOKUP(D17,'PreTreat DogTraffic'!$B:$I,6,FALSE)</f>
        <v>38</v>
      </c>
      <c r="AL17" t="str">
        <f>VLOOKUP(D17,'PreTreat DogTraffic'!$B:$I,7,FALSE)</f>
        <v>153</v>
      </c>
      <c r="AM17" t="str">
        <f>VLOOKUP(D17,'PreTreat DogTraffic'!$B:$I,8,FALSE)</f>
        <v>3.8%</v>
      </c>
    </row>
    <row r="18" spans="1:39" x14ac:dyDescent="0.2">
      <c r="A18" t="str">
        <f>IF(D18="","",IFERROR(VLOOKUP(D18,REMOVED!$A:$D,3,FALSE),IFERROR(VLOOKUP(D18,OUTCOME!$A:$C,3,FALSE),"Yes")))</f>
        <v>Yes</v>
      </c>
      <c r="B18" t="str">
        <f>VLOOKUP(D18,'Experiment Tracker'!$B:$C,2,FALSE)</f>
        <v>Kim</v>
      </c>
      <c r="C18">
        <v>45190901</v>
      </c>
      <c r="D18" t="s">
        <v>192</v>
      </c>
      <c r="E18" t="str">
        <f>VLOOKUP(D18,'All - AdoptAPet'!$B:$AE,2,FALSE)</f>
        <v>Kim</v>
      </c>
      <c r="F18" t="str">
        <f>VLOOKUP(D18,'All - PetPoint'!$B:$Q,7,FALSE)</f>
        <v>Kim</v>
      </c>
      <c r="G18" t="str">
        <f>VLOOKUP(D18,'AnimalInventory - PetPoint'!$D:$AK,2,FALSE)</f>
        <v>Kim</v>
      </c>
      <c r="H18" t="str">
        <f>VLOOKUP(D18,'All - AdoptAPet'!$B:$AE,7,FALSE)</f>
        <v>Labrador Retriever</v>
      </c>
      <c r="I18" t="str">
        <f>VLOOKUP(D18,'All - AdoptAPet'!$B:$AE,8,FALSE)</f>
        <v>American Pit Bull Terrier</v>
      </c>
      <c r="J18" t="str">
        <f>VLOOKUP(D18,'All - AdoptAPet'!$B:$AE,9,FALSE)</f>
        <v>Black</v>
      </c>
      <c r="K18" t="str">
        <f>VLOOKUP(D18,'All - AdoptAPet'!$B:$AE,10,FALSE)</f>
        <v>female</v>
      </c>
      <c r="L18" t="str">
        <f>VLOOKUP(D18,'All - AdoptAPet'!$B:$AE,11,FALSE)</f>
        <v>adult</v>
      </c>
      <c r="M18" t="str">
        <f>VLOOKUP(D18,'All - AdoptAPet'!$B:$AE,12,FALSE)</f>
        <v>Med. 26-60 lbs (12-27 kg)</v>
      </c>
      <c r="N18" t="str">
        <f>VLOOKUP(D18,'All - AdoptAPet'!$B:$AE,14,FALSE)</f>
        <v>Yes</v>
      </c>
      <c r="O18" t="str">
        <f>VLOOKUP(D18,'All - AdoptAPet'!$B:$AE,15,FALSE)</f>
        <v>Yes</v>
      </c>
      <c r="P18" t="str">
        <f>VLOOKUP(D18,'All - AdoptAPet'!$B:$AE,16,FALSE)</f>
        <v>Yes</v>
      </c>
      <c r="Q18" t="str">
        <f>VLOOKUP(D18,'All - AdoptAPet'!$B:$AE,17,FALSE)</f>
        <v>No</v>
      </c>
      <c r="R18" t="str">
        <f>VLOOKUP(D18,'All - AdoptAPet'!$B:$AE,19,FALSE)</f>
        <v>No</v>
      </c>
      <c r="S18" t="str">
        <f>VLOOKUP(D18,'All - AdoptAPet'!$B:$AE,20,FALSE)</f>
        <v>Yes</v>
      </c>
      <c r="T18" t="str">
        <f>VLOOKUP(D18,'All - AdoptAPet'!$B:$AE,21,FALSE)</f>
        <v>Yes</v>
      </c>
      <c r="U18" t="str">
        <f>VLOOKUP(D18,'All - AdoptAPet'!$B:$AE,22,FALSE)</f>
        <v>Unknown</v>
      </c>
      <c r="V18" t="str">
        <f>IF(VLOOKUP(D18,'All - AdoptAPet'!$B:$AE,23,FALSE)="","No", "Yes")</f>
        <v>Yes</v>
      </c>
      <c r="W18" t="str">
        <f>VLOOKUP(D18,'All - PetPoint'!$B:$Q,4,FALSE)</f>
        <v>Available</v>
      </c>
      <c r="X18" t="str">
        <f>VLOOKUP(D18,'All - PetPoint'!$B:$Q,11,FALSE)</f>
        <v>Black</v>
      </c>
      <c r="Y18" t="str">
        <f>VLOOKUP(D18,'All - PetPoint'!$B:$Q,14,FALSE)</f>
        <v>Adoption Kennels</v>
      </c>
      <c r="Z18" t="str">
        <f>VLOOKUP(D18,'AnimalInventory - PetPoint'!$D:$AK,9,FALSE)</f>
        <v>Stray/Abandoned</v>
      </c>
      <c r="AA18" s="9">
        <f>VLOOKUP(D18,'AnimalInventory - PetPoint'!$D:$AK,19,FALSE)</f>
        <v>45830.703472222223</v>
      </c>
      <c r="AB18" s="9">
        <f>VLOOKUP(D18,'AnimalInventory - PetPoint'!$D:$AK,21,FALSE)</f>
        <v>45825.703472222223</v>
      </c>
      <c r="AC18">
        <f>VLOOKUP(D18,'AnimalInventory - PetPoint'!$D:$AK,22,FALSE)</f>
        <v>153.1</v>
      </c>
      <c r="AD18">
        <f>VLOOKUP(D18,'AnimalInventory - PetPoint'!$D:$AK,23,FALSE)</f>
        <v>0</v>
      </c>
      <c r="AE18" t="str">
        <f>VLOOKUP(D18,'AnimalInventory - PetPoint'!$D:$AK,25,FALSE)</f>
        <v>48.00 pound</v>
      </c>
      <c r="AF18">
        <f>VLOOKUP(D18,'AnimalInventory - PetPoint'!$D:$AK,28,FALSE)</f>
        <v>3</v>
      </c>
      <c r="AG18" t="str">
        <f>VLOOKUP(D18,'PreTreat DogTraffic'!$B:$I,2,FALSE)</f>
        <v>413</v>
      </c>
      <c r="AH18" t="str">
        <f>VLOOKUP(D18,'PreTreat DogTraffic'!$B:$I,3,FALSE)</f>
        <v>956</v>
      </c>
      <c r="AI18" t="str">
        <f>VLOOKUP(D18,'PreTreat DogTraffic'!$B:$I,4,FALSE)</f>
        <v>1,749</v>
      </c>
      <c r="AJ18" t="str">
        <f>VLOOKUP(D18,'PreTreat DogTraffic'!$B:$I,5,FALSE)</f>
        <v>4</v>
      </c>
      <c r="AK18" t="str">
        <f>VLOOKUP(D18,'PreTreat DogTraffic'!$B:$I,6,FALSE)</f>
        <v>23</v>
      </c>
      <c r="AL18" t="str">
        <f>VLOOKUP(D18,'PreTreat DogTraffic'!$B:$I,7,FALSE)</f>
        <v>118</v>
      </c>
      <c r="AM18" t="str">
        <f>VLOOKUP(D18,'PreTreat DogTraffic'!$B:$I,8,FALSE)</f>
        <v>1.0%</v>
      </c>
    </row>
    <row r="19" spans="1:39" hidden="1" x14ac:dyDescent="0.2">
      <c r="A19" t="str">
        <f>IF(D19="","",IFERROR(VLOOKUP(D19,REMOVED!$A:$D,3,FALSE),IFERROR(VLOOKUP(D19,OUTCOME!$A:$C,3,FALSE),"Yes")))</f>
        <v>PreTreat - No</v>
      </c>
      <c r="B19" t="e">
        <f>VLOOKUP(D19,'Experiment Tracker'!$B:$C,2,FALSE)</f>
        <v>#N/A</v>
      </c>
      <c r="C19">
        <v>45204856</v>
      </c>
      <c r="D19" t="s">
        <v>201</v>
      </c>
      <c r="E19" t="str">
        <f>VLOOKUP(D19,'All - AdoptAPet'!$B:$AE,2,FALSE)</f>
        <v>Odin [Foster Home]</v>
      </c>
      <c r="F19" t="str">
        <f>VLOOKUP(D19,'All - PetPoint'!$B:$Q,7,FALSE)</f>
        <v>Odin (C. Bucknam)</v>
      </c>
      <c r="G19" t="str">
        <f>VLOOKUP(D19,'AnimalInventory - PetPoint'!$D:$AK,2,FALSE)</f>
        <v>Odin (C. Bucknam)</v>
      </c>
      <c r="H19" t="str">
        <f>VLOOKUP(D19,'All - AdoptAPet'!$B:$AE,7,FALSE)</f>
        <v>Hound (Unknown Type)</v>
      </c>
      <c r="I19">
        <f>VLOOKUP(D19,'All - AdoptAPet'!$B:$AE,8,FALSE)</f>
        <v>0</v>
      </c>
      <c r="J19" t="str">
        <f>VLOOKUP(D19,'All - AdoptAPet'!$B:$AE,9,FALSE)</f>
        <v>Black - with Tan, Yellow or Fawn</v>
      </c>
      <c r="K19" t="str">
        <f>VLOOKUP(D19,'All - AdoptAPet'!$B:$AE,10,FALSE)</f>
        <v>male</v>
      </c>
      <c r="L19" t="str">
        <f>VLOOKUP(D19,'All - AdoptAPet'!$B:$AE,11,FALSE)</f>
        <v>adult</v>
      </c>
      <c r="M19" t="str">
        <f>VLOOKUP(D19,'All - AdoptAPet'!$B:$AE,12,FALSE)</f>
        <v>Med. 26-60 lbs (12-27 kg)</v>
      </c>
      <c r="N19" t="str">
        <f>VLOOKUP(D19,'All - AdoptAPet'!$B:$AE,14,FALSE)</f>
        <v>Yes</v>
      </c>
      <c r="O19" t="str">
        <f>VLOOKUP(D19,'All - AdoptAPet'!$B:$AE,15,FALSE)</f>
        <v>Yes</v>
      </c>
      <c r="P19" t="str">
        <f>VLOOKUP(D19,'All - AdoptAPet'!$B:$AE,16,FALSE)</f>
        <v>Yes</v>
      </c>
      <c r="Q19" t="str">
        <f>VLOOKUP(D19,'All - AdoptAPet'!$B:$AE,17,FALSE)</f>
        <v>Yes</v>
      </c>
      <c r="R19" t="str">
        <f>VLOOKUP(D19,'All - AdoptAPet'!$B:$AE,19,FALSE)</f>
        <v>No</v>
      </c>
      <c r="S19" t="str">
        <f>VLOOKUP(D19,'All - AdoptAPet'!$B:$AE,20,FALSE)</f>
        <v>Yes</v>
      </c>
      <c r="T19" t="str">
        <f>VLOOKUP(D19,'All - AdoptAPet'!$B:$AE,21,FALSE)</f>
        <v>Yes</v>
      </c>
      <c r="U19" t="str">
        <f>VLOOKUP(D19,'All - AdoptAPet'!$B:$AE,22,FALSE)</f>
        <v>Unknown</v>
      </c>
      <c r="V19" t="str">
        <f>IF(VLOOKUP(D19,'All - AdoptAPet'!$B:$AE,23,FALSE)="","No", "Yes")</f>
        <v>Yes</v>
      </c>
      <c r="W19" t="str">
        <f>VLOOKUP(D19,'All - PetPoint'!$B:$Q,4,FALSE)</f>
        <v>Available</v>
      </c>
      <c r="X19" t="str">
        <f>VLOOKUP(D19,'All - PetPoint'!$B:$Q,11,FALSE)</f>
        <v>Tan</v>
      </c>
      <c r="Y19" t="str">
        <f>VLOOKUP(D19,'All - PetPoint'!$B:$Q,14,FALSE)</f>
        <v>Foster home</v>
      </c>
      <c r="Z19" t="str">
        <f>VLOOKUP(D19,'AnimalInventory - PetPoint'!$D:$AK,9,FALSE)</f>
        <v>Stray/ACO Pickup / Drop Off</v>
      </c>
      <c r="AA19" s="9">
        <f>VLOOKUP(D19,'AnimalInventory - PetPoint'!$D:$AK,19,FALSE)</f>
        <v>45762.424305555556</v>
      </c>
      <c r="AB19" s="9">
        <f>VLOOKUP(D19,'AnimalInventory - PetPoint'!$D:$AK,21,FALSE)</f>
        <v>45757.424305555556</v>
      </c>
      <c r="AC19">
        <f>VLOOKUP(D19,'AnimalInventory - PetPoint'!$D:$AK,22,FALSE)</f>
        <v>221.3</v>
      </c>
      <c r="AD19">
        <f>VLOOKUP(D19,'AnimalInventory - PetPoint'!$D:$AK,23,FALSE)</f>
        <v>0</v>
      </c>
      <c r="AE19" t="str">
        <f>VLOOKUP(D19,'AnimalInventory - PetPoint'!$D:$AK,25,FALSE)</f>
        <v>58.00 pound</v>
      </c>
      <c r="AF19">
        <f>VLOOKUP(D19,'AnimalInventory - PetPoint'!$D:$AK,28,FALSE)</f>
        <v>2</v>
      </c>
      <c r="AG19" t="str">
        <f>VLOOKUP(D19,'PreTreat DogTraffic'!$B:$I,2,FALSE)</f>
        <v>232</v>
      </c>
      <c r="AH19" t="str">
        <f>VLOOKUP(D19,'PreTreat DogTraffic'!$B:$I,3,FALSE)</f>
        <v>544</v>
      </c>
      <c r="AI19" t="str">
        <f>VLOOKUP(D19,'PreTreat DogTraffic'!$B:$I,4,FALSE)</f>
        <v>1,163</v>
      </c>
      <c r="AJ19" t="str">
        <f>VLOOKUP(D19,'PreTreat DogTraffic'!$B:$I,5,FALSE)</f>
        <v>8</v>
      </c>
      <c r="AK19" t="str">
        <f>VLOOKUP(D19,'PreTreat DogTraffic'!$B:$I,6,FALSE)</f>
        <v>36</v>
      </c>
      <c r="AL19" t="str">
        <f>VLOOKUP(D19,'PreTreat DogTraffic'!$B:$I,7,FALSE)</f>
        <v>212</v>
      </c>
      <c r="AM19" t="str">
        <f>VLOOKUP(D19,'PreTreat DogTraffic'!$B:$I,8,FALSE)</f>
        <v>3.4%</v>
      </c>
    </row>
    <row r="20" spans="1:39" hidden="1" x14ac:dyDescent="0.2">
      <c r="A20" t="str">
        <f>IF(D20="","",IFERROR(VLOOKUP(D20,REMOVED!$A:$D,3,FALSE),IFERROR(VLOOKUP(D20,OUTCOME!$A:$C,3,FALSE),"Yes")))</f>
        <v>PreTreat - No</v>
      </c>
      <c r="B20" t="e">
        <f>VLOOKUP(D20,'Experiment Tracker'!$B:$C,2,FALSE)</f>
        <v>#N/A</v>
      </c>
      <c r="C20">
        <v>45345832</v>
      </c>
      <c r="D20" t="s">
        <v>213</v>
      </c>
      <c r="E20" t="str">
        <f>VLOOKUP(D20,'All - AdoptAPet'!$B:$AE,2,FALSE)</f>
        <v>Brownie [Foster Home]</v>
      </c>
      <c r="F20" t="str">
        <f>VLOOKUP(D20,'All - PetPoint'!$B:$Q,7,FALSE)</f>
        <v>Brownie (K. Maurer)</v>
      </c>
      <c r="G20" t="str">
        <f>VLOOKUP(D20,'AnimalInventory - PetPoint'!$D:$AK,2,FALSE)</f>
        <v>Brownie (K. Maurer)</v>
      </c>
      <c r="H20" t="str">
        <f>VLOOKUP(D20,'All - AdoptAPet'!$B:$AE,7,FALSE)</f>
        <v>American Pit Bull Terrier</v>
      </c>
      <c r="I20" t="str">
        <f>VLOOKUP(D20,'All - AdoptAPet'!$B:$AE,8,FALSE)</f>
        <v>Labrador Retriever</v>
      </c>
      <c r="J20" t="str">
        <f>VLOOKUP(D20,'All - AdoptAPet'!$B:$AE,9,FALSE)</f>
        <v>Brown/Chocolate - with White</v>
      </c>
      <c r="K20" t="str">
        <f>VLOOKUP(D20,'All - AdoptAPet'!$B:$AE,10,FALSE)</f>
        <v>female</v>
      </c>
      <c r="L20" t="str">
        <f>VLOOKUP(D20,'All - AdoptAPet'!$B:$AE,11,FALSE)</f>
        <v>young</v>
      </c>
      <c r="M20" t="str">
        <f>VLOOKUP(D20,'All - AdoptAPet'!$B:$AE,12,FALSE)</f>
        <v>Med. 26-60 lbs (12-27 kg)</v>
      </c>
      <c r="N20" t="str">
        <f>VLOOKUP(D20,'All - AdoptAPet'!$B:$AE,14,FALSE)</f>
        <v>Yes</v>
      </c>
      <c r="O20" t="str">
        <f>VLOOKUP(D20,'All - AdoptAPet'!$B:$AE,15,FALSE)</f>
        <v>Yes</v>
      </c>
      <c r="P20" t="str">
        <f>VLOOKUP(D20,'All - AdoptAPet'!$B:$AE,16,FALSE)</f>
        <v>Yes</v>
      </c>
      <c r="Q20" t="str">
        <f>VLOOKUP(D20,'All - AdoptAPet'!$B:$AE,17,FALSE)</f>
        <v>No</v>
      </c>
      <c r="R20" t="str">
        <f>VLOOKUP(D20,'All - AdoptAPet'!$B:$AE,19,FALSE)</f>
        <v>No</v>
      </c>
      <c r="S20" t="str">
        <f>VLOOKUP(D20,'All - AdoptAPet'!$B:$AE,20,FALSE)</f>
        <v>Yes</v>
      </c>
      <c r="T20" t="str">
        <f>VLOOKUP(D20,'All - AdoptAPet'!$B:$AE,21,FALSE)</f>
        <v>Yes</v>
      </c>
      <c r="U20" t="str">
        <f>VLOOKUP(D20,'All - AdoptAPet'!$B:$AE,22,FALSE)</f>
        <v>Unknown</v>
      </c>
      <c r="V20" t="str">
        <f>IF(VLOOKUP(D20,'All - AdoptAPet'!$B:$AE,23,FALSE)="","No", "Yes")</f>
        <v>Yes</v>
      </c>
      <c r="W20" t="str">
        <f>VLOOKUP(D20,'All - PetPoint'!$B:$Q,4,FALSE)</f>
        <v>Available</v>
      </c>
      <c r="X20" t="str">
        <f>VLOOKUP(D20,'All - PetPoint'!$B:$Q,11,FALSE)</f>
        <v>Brown</v>
      </c>
      <c r="Y20" t="str">
        <f>VLOOKUP(D20,'All - PetPoint'!$B:$Q,14,FALSE)</f>
        <v>Foster home</v>
      </c>
      <c r="Z20" t="str">
        <f>VLOOKUP(D20,'AnimalInventory - PetPoint'!$D:$AK,9,FALSE)</f>
        <v>Stray/ACO Pickup / Drop Off</v>
      </c>
      <c r="AA20" s="9">
        <f>VLOOKUP(D20,'AnimalInventory - PetPoint'!$D:$AK,19,FALSE)</f>
        <v>45843.615277777775</v>
      </c>
      <c r="AB20" s="9">
        <f>VLOOKUP(D20,'AnimalInventory - PetPoint'!$D:$AK,21,FALSE)</f>
        <v>45838.615277777775</v>
      </c>
      <c r="AC20">
        <f>VLOOKUP(D20,'AnimalInventory - PetPoint'!$D:$AK,22,FALSE)</f>
        <v>140.19999999999999</v>
      </c>
      <c r="AD20">
        <f>VLOOKUP(D20,'AnimalInventory - PetPoint'!$D:$AK,23,FALSE)</f>
        <v>0</v>
      </c>
      <c r="AE20" t="str">
        <f>VLOOKUP(D20,'AnimalInventory - PetPoint'!$D:$AK,25,FALSE)</f>
        <v>23.00 pound</v>
      </c>
      <c r="AF20">
        <f>VLOOKUP(D20,'AnimalInventory - PetPoint'!$D:$AK,28,FALSE)</f>
        <v>3</v>
      </c>
      <c r="AG20" t="str">
        <f>VLOOKUP(D20,'PreTreat DogTraffic'!$B:$I,2,FALSE)</f>
        <v>333</v>
      </c>
      <c r="AH20" t="str">
        <f>VLOOKUP(D20,'PreTreat DogTraffic'!$B:$I,3,FALSE)</f>
        <v>863</v>
      </c>
      <c r="AI20" t="str">
        <f>VLOOKUP(D20,'PreTreat DogTraffic'!$B:$I,4,FALSE)</f>
        <v>1,596</v>
      </c>
      <c r="AJ20" t="str">
        <f>VLOOKUP(D20,'PreTreat DogTraffic'!$B:$I,5,FALSE)</f>
        <v>4</v>
      </c>
      <c r="AK20" t="str">
        <f>VLOOKUP(D20,'PreTreat DogTraffic'!$B:$I,6,FALSE)</f>
        <v>27</v>
      </c>
      <c r="AL20" t="str">
        <f>VLOOKUP(D20,'PreTreat DogTraffic'!$B:$I,7,FALSE)</f>
        <v>167</v>
      </c>
      <c r="AM20" t="str">
        <f>VLOOKUP(D20,'PreTreat DogTraffic'!$B:$I,8,FALSE)</f>
        <v>1.2%</v>
      </c>
    </row>
    <row r="21" spans="1:39" x14ac:dyDescent="0.2">
      <c r="A21" t="str">
        <f>IF(D21="","",IFERROR(VLOOKUP(D21,REMOVED!$A:$D,3,FALSE),IFERROR(VLOOKUP(D21,OUTCOME!$A:$C,3,FALSE),"Yes")))</f>
        <v>Yes</v>
      </c>
      <c r="B21" t="str">
        <f>VLOOKUP(D21,'Experiment Tracker'!$B:$C,2,FALSE)</f>
        <v>Tanya</v>
      </c>
      <c r="C21">
        <v>45346221</v>
      </c>
      <c r="D21" t="s">
        <v>228</v>
      </c>
      <c r="E21" t="str">
        <f>VLOOKUP(D21,'All - AdoptAPet'!$B:$AE,2,FALSE)</f>
        <v>Tanya</v>
      </c>
      <c r="F21" t="str">
        <f>VLOOKUP(D21,'All - PetPoint'!$B:$Q,7,FALSE)</f>
        <v>Tanya</v>
      </c>
      <c r="G21" t="str">
        <f>VLOOKUP(D21,'AnimalInventory - PetPoint'!$D:$AK,2,FALSE)</f>
        <v>Tanya</v>
      </c>
      <c r="H21" t="str">
        <f>VLOOKUP(D21,'All - AdoptAPet'!$B:$AE,7,FALSE)</f>
        <v>Shepherd (Unknown Type)</v>
      </c>
      <c r="I21" t="str">
        <f>VLOOKUP(D21,'All - AdoptAPet'!$B:$AE,8,FALSE)</f>
        <v>Labrador Retriever</v>
      </c>
      <c r="J21" t="str">
        <f>VLOOKUP(D21,'All - AdoptAPet'!$B:$AE,9,FALSE)</f>
        <v>Tan/Yellow/Fawn - with Black</v>
      </c>
      <c r="K21" t="str">
        <f>VLOOKUP(D21,'All - AdoptAPet'!$B:$AE,10,FALSE)</f>
        <v>female</v>
      </c>
      <c r="L21" t="str">
        <f>VLOOKUP(D21,'All - AdoptAPet'!$B:$AE,11,FALSE)</f>
        <v>senior</v>
      </c>
      <c r="M21" t="str">
        <f>VLOOKUP(D21,'All - AdoptAPet'!$B:$AE,12,FALSE)</f>
        <v>Med. 26-60 lbs (12-27 kg)</v>
      </c>
      <c r="N21" t="str">
        <f>VLOOKUP(D21,'All - AdoptAPet'!$B:$AE,14,FALSE)</f>
        <v>Yes</v>
      </c>
      <c r="O21" t="str">
        <f>VLOOKUP(D21,'All - AdoptAPet'!$B:$AE,15,FALSE)</f>
        <v>Yes</v>
      </c>
      <c r="P21" t="str">
        <f>VLOOKUP(D21,'All - AdoptAPet'!$B:$AE,16,FALSE)</f>
        <v>Yes</v>
      </c>
      <c r="Q21" t="str">
        <f>VLOOKUP(D21,'All - AdoptAPet'!$B:$AE,17,FALSE)</f>
        <v>No</v>
      </c>
      <c r="R21" t="str">
        <f>VLOOKUP(D21,'All - AdoptAPet'!$B:$AE,19,FALSE)</f>
        <v>No</v>
      </c>
      <c r="S21" t="str">
        <f>VLOOKUP(D21,'All - AdoptAPet'!$B:$AE,20,FALSE)</f>
        <v>Yes</v>
      </c>
      <c r="T21" t="str">
        <f>VLOOKUP(D21,'All - AdoptAPet'!$B:$AE,21,FALSE)</f>
        <v>Yes</v>
      </c>
      <c r="U21" t="str">
        <f>VLOOKUP(D21,'All - AdoptAPet'!$B:$AE,22,FALSE)</f>
        <v>Unknown</v>
      </c>
      <c r="V21" t="str">
        <f>IF(VLOOKUP(D21,'All - AdoptAPet'!$B:$AE,23,FALSE)="","No", "Yes")</f>
        <v>No</v>
      </c>
      <c r="W21" t="str">
        <f>VLOOKUP(D21,'All - PetPoint'!$B:$Q,4,FALSE)</f>
        <v>Available</v>
      </c>
      <c r="X21" t="str">
        <f>VLOOKUP(D21,'All - PetPoint'!$B:$Q,11,FALSE)</f>
        <v>Tan</v>
      </c>
      <c r="Y21" t="str">
        <f>VLOOKUP(D21,'All - PetPoint'!$B:$Q,14,FALSE)</f>
        <v>Adoption Kennels</v>
      </c>
      <c r="Z21" t="str">
        <f>VLOOKUP(D21,'AnimalInventory - PetPoint'!$D:$AK,9,FALSE)</f>
        <v>Seized/Cruelty</v>
      </c>
      <c r="AA21" s="9">
        <f>VLOOKUP(D21,'AnimalInventory - PetPoint'!$D:$AK,19,FALSE)</f>
        <v>0</v>
      </c>
      <c r="AB21" s="9">
        <f>VLOOKUP(D21,'AnimalInventory - PetPoint'!$D:$AK,21,FALSE)</f>
        <v>45830.552777777775</v>
      </c>
      <c r="AC21">
        <f>VLOOKUP(D21,'AnimalInventory - PetPoint'!$D:$AK,22,FALSE)</f>
        <v>148.19999999999999</v>
      </c>
      <c r="AD21">
        <f>VLOOKUP(D21,'AnimalInventory - PetPoint'!$D:$AK,23,FALSE)</f>
        <v>0</v>
      </c>
      <c r="AE21" t="str">
        <f>VLOOKUP(D21,'AnimalInventory - PetPoint'!$D:$AK,25,FALSE)</f>
        <v>66.00 pound</v>
      </c>
      <c r="AF21">
        <f>VLOOKUP(D21,'AnimalInventory - PetPoint'!$D:$AK,28,FALSE)</f>
        <v>3</v>
      </c>
      <c r="AG21" t="str">
        <f>VLOOKUP(D21,'PreTreat DogTraffic'!$B:$I,2,FALSE)</f>
        <v>305</v>
      </c>
      <c r="AH21" t="str">
        <f>VLOOKUP(D21,'PreTreat DogTraffic'!$B:$I,3,FALSE)</f>
        <v>708</v>
      </c>
      <c r="AI21" t="str">
        <f>VLOOKUP(D21,'PreTreat DogTraffic'!$B:$I,4,FALSE)</f>
        <v>1,142</v>
      </c>
      <c r="AJ21" t="str">
        <f>VLOOKUP(D21,'PreTreat DogTraffic'!$B:$I,5,FALSE)</f>
        <v>9</v>
      </c>
      <c r="AK21" t="str">
        <f>VLOOKUP(D21,'PreTreat DogTraffic'!$B:$I,6,FALSE)</f>
        <v>33</v>
      </c>
      <c r="AL21" t="str">
        <f>VLOOKUP(D21,'PreTreat DogTraffic'!$B:$I,7,FALSE)</f>
        <v>121</v>
      </c>
      <c r="AM21" t="str">
        <f>VLOOKUP(D21,'PreTreat DogTraffic'!$B:$I,8,FALSE)</f>
        <v>3.0%</v>
      </c>
    </row>
    <row r="22" spans="1:39" x14ac:dyDescent="0.2">
      <c r="A22" t="str">
        <f>IF(D22="","",IFERROR(VLOOKUP(D22,REMOVED!$A:$D,3,FALSE),IFERROR(VLOOKUP(D22,OUTCOME!$A:$C,3,FALSE),"Yes")))</f>
        <v>Yes</v>
      </c>
      <c r="B22" t="str">
        <f>VLOOKUP(D22,'Experiment Tracker'!$B:$C,2,FALSE)</f>
        <v>Gretchen</v>
      </c>
      <c r="C22">
        <v>45472786</v>
      </c>
      <c r="D22" t="s">
        <v>245</v>
      </c>
      <c r="E22" t="str">
        <f>VLOOKUP(D22,'All - AdoptAPet'!$B:$AE,2,FALSE)</f>
        <v>Gretchen</v>
      </c>
      <c r="F22" t="str">
        <f>VLOOKUP(D22,'All - PetPoint'!$B:$Q,7,FALSE)</f>
        <v>Gretchen</v>
      </c>
      <c r="G22" t="str">
        <f>VLOOKUP(D22,'AnimalInventory - PetPoint'!$D:$AK,2,FALSE)</f>
        <v>Gretchen</v>
      </c>
      <c r="H22" t="str">
        <f>VLOOKUP(D22,'All - AdoptAPet'!$B:$AE,7,FALSE)</f>
        <v>American Pit Bull Terrier</v>
      </c>
      <c r="I22" t="str">
        <f>VLOOKUP(D22,'All - AdoptAPet'!$B:$AE,8,FALSE)</f>
        <v>American Staffordshire Terrier</v>
      </c>
      <c r="J22" t="str">
        <f>VLOOKUP(D22,'All - AdoptAPet'!$B:$AE,9,FALSE)</f>
        <v>Gray/Blue/Silver/Salt &amp; Pepper</v>
      </c>
      <c r="K22" t="str">
        <f>VLOOKUP(D22,'All - AdoptAPet'!$B:$AE,10,FALSE)</f>
        <v>female</v>
      </c>
      <c r="L22" t="str">
        <f>VLOOKUP(D22,'All - AdoptAPet'!$B:$AE,11,FALSE)</f>
        <v>young</v>
      </c>
      <c r="M22" t="str">
        <f>VLOOKUP(D22,'All - AdoptAPet'!$B:$AE,12,FALSE)</f>
        <v>Med. 26-60 lbs (12-27 kg)</v>
      </c>
      <c r="N22" t="str">
        <f>VLOOKUP(D22,'All - AdoptAPet'!$B:$AE,14,FALSE)</f>
        <v>Yes</v>
      </c>
      <c r="O22" t="str">
        <f>VLOOKUP(D22,'All - AdoptAPet'!$B:$AE,15,FALSE)</f>
        <v>Yes</v>
      </c>
      <c r="P22" t="str">
        <f>VLOOKUP(D22,'All - AdoptAPet'!$B:$AE,16,FALSE)</f>
        <v>Yes</v>
      </c>
      <c r="Q22" t="str">
        <f>VLOOKUP(D22,'All - AdoptAPet'!$B:$AE,17,FALSE)</f>
        <v>No</v>
      </c>
      <c r="R22" t="str">
        <f>VLOOKUP(D22,'All - AdoptAPet'!$B:$AE,19,FALSE)</f>
        <v>No</v>
      </c>
      <c r="S22" t="str">
        <f>VLOOKUP(D22,'All - AdoptAPet'!$B:$AE,20,FALSE)</f>
        <v>Yes</v>
      </c>
      <c r="T22" t="str">
        <f>VLOOKUP(D22,'All - AdoptAPet'!$B:$AE,21,FALSE)</f>
        <v>Yes</v>
      </c>
      <c r="U22" t="str">
        <f>VLOOKUP(D22,'All - AdoptAPet'!$B:$AE,22,FALSE)</f>
        <v>Unknown</v>
      </c>
      <c r="V22" t="str">
        <f>IF(VLOOKUP(D22,'All - AdoptAPet'!$B:$AE,23,FALSE)="","No", "Yes")</f>
        <v>No</v>
      </c>
      <c r="W22" t="str">
        <f>VLOOKUP(D22,'All - PetPoint'!$B:$Q,4,FALSE)</f>
        <v>Available</v>
      </c>
      <c r="X22" t="str">
        <f>VLOOKUP(D22,'All - PetPoint'!$B:$Q,11,FALSE)</f>
        <v>Grey</v>
      </c>
      <c r="Y22" t="str">
        <f>VLOOKUP(D22,'All - PetPoint'!$B:$Q,14,FALSE)</f>
        <v>Holding Kennel</v>
      </c>
      <c r="Z22" t="str">
        <f>VLOOKUP(D22,'AnimalInventory - PetPoint'!$D:$AK,9,FALSE)</f>
        <v>Stray/Public Drop Off</v>
      </c>
      <c r="AA22" s="9">
        <f>VLOOKUP(D22,'AnimalInventory - PetPoint'!$D:$AK,19,FALSE)</f>
        <v>45852.512499999997</v>
      </c>
      <c r="AB22" s="9">
        <f>VLOOKUP(D22,'AnimalInventory - PetPoint'!$D:$AK,21,FALSE)</f>
        <v>45847.512499999997</v>
      </c>
      <c r="AC22">
        <f>VLOOKUP(D22,'AnimalInventory - PetPoint'!$D:$AK,22,FALSE)</f>
        <v>131.30000000000001</v>
      </c>
      <c r="AD22" t="str">
        <f>VLOOKUP(D22,'AnimalInventory - PetPoint'!$D:$AK,23,FALSE)</f>
        <v>Returned foster</v>
      </c>
      <c r="AE22" t="str">
        <f>VLOOKUP(D22,'AnimalInventory - PetPoint'!$D:$AK,25,FALSE)</f>
        <v>43.00 pound</v>
      </c>
      <c r="AF22">
        <f>VLOOKUP(D22,'AnimalInventory - PetPoint'!$D:$AK,28,FALSE)</f>
        <v>1</v>
      </c>
      <c r="AG22" t="str">
        <f>VLOOKUP(D22,'PreTreat DogTraffic'!$B:$I,2,FALSE)</f>
        <v>274</v>
      </c>
      <c r="AH22" t="str">
        <f>VLOOKUP(D22,'PreTreat DogTraffic'!$B:$I,3,FALSE)</f>
        <v>715</v>
      </c>
      <c r="AI22" t="str">
        <f>VLOOKUP(D22,'PreTreat DogTraffic'!$B:$I,4,FALSE)</f>
        <v>1,217</v>
      </c>
      <c r="AJ22" t="str">
        <f>VLOOKUP(D22,'PreTreat DogTraffic'!$B:$I,5,FALSE)</f>
        <v>3</v>
      </c>
      <c r="AK22" t="str">
        <f>VLOOKUP(D22,'PreTreat DogTraffic'!$B:$I,6,FALSE)</f>
        <v>27</v>
      </c>
      <c r="AL22" t="str">
        <f>VLOOKUP(D22,'PreTreat DogTraffic'!$B:$I,7,FALSE)</f>
        <v>134</v>
      </c>
      <c r="AM22" t="str">
        <f>VLOOKUP(D22,'PreTreat DogTraffic'!$B:$I,8,FALSE)</f>
        <v>1.1%</v>
      </c>
    </row>
    <row r="23" spans="1:39" x14ac:dyDescent="0.2">
      <c r="A23" t="str">
        <f>IF(D23="","",IFERROR(VLOOKUP(D23,REMOVED!$A:$D,3,FALSE),IFERROR(VLOOKUP(D23,OUTCOME!$A:$C,3,FALSE),"Yes")))</f>
        <v>Yes</v>
      </c>
      <c r="B23" t="str">
        <f>VLOOKUP(D23,'Experiment Tracker'!$B:$C,2,FALSE)</f>
        <v>Journey [Foster Home]</v>
      </c>
      <c r="C23">
        <v>45472762</v>
      </c>
      <c r="D23" t="s">
        <v>250</v>
      </c>
      <c r="E23" t="str">
        <f>VLOOKUP(D23,'All - AdoptAPet'!$B:$AE,2,FALSE)</f>
        <v>Journey [Foster Home]</v>
      </c>
      <c r="F23" t="str">
        <f>VLOOKUP(D23,'All - PetPoint'!$B:$Q,7,FALSE)</f>
        <v>Journey (S. Nutter)</v>
      </c>
      <c r="G23" t="str">
        <f>VLOOKUP(D23,'AnimalInventory - PetPoint'!$D:$AK,2,FALSE)</f>
        <v>Journey (S. Nutter)</v>
      </c>
      <c r="H23" t="str">
        <f>VLOOKUP(D23,'All - AdoptAPet'!$B:$AE,7,FALSE)</f>
        <v>Treeing Walker Coonhound</v>
      </c>
      <c r="I23" t="str">
        <f>VLOOKUP(D23,'All - AdoptAPet'!$B:$AE,8,FALSE)</f>
        <v>Foxhound</v>
      </c>
      <c r="J23" t="str">
        <f>VLOOKUP(D23,'All - AdoptAPet'!$B:$AE,9,FALSE)</f>
        <v>Tricolor (Tan/Brown &amp; Black &amp; White)</v>
      </c>
      <c r="K23" t="str">
        <f>VLOOKUP(D23,'All - AdoptAPet'!$B:$AE,10,FALSE)</f>
        <v>male</v>
      </c>
      <c r="L23" t="str">
        <f>VLOOKUP(D23,'All - AdoptAPet'!$B:$AE,11,FALSE)</f>
        <v>adult</v>
      </c>
      <c r="M23" t="str">
        <f>VLOOKUP(D23,'All - AdoptAPet'!$B:$AE,12,FALSE)</f>
        <v>Large 61-100 lbs (28-45 kg)</v>
      </c>
      <c r="N23" t="str">
        <f>VLOOKUP(D23,'All - AdoptAPet'!$B:$AE,14,FALSE)</f>
        <v>Yes</v>
      </c>
      <c r="O23" t="str">
        <f>VLOOKUP(D23,'All - AdoptAPet'!$B:$AE,15,FALSE)</f>
        <v>Yes</v>
      </c>
      <c r="P23" t="str">
        <f>VLOOKUP(D23,'All - AdoptAPet'!$B:$AE,16,FALSE)</f>
        <v>Yes</v>
      </c>
      <c r="Q23" t="str">
        <f>VLOOKUP(D23,'All - AdoptAPet'!$B:$AE,17,FALSE)</f>
        <v>No</v>
      </c>
      <c r="R23" t="str">
        <f>VLOOKUP(D23,'All - AdoptAPet'!$B:$AE,19,FALSE)</f>
        <v>No</v>
      </c>
      <c r="S23" t="str">
        <f>VLOOKUP(D23,'All - AdoptAPet'!$B:$AE,20,FALSE)</f>
        <v>Yes</v>
      </c>
      <c r="T23" t="str">
        <f>VLOOKUP(D23,'All - AdoptAPet'!$B:$AE,21,FALSE)</f>
        <v>Yes</v>
      </c>
      <c r="U23" t="str">
        <f>VLOOKUP(D23,'All - AdoptAPet'!$B:$AE,22,FALSE)</f>
        <v>Yes</v>
      </c>
      <c r="V23" t="str">
        <f>IF(VLOOKUP(D23,'All - AdoptAPet'!$B:$AE,23,FALSE)="","No", "Yes")</f>
        <v>No</v>
      </c>
      <c r="W23" t="str">
        <f>VLOOKUP(D23,'All - PetPoint'!$B:$Q,4,FALSE)</f>
        <v>Available</v>
      </c>
      <c r="X23" t="str">
        <f>VLOOKUP(D23,'All - PetPoint'!$B:$Q,11,FALSE)</f>
        <v>Black</v>
      </c>
      <c r="Y23" t="str">
        <f>VLOOKUP(D23,'All - PetPoint'!$B:$Q,14,FALSE)</f>
        <v>Foster home</v>
      </c>
      <c r="Z23" t="str">
        <f>VLOOKUP(D23,'AnimalInventory - PetPoint'!$D:$AK,9,FALSE)</f>
        <v>Stray/Public Drop Off</v>
      </c>
      <c r="AA23" s="9">
        <f>VLOOKUP(D23,'AnimalInventory - PetPoint'!$D:$AK,19,FALSE)</f>
        <v>45853.550694444442</v>
      </c>
      <c r="AB23" s="9">
        <f>VLOOKUP(D23,'AnimalInventory - PetPoint'!$D:$AK,21,FALSE)</f>
        <v>45848.550694444442</v>
      </c>
      <c r="AC23">
        <f>VLOOKUP(D23,'AnimalInventory - PetPoint'!$D:$AK,22,FALSE)</f>
        <v>130.19999999999999</v>
      </c>
      <c r="AD23">
        <f>VLOOKUP(D23,'AnimalInventory - PetPoint'!$D:$AK,23,FALSE)</f>
        <v>0</v>
      </c>
      <c r="AE23" t="str">
        <f>VLOOKUP(D23,'AnimalInventory - PetPoint'!$D:$AK,25,FALSE)</f>
        <v>75.60 pound</v>
      </c>
      <c r="AF23">
        <f>VLOOKUP(D23,'AnimalInventory - PetPoint'!$D:$AK,28,FALSE)</f>
        <v>1</v>
      </c>
      <c r="AG23" t="str">
        <f>VLOOKUP(D23,'PreTreat DogTraffic'!$B:$I,2,FALSE)</f>
        <v>394</v>
      </c>
      <c r="AH23" t="str">
        <f>VLOOKUP(D23,'PreTreat DogTraffic'!$B:$I,3,FALSE)</f>
        <v>844</v>
      </c>
      <c r="AI23" t="str">
        <f>VLOOKUP(D23,'PreTreat DogTraffic'!$B:$I,4,FALSE)</f>
        <v>1,228</v>
      </c>
      <c r="AJ23" t="str">
        <f>VLOOKUP(D23,'PreTreat DogTraffic'!$B:$I,5,FALSE)</f>
        <v>15</v>
      </c>
      <c r="AK23" t="str">
        <f>VLOOKUP(D23,'PreTreat DogTraffic'!$B:$I,6,FALSE)</f>
        <v>44</v>
      </c>
      <c r="AL23" t="str">
        <f>VLOOKUP(D23,'PreTreat DogTraffic'!$B:$I,7,FALSE)</f>
        <v>127</v>
      </c>
      <c r="AM23" t="str">
        <f>VLOOKUP(D23,'PreTreat DogTraffic'!$B:$I,8,FALSE)</f>
        <v>3.8%</v>
      </c>
    </row>
    <row r="24" spans="1:39" x14ac:dyDescent="0.2">
      <c r="A24" t="str">
        <f>IF(D24="","",IFERROR(VLOOKUP(D24,REMOVED!$A:$D,3,FALSE),IFERROR(VLOOKUP(D24,OUTCOME!$A:$C,3,FALSE),"Yes")))</f>
        <v>Yes</v>
      </c>
      <c r="B24" t="str">
        <f>VLOOKUP(D24,'Experiment Tracker'!$B:$C,2,FALSE)</f>
        <v>Kirby</v>
      </c>
      <c r="C24">
        <v>45472546</v>
      </c>
      <c r="D24" t="s">
        <v>258</v>
      </c>
      <c r="E24" t="str">
        <f>VLOOKUP(D24,'All - AdoptAPet'!$B:$AE,2,FALSE)</f>
        <v>Kirby</v>
      </c>
      <c r="F24" t="str">
        <f>VLOOKUP(D24,'All - PetPoint'!$B:$Q,7,FALSE)</f>
        <v>Kirby</v>
      </c>
      <c r="G24" t="str">
        <f>VLOOKUP(D24,'AnimalInventory - PetPoint'!$D:$AK,2,FALSE)</f>
        <v>Kirby</v>
      </c>
      <c r="H24" t="str">
        <f>VLOOKUP(D24,'All - AdoptAPet'!$B:$AE,7,FALSE)</f>
        <v>Rottweiler</v>
      </c>
      <c r="I24" t="str">
        <f>VLOOKUP(D24,'All - AdoptAPet'!$B:$AE,8,FALSE)</f>
        <v>Cane Corso</v>
      </c>
      <c r="J24" t="str">
        <f>VLOOKUP(D24,'All - AdoptAPet'!$B:$AE,9,FALSE)</f>
        <v>Gray/Silver/Salt &amp; Pepper - with White</v>
      </c>
      <c r="K24" t="str">
        <f>VLOOKUP(D24,'All - AdoptAPet'!$B:$AE,10,FALSE)</f>
        <v>male</v>
      </c>
      <c r="L24" t="str">
        <f>VLOOKUP(D24,'All - AdoptAPet'!$B:$AE,11,FALSE)</f>
        <v>adult</v>
      </c>
      <c r="M24" t="str">
        <f>VLOOKUP(D24,'All - AdoptAPet'!$B:$AE,12,FALSE)</f>
        <v>Large 61-100 lbs (28-45 kg)</v>
      </c>
      <c r="N24" t="str">
        <f>VLOOKUP(D24,'All - AdoptAPet'!$B:$AE,14,FALSE)</f>
        <v>Yes</v>
      </c>
      <c r="O24" t="str">
        <f>VLOOKUP(D24,'All - AdoptAPet'!$B:$AE,15,FALSE)</f>
        <v>Yes</v>
      </c>
      <c r="P24" t="str">
        <f>VLOOKUP(D24,'All - AdoptAPet'!$B:$AE,16,FALSE)</f>
        <v>Yes</v>
      </c>
      <c r="Q24" t="str">
        <f>VLOOKUP(D24,'All - AdoptAPet'!$B:$AE,17,FALSE)</f>
        <v>No</v>
      </c>
      <c r="R24" t="str">
        <f>VLOOKUP(D24,'All - AdoptAPet'!$B:$AE,19,FALSE)</f>
        <v>No</v>
      </c>
      <c r="S24" t="str">
        <f>VLOOKUP(D24,'All - AdoptAPet'!$B:$AE,20,FALSE)</f>
        <v>Yes</v>
      </c>
      <c r="T24" t="str">
        <f>VLOOKUP(D24,'All - AdoptAPet'!$B:$AE,21,FALSE)</f>
        <v>Yes</v>
      </c>
      <c r="U24" t="str">
        <f>VLOOKUP(D24,'All - AdoptAPet'!$B:$AE,22,FALSE)</f>
        <v>Unknown</v>
      </c>
      <c r="V24" t="str">
        <f>IF(VLOOKUP(D24,'All - AdoptAPet'!$B:$AE,23,FALSE)="","No", "Yes")</f>
        <v>Yes</v>
      </c>
      <c r="W24" t="str">
        <f>VLOOKUP(D24,'All - PetPoint'!$B:$Q,4,FALSE)</f>
        <v>Available</v>
      </c>
      <c r="X24" t="str">
        <f>VLOOKUP(D24,'All - PetPoint'!$B:$Q,11,FALSE)</f>
        <v>Grey</v>
      </c>
      <c r="Y24" t="str">
        <f>VLOOKUP(D24,'All - PetPoint'!$B:$Q,14,FALSE)</f>
        <v>Adoption Kennels</v>
      </c>
      <c r="Z24" t="str">
        <f>VLOOKUP(D24,'AnimalInventory - PetPoint'!$D:$AK,9,FALSE)</f>
        <v>Seized/Cruelty</v>
      </c>
      <c r="AA24" s="9">
        <f>VLOOKUP(D24,'AnimalInventory - PetPoint'!$D:$AK,19,FALSE)</f>
        <v>0</v>
      </c>
      <c r="AB24" s="9">
        <f>VLOOKUP(D24,'AnimalInventory - PetPoint'!$D:$AK,21,FALSE)</f>
        <v>45830.546527777777</v>
      </c>
      <c r="AC24">
        <f>VLOOKUP(D24,'AnimalInventory - PetPoint'!$D:$AK,22,FALSE)</f>
        <v>148.19999999999999</v>
      </c>
      <c r="AD24">
        <f>VLOOKUP(D24,'AnimalInventory - PetPoint'!$D:$AK,23,FALSE)</f>
        <v>0</v>
      </c>
      <c r="AE24" t="str">
        <f>VLOOKUP(D24,'AnimalInventory - PetPoint'!$D:$AK,25,FALSE)</f>
        <v>84.00 pound</v>
      </c>
      <c r="AF24">
        <f>VLOOKUP(D24,'AnimalInventory - PetPoint'!$D:$AK,28,FALSE)</f>
        <v>3</v>
      </c>
      <c r="AG24" t="str">
        <f>VLOOKUP(D24,'PreTreat DogTraffic'!$B:$I,2,FALSE)</f>
        <v>455</v>
      </c>
      <c r="AH24" t="str">
        <f>VLOOKUP(D24,'PreTreat DogTraffic'!$B:$I,3,FALSE)</f>
        <v>1,123</v>
      </c>
      <c r="AI24" t="str">
        <f>VLOOKUP(D24,'PreTreat DogTraffic'!$B:$I,4,FALSE)</f>
        <v>1,625</v>
      </c>
      <c r="AJ24" t="str">
        <f>VLOOKUP(D24,'PreTreat DogTraffic'!$B:$I,5,FALSE)</f>
        <v>23</v>
      </c>
      <c r="AK24" t="str">
        <f>VLOOKUP(D24,'PreTreat DogTraffic'!$B:$I,6,FALSE)</f>
        <v>63</v>
      </c>
      <c r="AL24" t="str">
        <f>VLOOKUP(D24,'PreTreat DogTraffic'!$B:$I,7,FALSE)</f>
        <v>166</v>
      </c>
      <c r="AM24" t="str">
        <f>VLOOKUP(D24,'PreTreat DogTraffic'!$B:$I,8,FALSE)</f>
        <v>5.1%</v>
      </c>
    </row>
    <row r="25" spans="1:39" x14ac:dyDescent="0.2">
      <c r="A25" t="str">
        <f>IF(D25="","",IFERROR(VLOOKUP(D25,REMOVED!$A:$D,3,FALSE),IFERROR(VLOOKUP(D25,OUTCOME!$A:$C,3,FALSE),"Yes")))</f>
        <v>Adopted</v>
      </c>
      <c r="B25" t="str">
        <f>VLOOKUP(D25,'Experiment Tracker'!$B:$C,2,FALSE)</f>
        <v>Landon</v>
      </c>
      <c r="C25">
        <v>45472971</v>
      </c>
      <c r="D25" t="s">
        <v>263</v>
      </c>
      <c r="E25" t="str">
        <f>VLOOKUP(D25,'All - AdoptAPet'!$B:$AE,2,FALSE)</f>
        <v>Landon</v>
      </c>
      <c r="F25" t="str">
        <f>VLOOKUP(D25,'All - PetPoint'!$B:$Q,7,FALSE)</f>
        <v>Landon</v>
      </c>
      <c r="G25" t="str">
        <f>VLOOKUP(D25,'AnimalInventory - PetPoint'!$D:$AK,2,FALSE)</f>
        <v>Landon</v>
      </c>
      <c r="H25" t="str">
        <f>VLOOKUP(D25,'All - AdoptAPet'!$B:$AE,7,FALSE)</f>
        <v>Boxer</v>
      </c>
      <c r="I25" t="str">
        <f>VLOOKUP(D25,'All - AdoptAPet'!$B:$AE,8,FALSE)</f>
        <v>American Pit Bull Terrier</v>
      </c>
      <c r="J25" t="str">
        <f>VLOOKUP(D25,'All - AdoptAPet'!$B:$AE,9,FALSE)</f>
        <v>Brown/Chocolate - with White</v>
      </c>
      <c r="K25" t="str">
        <f>VLOOKUP(D25,'All - AdoptAPet'!$B:$AE,10,FALSE)</f>
        <v>male</v>
      </c>
      <c r="L25" t="str">
        <f>VLOOKUP(D25,'All - AdoptAPet'!$B:$AE,11,FALSE)</f>
        <v>adult</v>
      </c>
      <c r="M25" t="str">
        <f>VLOOKUP(D25,'All - AdoptAPet'!$B:$AE,12,FALSE)</f>
        <v>Med. 26-60 lbs (12-27 kg)</v>
      </c>
      <c r="N25" t="str">
        <f>VLOOKUP(D25,'All - AdoptAPet'!$B:$AE,14,FALSE)</f>
        <v>Yes</v>
      </c>
      <c r="O25" t="str">
        <f>VLOOKUP(D25,'All - AdoptAPet'!$B:$AE,15,FALSE)</f>
        <v>Yes</v>
      </c>
      <c r="P25" t="str">
        <f>VLOOKUP(D25,'All - AdoptAPet'!$B:$AE,16,FALSE)</f>
        <v>Yes</v>
      </c>
      <c r="Q25" t="str">
        <f>VLOOKUP(D25,'All - AdoptAPet'!$B:$AE,17,FALSE)</f>
        <v>No</v>
      </c>
      <c r="R25" t="str">
        <f>VLOOKUP(D25,'All - AdoptAPet'!$B:$AE,19,FALSE)</f>
        <v>No</v>
      </c>
      <c r="S25" t="str">
        <f>VLOOKUP(D25,'All - AdoptAPet'!$B:$AE,20,FALSE)</f>
        <v>Yes</v>
      </c>
      <c r="T25" t="str">
        <f>VLOOKUP(D25,'All - AdoptAPet'!$B:$AE,21,FALSE)</f>
        <v>Yes</v>
      </c>
      <c r="U25" t="str">
        <f>VLOOKUP(D25,'All - AdoptAPet'!$B:$AE,22,FALSE)</f>
        <v>Unknown</v>
      </c>
      <c r="V25" t="str">
        <f>IF(VLOOKUP(D25,'All - AdoptAPet'!$B:$AE,23,FALSE)="","No", "Yes")</f>
        <v>No</v>
      </c>
      <c r="W25" t="str">
        <f>VLOOKUP(D25,'All - PetPoint'!$B:$Q,4,FALSE)</f>
        <v>Available</v>
      </c>
      <c r="X25" t="str">
        <f>VLOOKUP(D25,'All - PetPoint'!$B:$Q,11,FALSE)</f>
        <v>Bronze</v>
      </c>
      <c r="Y25" t="str">
        <f>VLOOKUP(D25,'All - PetPoint'!$B:$Q,14,FALSE)</f>
        <v>Holding Kennel</v>
      </c>
      <c r="Z25" t="str">
        <f>VLOOKUP(D25,'AnimalInventory - PetPoint'!$D:$AK,9,FALSE)</f>
        <v>Stray/ACO Pickup / Drop Off</v>
      </c>
      <c r="AA25" s="9">
        <f>VLOOKUP(D25,'AnimalInventory - PetPoint'!$D:$AK,19,FALSE)</f>
        <v>45859.652083333334</v>
      </c>
      <c r="AB25" s="9">
        <f>VLOOKUP(D25,'AnimalInventory - PetPoint'!$D:$AK,21,FALSE)</f>
        <v>45854.652083333334</v>
      </c>
      <c r="AC25">
        <f>VLOOKUP(D25,'AnimalInventory - PetPoint'!$D:$AK,22,FALSE)</f>
        <v>124.1</v>
      </c>
      <c r="AD25">
        <f>VLOOKUP(D25,'AnimalInventory - PetPoint'!$D:$AK,23,FALSE)</f>
        <v>0</v>
      </c>
      <c r="AE25" t="str">
        <f>VLOOKUP(D25,'AnimalInventory - PetPoint'!$D:$AK,25,FALSE)</f>
        <v>58.00 pound</v>
      </c>
      <c r="AF25">
        <f>VLOOKUP(D25,'AnimalInventory - PetPoint'!$D:$AK,28,FALSE)</f>
        <v>3</v>
      </c>
      <c r="AG25" t="str">
        <f>VLOOKUP(D25,'PreTreat DogTraffic'!$B:$I,2,FALSE)</f>
        <v>270</v>
      </c>
      <c r="AH25" t="str">
        <f>VLOOKUP(D25,'PreTreat DogTraffic'!$B:$I,3,FALSE)</f>
        <v>667</v>
      </c>
      <c r="AI25" t="str">
        <f>VLOOKUP(D25,'PreTreat DogTraffic'!$B:$I,4,FALSE)</f>
        <v>1,085</v>
      </c>
      <c r="AJ25" t="str">
        <f>VLOOKUP(D25,'PreTreat DogTraffic'!$B:$I,5,FALSE)</f>
        <v>9</v>
      </c>
      <c r="AK25" t="str">
        <f>VLOOKUP(D25,'PreTreat DogTraffic'!$B:$I,6,FALSE)</f>
        <v>51</v>
      </c>
      <c r="AL25" t="str">
        <f>VLOOKUP(D25,'PreTreat DogTraffic'!$B:$I,7,FALSE)</f>
        <v>151</v>
      </c>
      <c r="AM25" t="str">
        <f>VLOOKUP(D25,'PreTreat DogTraffic'!$B:$I,8,FALSE)</f>
        <v>3.3%</v>
      </c>
    </row>
    <row r="26" spans="1:39" x14ac:dyDescent="0.2">
      <c r="A26" t="str">
        <f>IF(D26="","",IFERROR(VLOOKUP(D26,REMOVED!$A:$D,3,FALSE),IFERROR(VLOOKUP(D26,OUTCOME!$A:$C,3,FALSE),"Yes")))</f>
        <v>Yes</v>
      </c>
      <c r="B26" t="str">
        <f>VLOOKUP(D26,'Experiment Tracker'!$B:$C,2,FALSE)</f>
        <v>Twister</v>
      </c>
      <c r="C26">
        <v>45472654</v>
      </c>
      <c r="D26" t="s">
        <v>272</v>
      </c>
      <c r="E26" t="str">
        <f>VLOOKUP(D26,'All - AdoptAPet'!$B:$AE,2,FALSE)</f>
        <v>Twister</v>
      </c>
      <c r="F26" t="str">
        <f>VLOOKUP(D26,'All - PetPoint'!$B:$Q,7,FALSE)</f>
        <v>Twister</v>
      </c>
      <c r="G26" t="str">
        <f>VLOOKUP(D26,'AnimalInventory - PetPoint'!$D:$AK,2,FALSE)</f>
        <v>Twister</v>
      </c>
      <c r="H26" t="str">
        <f>VLOOKUP(D26,'All - AdoptAPet'!$B:$AE,7,FALSE)</f>
        <v>Labrador Retriever</v>
      </c>
      <c r="I26">
        <f>VLOOKUP(D26,'All - AdoptAPet'!$B:$AE,8,FALSE)</f>
        <v>0</v>
      </c>
      <c r="J26" t="str">
        <f>VLOOKUP(D26,'All - AdoptAPet'!$B:$AE,9,FALSE)</f>
        <v>Black</v>
      </c>
      <c r="K26" t="str">
        <f>VLOOKUP(D26,'All - AdoptAPet'!$B:$AE,10,FALSE)</f>
        <v>male</v>
      </c>
      <c r="L26" t="str">
        <f>VLOOKUP(D26,'All - AdoptAPet'!$B:$AE,11,FALSE)</f>
        <v>adult</v>
      </c>
      <c r="M26" t="str">
        <f>VLOOKUP(D26,'All - AdoptAPet'!$B:$AE,12,FALSE)</f>
        <v>Large 61-100 lbs (28-45 kg)</v>
      </c>
      <c r="N26" t="str">
        <f>VLOOKUP(D26,'All - AdoptAPet'!$B:$AE,14,FALSE)</f>
        <v>Yes</v>
      </c>
      <c r="O26" t="str">
        <f>VLOOKUP(D26,'All - AdoptAPet'!$B:$AE,15,FALSE)</f>
        <v>Yes</v>
      </c>
      <c r="P26" t="str">
        <f>VLOOKUP(D26,'All - AdoptAPet'!$B:$AE,16,FALSE)</f>
        <v>Yes</v>
      </c>
      <c r="Q26" t="str">
        <f>VLOOKUP(D26,'All - AdoptAPet'!$B:$AE,17,FALSE)</f>
        <v>No</v>
      </c>
      <c r="R26" t="str">
        <f>VLOOKUP(D26,'All - AdoptAPet'!$B:$AE,19,FALSE)</f>
        <v>No</v>
      </c>
      <c r="S26" t="str">
        <f>VLOOKUP(D26,'All - AdoptAPet'!$B:$AE,20,FALSE)</f>
        <v>Yes</v>
      </c>
      <c r="T26" t="str">
        <f>VLOOKUP(D26,'All - AdoptAPet'!$B:$AE,21,FALSE)</f>
        <v>Yes</v>
      </c>
      <c r="U26" t="str">
        <f>VLOOKUP(D26,'All - AdoptAPet'!$B:$AE,22,FALSE)</f>
        <v>Unknown</v>
      </c>
      <c r="V26" t="str">
        <f>IF(VLOOKUP(D26,'All - AdoptAPet'!$B:$AE,23,FALSE)="","No", "Yes")</f>
        <v>Yes</v>
      </c>
      <c r="W26" t="str">
        <f>VLOOKUP(D26,'All - PetPoint'!$B:$Q,4,FALSE)</f>
        <v>Available</v>
      </c>
      <c r="X26" t="str">
        <f>VLOOKUP(D26,'All - PetPoint'!$B:$Q,11,FALSE)</f>
        <v>Black</v>
      </c>
      <c r="Y26" t="str">
        <f>VLOOKUP(D26,'All - PetPoint'!$B:$Q,14,FALSE)</f>
        <v>Adoption Kennels</v>
      </c>
      <c r="Z26" t="str">
        <f>VLOOKUP(D26,'AnimalInventory - PetPoint'!$D:$AK,9,FALSE)</f>
        <v>Seized/Cruelty</v>
      </c>
      <c r="AA26" s="9">
        <f>VLOOKUP(D26,'AnimalInventory - PetPoint'!$D:$AK,19,FALSE)</f>
        <v>0</v>
      </c>
      <c r="AB26" s="9">
        <f>VLOOKUP(D26,'AnimalInventory - PetPoint'!$D:$AK,21,FALSE)</f>
        <v>45830.554861111108</v>
      </c>
      <c r="AC26">
        <f>VLOOKUP(D26,'AnimalInventory - PetPoint'!$D:$AK,22,FALSE)</f>
        <v>148.19999999999999</v>
      </c>
      <c r="AD26">
        <f>VLOOKUP(D26,'AnimalInventory - PetPoint'!$D:$AK,23,FALSE)</f>
        <v>0</v>
      </c>
      <c r="AE26" t="str">
        <f>VLOOKUP(D26,'AnimalInventory - PetPoint'!$D:$AK,25,FALSE)</f>
        <v>71.00 pound</v>
      </c>
      <c r="AF26">
        <f>VLOOKUP(D26,'AnimalInventory - PetPoint'!$D:$AK,28,FALSE)</f>
        <v>1</v>
      </c>
      <c r="AG26" t="str">
        <f>VLOOKUP(D26,'PreTreat DogTraffic'!$B:$I,2,FALSE)</f>
        <v>241</v>
      </c>
      <c r="AH26" t="str">
        <f>VLOOKUP(D26,'PreTreat DogTraffic'!$B:$I,3,FALSE)</f>
        <v>572</v>
      </c>
      <c r="AI26" t="str">
        <f>VLOOKUP(D26,'PreTreat DogTraffic'!$B:$I,4,FALSE)</f>
        <v>943</v>
      </c>
      <c r="AJ26" t="str">
        <f>VLOOKUP(D26,'PreTreat DogTraffic'!$B:$I,5,FALSE)</f>
        <v>14</v>
      </c>
      <c r="AK26" t="str">
        <f>VLOOKUP(D26,'PreTreat DogTraffic'!$B:$I,6,FALSE)</f>
        <v>77</v>
      </c>
      <c r="AL26" t="str">
        <f>VLOOKUP(D26,'PreTreat DogTraffic'!$B:$I,7,FALSE)</f>
        <v>193</v>
      </c>
      <c r="AM26" t="str">
        <f>VLOOKUP(D26,'PreTreat DogTraffic'!$B:$I,8,FALSE)</f>
        <v>5.8%</v>
      </c>
    </row>
    <row r="27" spans="1:39" x14ac:dyDescent="0.2">
      <c r="A27" t="str">
        <f>IF(D27="","",IFERROR(VLOOKUP(D27,REMOVED!$A:$D,3,FALSE),IFERROR(VLOOKUP(D27,OUTCOME!$A:$C,3,FALSE),"Yes")))</f>
        <v>Yes</v>
      </c>
      <c r="B27" t="str">
        <f>VLOOKUP(D27,'Experiment Tracker'!$B:$C,2,FALSE)</f>
        <v>Yukiko [Foster Home]</v>
      </c>
      <c r="C27">
        <v>45472979</v>
      </c>
      <c r="D27" t="s">
        <v>278</v>
      </c>
      <c r="E27" t="str">
        <f>VLOOKUP(D27,'All - AdoptAPet'!$B:$AE,2,FALSE)</f>
        <v>Yukiko [Foster Home]</v>
      </c>
      <c r="F27" t="str">
        <f>VLOOKUP(D27,'All - PetPoint'!$B:$Q,7,FALSE)</f>
        <v>Yukiko (L. Clark)</v>
      </c>
      <c r="G27" t="str">
        <f>VLOOKUP(D27,'AnimalInventory - PetPoint'!$D:$AK,2,FALSE)</f>
        <v>Yukiko (L. Clark)</v>
      </c>
      <c r="H27" t="str">
        <f>VLOOKUP(D27,'All - AdoptAPet'!$B:$AE,7,FALSE)</f>
        <v>Rottweiler</v>
      </c>
      <c r="I27" t="str">
        <f>VLOOKUP(D27,'All - AdoptAPet'!$B:$AE,8,FALSE)</f>
        <v>Labrador Retriever</v>
      </c>
      <c r="J27" t="str">
        <f>VLOOKUP(D27,'All - AdoptAPet'!$B:$AE,9,FALSE)</f>
        <v>Black - with Tan, Yellow or Fawn</v>
      </c>
      <c r="K27" t="str">
        <f>VLOOKUP(D27,'All - AdoptAPet'!$B:$AE,10,FALSE)</f>
        <v>female</v>
      </c>
      <c r="L27" t="str">
        <f>VLOOKUP(D27,'All - AdoptAPet'!$B:$AE,11,FALSE)</f>
        <v>young</v>
      </c>
      <c r="M27" t="str">
        <f>VLOOKUP(D27,'All - AdoptAPet'!$B:$AE,12,FALSE)</f>
        <v>Med. 26-60 lbs (12-27 kg)</v>
      </c>
      <c r="N27" t="str">
        <f>VLOOKUP(D27,'All - AdoptAPet'!$B:$AE,14,FALSE)</f>
        <v>Yes</v>
      </c>
      <c r="O27" t="str">
        <f>VLOOKUP(D27,'All - AdoptAPet'!$B:$AE,15,FALSE)</f>
        <v>Yes</v>
      </c>
      <c r="P27" t="str">
        <f>VLOOKUP(D27,'All - AdoptAPet'!$B:$AE,16,FALSE)</f>
        <v>Yes</v>
      </c>
      <c r="Q27" t="str">
        <f>VLOOKUP(D27,'All - AdoptAPet'!$B:$AE,17,FALSE)</f>
        <v>No</v>
      </c>
      <c r="R27" t="str">
        <f>VLOOKUP(D27,'All - AdoptAPet'!$B:$AE,19,FALSE)</f>
        <v>No</v>
      </c>
      <c r="S27" t="str">
        <f>VLOOKUP(D27,'All - AdoptAPet'!$B:$AE,20,FALSE)</f>
        <v>Yes</v>
      </c>
      <c r="T27" t="str">
        <f>VLOOKUP(D27,'All - AdoptAPet'!$B:$AE,21,FALSE)</f>
        <v>Yes</v>
      </c>
      <c r="U27" t="str">
        <f>VLOOKUP(D27,'All - AdoptAPet'!$B:$AE,22,FALSE)</f>
        <v>Unknown</v>
      </c>
      <c r="V27" t="str">
        <f>IF(VLOOKUP(D27,'All - AdoptAPet'!$B:$AE,23,FALSE)="","No", "Yes")</f>
        <v>No</v>
      </c>
      <c r="W27" t="str">
        <f>VLOOKUP(D27,'All - PetPoint'!$B:$Q,4,FALSE)</f>
        <v>Available</v>
      </c>
      <c r="X27" t="str">
        <f>VLOOKUP(D27,'All - PetPoint'!$B:$Q,11,FALSE)</f>
        <v>Black</v>
      </c>
      <c r="Y27" t="str">
        <f>VLOOKUP(D27,'All - PetPoint'!$B:$Q,14,FALSE)</f>
        <v>Foster home</v>
      </c>
      <c r="Z27" t="str">
        <f>VLOOKUP(D27,'AnimalInventory - PetPoint'!$D:$AK,9,FALSE)</f>
        <v>Stray/ACO Pickup / Drop Off</v>
      </c>
      <c r="AA27" s="9">
        <f>VLOOKUP(D27,'AnimalInventory - PetPoint'!$D:$AK,19,FALSE)</f>
        <v>45857.543749999997</v>
      </c>
      <c r="AB27" s="9">
        <f>VLOOKUP(D27,'AnimalInventory - PetPoint'!$D:$AK,21,FALSE)</f>
        <v>45852.543749999997</v>
      </c>
      <c r="AC27">
        <f>VLOOKUP(D27,'AnimalInventory - PetPoint'!$D:$AK,22,FALSE)</f>
        <v>126.2</v>
      </c>
      <c r="AD27">
        <f>VLOOKUP(D27,'AnimalInventory - PetPoint'!$D:$AK,23,FALSE)</f>
        <v>0</v>
      </c>
      <c r="AE27" t="str">
        <f>VLOOKUP(D27,'AnimalInventory - PetPoint'!$D:$AK,25,FALSE)</f>
        <v>60.00 pound</v>
      </c>
      <c r="AF27">
        <f>VLOOKUP(D27,'AnimalInventory - PetPoint'!$D:$AK,28,FALSE)</f>
        <v>1</v>
      </c>
      <c r="AG27" t="str">
        <f>VLOOKUP(D27,'PreTreat DogTraffic'!$B:$I,2,FALSE)</f>
        <v>1,517</v>
      </c>
      <c r="AH27" t="str">
        <f>VLOOKUP(D27,'PreTreat DogTraffic'!$B:$I,3,FALSE)</f>
        <v>3,938</v>
      </c>
      <c r="AI27" t="str">
        <f>VLOOKUP(D27,'PreTreat DogTraffic'!$B:$I,4,FALSE)</f>
        <v>4,587</v>
      </c>
      <c r="AJ27" t="str">
        <f>VLOOKUP(D27,'PreTreat DogTraffic'!$B:$I,5,FALSE)</f>
        <v>10</v>
      </c>
      <c r="AK27" t="str">
        <f>VLOOKUP(D27,'PreTreat DogTraffic'!$B:$I,6,FALSE)</f>
        <v>54</v>
      </c>
      <c r="AL27" t="str">
        <f>VLOOKUP(D27,'PreTreat DogTraffic'!$B:$I,7,FALSE)</f>
        <v>180</v>
      </c>
      <c r="AM27" t="str">
        <f>VLOOKUP(D27,'PreTreat DogTraffic'!$B:$I,8,FALSE)</f>
        <v>0.7%</v>
      </c>
    </row>
    <row r="28" spans="1:39" x14ac:dyDescent="0.2">
      <c r="A28" t="str">
        <f>IF(D28="","",IFERROR(VLOOKUP(D28,REMOVED!$A:$D,3,FALSE),IFERROR(VLOOKUP(D28,OUTCOME!$A:$C,3,FALSE),"Yes")))</f>
        <v>Yes</v>
      </c>
      <c r="B28" t="str">
        <f>VLOOKUP(D28,'Experiment Tracker'!$B:$C,2,FALSE)</f>
        <v>Lotus [Foster Home]</v>
      </c>
      <c r="C28">
        <v>45606729</v>
      </c>
      <c r="D28" t="s">
        <v>292</v>
      </c>
      <c r="E28" t="str">
        <f>VLOOKUP(D28,'All - AdoptAPet'!$B:$AE,2,FALSE)</f>
        <v>Lotus [Foster Home]</v>
      </c>
      <c r="F28" t="str">
        <f>VLOOKUP(D28,'All - PetPoint'!$B:$Q,7,FALSE)</f>
        <v>Lotus ( E Campbell)</v>
      </c>
      <c r="G28" t="str">
        <f>VLOOKUP(D28,'AnimalInventory - PetPoint'!$D:$AK,2,FALSE)</f>
        <v>Lotus ( E Campbell)</v>
      </c>
      <c r="H28" t="str">
        <f>VLOOKUP(D28,'All - AdoptAPet'!$B:$AE,7,FALSE)</f>
        <v>American Staffordshire Terrier</v>
      </c>
      <c r="I28">
        <f>VLOOKUP(D28,'All - AdoptAPet'!$B:$AE,8,FALSE)</f>
        <v>0</v>
      </c>
      <c r="J28" t="str">
        <f>VLOOKUP(D28,'All - AdoptAPet'!$B:$AE,9,FALSE)</f>
        <v>Brown/Chocolate</v>
      </c>
      <c r="K28" t="str">
        <f>VLOOKUP(D28,'All - AdoptAPet'!$B:$AE,10,FALSE)</f>
        <v>female</v>
      </c>
      <c r="L28" t="str">
        <f>VLOOKUP(D28,'All - AdoptAPet'!$B:$AE,11,FALSE)</f>
        <v>young</v>
      </c>
      <c r="M28" t="str">
        <f>VLOOKUP(D28,'All - AdoptAPet'!$B:$AE,12,FALSE)</f>
        <v>Med. 26-60 lbs (12-27 kg)</v>
      </c>
      <c r="N28" t="str">
        <f>VLOOKUP(D28,'All - AdoptAPet'!$B:$AE,14,FALSE)</f>
        <v>Yes</v>
      </c>
      <c r="O28" t="str">
        <f>VLOOKUP(D28,'All - AdoptAPet'!$B:$AE,15,FALSE)</f>
        <v>Yes</v>
      </c>
      <c r="P28" t="str">
        <f>VLOOKUP(D28,'All - AdoptAPet'!$B:$AE,16,FALSE)</f>
        <v>Yes</v>
      </c>
      <c r="Q28" t="str">
        <f>VLOOKUP(D28,'All - AdoptAPet'!$B:$AE,17,FALSE)</f>
        <v>No</v>
      </c>
      <c r="R28" t="str">
        <f>VLOOKUP(D28,'All - AdoptAPet'!$B:$AE,19,FALSE)</f>
        <v>No</v>
      </c>
      <c r="S28" t="str">
        <f>VLOOKUP(D28,'All - AdoptAPet'!$B:$AE,20,FALSE)</f>
        <v>Yes</v>
      </c>
      <c r="T28" t="str">
        <f>VLOOKUP(D28,'All - AdoptAPet'!$B:$AE,21,FALSE)</f>
        <v>Yes</v>
      </c>
      <c r="U28" t="str">
        <f>VLOOKUP(D28,'All - AdoptAPet'!$B:$AE,22,FALSE)</f>
        <v>Unknown</v>
      </c>
      <c r="V28" t="str">
        <f>IF(VLOOKUP(D28,'All - AdoptAPet'!$B:$AE,23,FALSE)="","No", "Yes")</f>
        <v>Yes</v>
      </c>
      <c r="W28" t="str">
        <f>VLOOKUP(D28,'All - PetPoint'!$B:$Q,4,FALSE)</f>
        <v>Available</v>
      </c>
      <c r="X28" t="str">
        <f>VLOOKUP(D28,'All - PetPoint'!$B:$Q,11,FALSE)</f>
        <v>Brown</v>
      </c>
      <c r="Y28" t="str">
        <f>VLOOKUP(D28,'All - PetPoint'!$B:$Q,14,FALSE)</f>
        <v>Foster home</v>
      </c>
      <c r="Z28" t="str">
        <f>VLOOKUP(D28,'AnimalInventory - PetPoint'!$D:$AK,9,FALSE)</f>
        <v>Stray/Public Drop Off</v>
      </c>
      <c r="AA28" s="9">
        <f>VLOOKUP(D28,'AnimalInventory - PetPoint'!$D:$AK,19,FALSE)</f>
        <v>45875.531944444447</v>
      </c>
      <c r="AB28" s="9">
        <f>VLOOKUP(D28,'AnimalInventory - PetPoint'!$D:$AK,21,FALSE)</f>
        <v>45870.531944444447</v>
      </c>
      <c r="AC28">
        <f>VLOOKUP(D28,'AnimalInventory - PetPoint'!$D:$AK,22,FALSE)</f>
        <v>108.3</v>
      </c>
      <c r="AD28">
        <f>VLOOKUP(D28,'AnimalInventory - PetPoint'!$D:$AK,23,FALSE)</f>
        <v>0</v>
      </c>
      <c r="AE28" t="str">
        <f>VLOOKUP(D28,'AnimalInventory - PetPoint'!$D:$AK,25,FALSE)</f>
        <v>46.40 pound</v>
      </c>
      <c r="AF28">
        <f>VLOOKUP(D28,'AnimalInventory - PetPoint'!$D:$AK,28,FALSE)</f>
        <v>3</v>
      </c>
      <c r="AG28" t="str">
        <f>VLOOKUP(D28,'PreTreat DogTraffic'!$B:$I,2,FALSE)</f>
        <v>433</v>
      </c>
      <c r="AH28" t="str">
        <f>VLOOKUP(D28,'PreTreat DogTraffic'!$B:$I,3,FALSE)</f>
        <v>992</v>
      </c>
      <c r="AI28" t="str">
        <f>VLOOKUP(D28,'PreTreat DogTraffic'!$B:$I,4,FALSE)</f>
        <v>1,355</v>
      </c>
      <c r="AJ28" t="str">
        <f>VLOOKUP(D28,'PreTreat DogTraffic'!$B:$I,5,FALSE)</f>
        <v>9</v>
      </c>
      <c r="AK28" t="str">
        <f>VLOOKUP(D28,'PreTreat DogTraffic'!$B:$I,6,FALSE)</f>
        <v>43</v>
      </c>
      <c r="AL28" t="str">
        <f>VLOOKUP(D28,'PreTreat DogTraffic'!$B:$I,7,FALSE)</f>
        <v>92</v>
      </c>
      <c r="AM28" t="str">
        <f>VLOOKUP(D28,'PreTreat DogTraffic'!$B:$I,8,FALSE)</f>
        <v>2.1%</v>
      </c>
    </row>
    <row r="29" spans="1:39" hidden="1" x14ac:dyDescent="0.2">
      <c r="A29" t="str">
        <f>IF(D29="","",IFERROR(VLOOKUP(D29,REMOVED!$A:$D,3,FALSE),IFERROR(VLOOKUP(D29,OUTCOME!$A:$C,3,FALSE),"Yes")))</f>
        <v>PreTreat - No</v>
      </c>
      <c r="B29" t="e">
        <f>VLOOKUP(D29,'Experiment Tracker'!$B:$C,2,FALSE)</f>
        <v>#N/A</v>
      </c>
      <c r="C29">
        <v>45763878</v>
      </c>
      <c r="D29" t="s">
        <v>305</v>
      </c>
      <c r="E29" t="str">
        <f>VLOOKUP(D29,'All - AdoptAPet'!$B:$AE,2,FALSE)</f>
        <v>Artemis</v>
      </c>
      <c r="F29" t="str">
        <f>VLOOKUP(D29,'All - PetPoint'!$B:$Q,7,FALSE)</f>
        <v>Artemis</v>
      </c>
      <c r="G29" t="str">
        <f>VLOOKUP(D29,'AnimalInventory - PetPoint'!$D:$AK,2,FALSE)</f>
        <v>Artemis</v>
      </c>
      <c r="H29" t="str">
        <f>VLOOKUP(D29,'All - AdoptAPet'!$B:$AE,7,FALSE)</f>
        <v>American Staffordshire Terrier</v>
      </c>
      <c r="I29" t="str">
        <f>VLOOKUP(D29,'All - AdoptAPet'!$B:$AE,8,FALSE)</f>
        <v>American Bulldog</v>
      </c>
      <c r="J29" t="str">
        <f>VLOOKUP(D29,'All - AdoptAPet'!$B:$AE,9,FALSE)</f>
        <v>White - with Gray or Silver</v>
      </c>
      <c r="K29" t="str">
        <f>VLOOKUP(D29,'All - AdoptAPet'!$B:$AE,10,FALSE)</f>
        <v>female</v>
      </c>
      <c r="L29" t="str">
        <f>VLOOKUP(D29,'All - AdoptAPet'!$B:$AE,11,FALSE)</f>
        <v>adult</v>
      </c>
      <c r="M29" t="str">
        <f>VLOOKUP(D29,'All - AdoptAPet'!$B:$AE,12,FALSE)</f>
        <v>Large 61-100 lbs (28-45 kg)</v>
      </c>
      <c r="N29" t="str">
        <f>VLOOKUP(D29,'All - AdoptAPet'!$B:$AE,14,FALSE)</f>
        <v>Yes</v>
      </c>
      <c r="O29" t="str">
        <f>VLOOKUP(D29,'All - AdoptAPet'!$B:$AE,15,FALSE)</f>
        <v>Yes</v>
      </c>
      <c r="P29" t="str">
        <f>VLOOKUP(D29,'All - AdoptAPet'!$B:$AE,16,FALSE)</f>
        <v>Yes</v>
      </c>
      <c r="Q29" t="str">
        <f>VLOOKUP(D29,'All - AdoptAPet'!$B:$AE,17,FALSE)</f>
        <v>Yes</v>
      </c>
      <c r="R29" t="str">
        <f>VLOOKUP(D29,'All - AdoptAPet'!$B:$AE,19,FALSE)</f>
        <v>No</v>
      </c>
      <c r="S29" t="str">
        <f>VLOOKUP(D29,'All - AdoptAPet'!$B:$AE,20,FALSE)</f>
        <v>Yes</v>
      </c>
      <c r="T29" t="str">
        <f>VLOOKUP(D29,'All - AdoptAPet'!$B:$AE,21,FALSE)</f>
        <v>Yes</v>
      </c>
      <c r="U29" t="str">
        <f>VLOOKUP(D29,'All - AdoptAPet'!$B:$AE,22,FALSE)</f>
        <v>Yes</v>
      </c>
      <c r="V29" t="str">
        <f>IF(VLOOKUP(D29,'All - AdoptAPet'!$B:$AE,23,FALSE)="","No", "Yes")</f>
        <v>Yes</v>
      </c>
      <c r="W29" t="str">
        <f>VLOOKUP(D29,'All - PetPoint'!$B:$Q,4,FALSE)</f>
        <v>Available</v>
      </c>
      <c r="X29" t="str">
        <f>VLOOKUP(D29,'All - PetPoint'!$B:$Q,11,FALSE)</f>
        <v>Blue</v>
      </c>
      <c r="Y29" t="str">
        <f>VLOOKUP(D29,'All - PetPoint'!$B:$Q,14,FALSE)</f>
        <v>Adoption Kennels</v>
      </c>
      <c r="Z29" t="str">
        <f>VLOOKUP(D29,'AnimalInventory - PetPoint'!$D:$AK,9,FALSE)</f>
        <v>Owner/Guardian Surrender/Euthanasia Request</v>
      </c>
      <c r="AA29" s="9">
        <f>VLOOKUP(D29,'AnimalInventory - PetPoint'!$D:$AK,19,FALSE)</f>
        <v>0</v>
      </c>
      <c r="AB29" s="9">
        <f>VLOOKUP(D29,'AnimalInventory - PetPoint'!$D:$AK,21,FALSE)</f>
        <v>45887.629166666666</v>
      </c>
      <c r="AC29">
        <f>VLOOKUP(D29,'AnimalInventory - PetPoint'!$D:$AK,22,FALSE)</f>
        <v>91.1</v>
      </c>
      <c r="AD29">
        <f>VLOOKUP(D29,'AnimalInventory - PetPoint'!$D:$AK,23,FALSE)</f>
        <v>0</v>
      </c>
      <c r="AE29" t="str">
        <f>VLOOKUP(D29,'AnimalInventory - PetPoint'!$D:$AK,25,FALSE)</f>
        <v>61.00 pound</v>
      </c>
      <c r="AF29">
        <f>VLOOKUP(D29,'AnimalInventory - PetPoint'!$D:$AK,28,FALSE)</f>
        <v>3</v>
      </c>
      <c r="AG29" t="str">
        <f>VLOOKUP(D29,'PreTreat DogTraffic'!$B:$I,2,FALSE)</f>
        <v>290</v>
      </c>
      <c r="AH29" t="str">
        <f>VLOOKUP(D29,'PreTreat DogTraffic'!$B:$I,3,FALSE)</f>
        <v>707</v>
      </c>
      <c r="AI29" t="str">
        <f>VLOOKUP(D29,'PreTreat DogTraffic'!$B:$I,4,FALSE)</f>
        <v>788</v>
      </c>
      <c r="AJ29" t="str">
        <f>VLOOKUP(D29,'PreTreat DogTraffic'!$B:$I,5,FALSE)</f>
        <v>14</v>
      </c>
      <c r="AK29" t="str">
        <f>VLOOKUP(D29,'PreTreat DogTraffic'!$B:$I,6,FALSE)</f>
        <v>27</v>
      </c>
      <c r="AL29" t="str">
        <f>VLOOKUP(D29,'PreTreat DogTraffic'!$B:$I,7,FALSE)</f>
        <v>67</v>
      </c>
      <c r="AM29" t="str">
        <f>VLOOKUP(D29,'PreTreat DogTraffic'!$B:$I,8,FALSE)</f>
        <v>4.8%</v>
      </c>
    </row>
    <row r="30" spans="1:39" x14ac:dyDescent="0.2">
      <c r="A30" t="str">
        <f>IF(D30="","",IFERROR(VLOOKUP(D30,REMOVED!$A:$D,3,FALSE),IFERROR(VLOOKUP(D30,OUTCOME!$A:$C,3,FALSE),"Yes")))</f>
        <v>Yes</v>
      </c>
      <c r="B30" t="str">
        <f>VLOOKUP(D30,'Experiment Tracker'!$B:$C,2,FALSE)</f>
        <v>Craig</v>
      </c>
      <c r="C30">
        <v>45763896</v>
      </c>
      <c r="D30" t="s">
        <v>311</v>
      </c>
      <c r="E30" t="str">
        <f>VLOOKUP(D30,'All - AdoptAPet'!$B:$AE,2,FALSE)</f>
        <v>Craig</v>
      </c>
      <c r="F30" t="str">
        <f>VLOOKUP(D30,'All - PetPoint'!$B:$Q,7,FALSE)</f>
        <v>Craig</v>
      </c>
      <c r="G30" t="str">
        <f>VLOOKUP(D30,'AnimalInventory - PetPoint'!$D:$AK,2,FALSE)</f>
        <v>Craig</v>
      </c>
      <c r="H30" t="str">
        <f>VLOOKUP(D30,'All - AdoptAPet'!$B:$AE,7,FALSE)</f>
        <v>Boxer</v>
      </c>
      <c r="I30" t="str">
        <f>VLOOKUP(D30,'All - AdoptAPet'!$B:$AE,8,FALSE)</f>
        <v>American Bulldog</v>
      </c>
      <c r="J30" t="str">
        <f>VLOOKUP(D30,'All - AdoptAPet'!$B:$AE,9,FALSE)</f>
        <v>Black</v>
      </c>
      <c r="K30" t="str">
        <f>VLOOKUP(D30,'All - AdoptAPet'!$B:$AE,10,FALSE)</f>
        <v>male</v>
      </c>
      <c r="L30" t="str">
        <f>VLOOKUP(D30,'All - AdoptAPet'!$B:$AE,11,FALSE)</f>
        <v>adult</v>
      </c>
      <c r="M30" t="str">
        <f>VLOOKUP(D30,'All - AdoptAPet'!$B:$AE,12,FALSE)</f>
        <v>Med. 26-60 lbs (12-27 kg)</v>
      </c>
      <c r="N30" t="str">
        <f>VLOOKUP(D30,'All - AdoptAPet'!$B:$AE,14,FALSE)</f>
        <v>Yes</v>
      </c>
      <c r="O30" t="str">
        <f>VLOOKUP(D30,'All - AdoptAPet'!$B:$AE,15,FALSE)</f>
        <v>Yes</v>
      </c>
      <c r="P30" t="str">
        <f>VLOOKUP(D30,'All - AdoptAPet'!$B:$AE,16,FALSE)</f>
        <v>Yes</v>
      </c>
      <c r="Q30" t="str">
        <f>VLOOKUP(D30,'All - AdoptAPet'!$B:$AE,17,FALSE)</f>
        <v>No</v>
      </c>
      <c r="R30" t="str">
        <f>VLOOKUP(D30,'All - AdoptAPet'!$B:$AE,19,FALSE)</f>
        <v>No</v>
      </c>
      <c r="S30" t="str">
        <f>VLOOKUP(D30,'All - AdoptAPet'!$B:$AE,20,FALSE)</f>
        <v>Yes</v>
      </c>
      <c r="T30" t="str">
        <f>VLOOKUP(D30,'All - AdoptAPet'!$B:$AE,21,FALSE)</f>
        <v>Yes</v>
      </c>
      <c r="U30" t="str">
        <f>VLOOKUP(D30,'All - AdoptAPet'!$B:$AE,22,FALSE)</f>
        <v>Unknown</v>
      </c>
      <c r="V30" t="str">
        <f>IF(VLOOKUP(D30,'All - AdoptAPet'!$B:$AE,23,FALSE)="","No", "Yes")</f>
        <v>No</v>
      </c>
      <c r="W30" t="str">
        <f>VLOOKUP(D30,'All - PetPoint'!$B:$Q,4,FALSE)</f>
        <v>Available</v>
      </c>
      <c r="X30" t="str">
        <f>VLOOKUP(D30,'All - PetPoint'!$B:$Q,11,FALSE)</f>
        <v>Black</v>
      </c>
      <c r="Y30" t="str">
        <f>VLOOKUP(D30,'All - PetPoint'!$B:$Q,14,FALSE)</f>
        <v>Holding Kennel</v>
      </c>
      <c r="Z30" t="str">
        <f>VLOOKUP(D30,'AnimalInventory - PetPoint'!$D:$AK,9,FALSE)</f>
        <v>Stray/ACO Pickup / Drop Off</v>
      </c>
      <c r="AA30" s="9">
        <f>VLOOKUP(D30,'AnimalInventory - PetPoint'!$D:$AK,19,FALSE)</f>
        <v>45874.686805555553</v>
      </c>
      <c r="AB30" s="9">
        <f>VLOOKUP(D30,'AnimalInventory - PetPoint'!$D:$AK,21,FALSE)</f>
        <v>45869.686805555553</v>
      </c>
      <c r="AC30">
        <f>VLOOKUP(D30,'AnimalInventory - PetPoint'!$D:$AK,22,FALSE)</f>
        <v>109.1</v>
      </c>
      <c r="AD30">
        <f>VLOOKUP(D30,'AnimalInventory - PetPoint'!$D:$AK,23,FALSE)</f>
        <v>0</v>
      </c>
      <c r="AE30" t="str">
        <f>VLOOKUP(D30,'AnimalInventory - PetPoint'!$D:$AK,25,FALSE)</f>
        <v>48.20 pound</v>
      </c>
      <c r="AF30">
        <f>VLOOKUP(D30,'AnimalInventory - PetPoint'!$D:$AK,28,FALSE)</f>
        <v>3</v>
      </c>
      <c r="AG30" t="str">
        <f>VLOOKUP(D30,'PreTreat DogTraffic'!$B:$I,2,FALSE)</f>
        <v>1,414</v>
      </c>
      <c r="AH30" t="str">
        <f>VLOOKUP(D30,'PreTreat DogTraffic'!$B:$I,3,FALSE)</f>
        <v>3,037</v>
      </c>
      <c r="AI30" t="str">
        <f>VLOOKUP(D30,'PreTreat DogTraffic'!$B:$I,4,FALSE)</f>
        <v>3,152</v>
      </c>
      <c r="AJ30" t="str">
        <f>VLOOKUP(D30,'PreTreat DogTraffic'!$B:$I,5,FALSE)</f>
        <v>7</v>
      </c>
      <c r="AK30" t="str">
        <f>VLOOKUP(D30,'PreTreat DogTraffic'!$B:$I,6,FALSE)</f>
        <v>27</v>
      </c>
      <c r="AL30" t="str">
        <f>VLOOKUP(D30,'PreTreat DogTraffic'!$B:$I,7,FALSE)</f>
        <v>64</v>
      </c>
      <c r="AM30" t="str">
        <f>VLOOKUP(D30,'PreTreat DogTraffic'!$B:$I,8,FALSE)</f>
        <v>0.5%</v>
      </c>
    </row>
    <row r="31" spans="1:39" x14ac:dyDescent="0.2">
      <c r="A31" t="str">
        <f>IF(D31="","",IFERROR(VLOOKUP(D31,REMOVED!$A:$D,3,FALSE),IFERROR(VLOOKUP(D31,OUTCOME!$A:$C,3,FALSE),"Yes")))</f>
        <v>Yes</v>
      </c>
      <c r="B31" t="str">
        <f>VLOOKUP(D31,'Experiment Tracker'!$B:$C,2,FALSE)</f>
        <v>Dingo [Foster Home]</v>
      </c>
      <c r="C31">
        <v>45763997</v>
      </c>
      <c r="D31" t="s">
        <v>316</v>
      </c>
      <c r="E31" t="str">
        <f>VLOOKUP(D31,'All - AdoptAPet'!$B:$AE,2,FALSE)</f>
        <v>Dingo [Foster Home]</v>
      </c>
      <c r="F31" t="str">
        <f>VLOOKUP(D31,'All - PetPoint'!$B:$Q,7,FALSE)</f>
        <v>Dingo (A. Cox)</v>
      </c>
      <c r="G31" t="str">
        <f>VLOOKUP(D31,'AnimalInventory - PetPoint'!$D:$AK,2,FALSE)</f>
        <v>Dingo (A. Cox)</v>
      </c>
      <c r="H31" t="str">
        <f>VLOOKUP(D31,'All - AdoptAPet'!$B:$AE,7,FALSE)</f>
        <v>Hound (Unknown Type)</v>
      </c>
      <c r="I31" t="str">
        <f>VLOOKUP(D31,'All - AdoptAPet'!$B:$AE,8,FALSE)</f>
        <v>American Eskimo Dog</v>
      </c>
      <c r="J31" t="str">
        <f>VLOOKUP(D31,'All - AdoptAPet'!$B:$AE,9,FALSE)</f>
        <v>Tan/Yellow/Fawn - with White</v>
      </c>
      <c r="K31" t="str">
        <f>VLOOKUP(D31,'All - AdoptAPet'!$B:$AE,10,FALSE)</f>
        <v>male</v>
      </c>
      <c r="L31" t="str">
        <f>VLOOKUP(D31,'All - AdoptAPet'!$B:$AE,11,FALSE)</f>
        <v>young</v>
      </c>
      <c r="M31" t="str">
        <f>VLOOKUP(D31,'All - AdoptAPet'!$B:$AE,12,FALSE)</f>
        <v>Med. 26-60 lbs (12-27 kg)</v>
      </c>
      <c r="N31" t="str">
        <f>VLOOKUP(D31,'All - AdoptAPet'!$B:$AE,14,FALSE)</f>
        <v>Yes</v>
      </c>
      <c r="O31" t="str">
        <f>VLOOKUP(D31,'All - AdoptAPet'!$B:$AE,15,FALSE)</f>
        <v>Yes</v>
      </c>
      <c r="P31" t="str">
        <f>VLOOKUP(D31,'All - AdoptAPet'!$B:$AE,16,FALSE)</f>
        <v>Yes</v>
      </c>
      <c r="Q31" t="str">
        <f>VLOOKUP(D31,'All - AdoptAPet'!$B:$AE,17,FALSE)</f>
        <v>No</v>
      </c>
      <c r="R31" t="str">
        <f>VLOOKUP(D31,'All - AdoptAPet'!$B:$AE,19,FALSE)</f>
        <v>No</v>
      </c>
      <c r="S31" t="str">
        <f>VLOOKUP(D31,'All - AdoptAPet'!$B:$AE,20,FALSE)</f>
        <v>Yes</v>
      </c>
      <c r="T31" t="str">
        <f>VLOOKUP(D31,'All - AdoptAPet'!$B:$AE,21,FALSE)</f>
        <v>Yes</v>
      </c>
      <c r="U31" t="str">
        <f>VLOOKUP(D31,'All - AdoptAPet'!$B:$AE,22,FALSE)</f>
        <v>Unknown</v>
      </c>
      <c r="V31" t="str">
        <f>IF(VLOOKUP(D31,'All - AdoptAPet'!$B:$AE,23,FALSE)="","No", "Yes")</f>
        <v>Yes</v>
      </c>
      <c r="W31" t="str">
        <f>VLOOKUP(D31,'All - PetPoint'!$B:$Q,4,FALSE)</f>
        <v>Available</v>
      </c>
      <c r="X31" t="str">
        <f>VLOOKUP(D31,'All - PetPoint'!$B:$Q,11,FALSE)</f>
        <v>Brown</v>
      </c>
      <c r="Y31" t="str">
        <f>VLOOKUP(D31,'All - PetPoint'!$B:$Q,14,FALSE)</f>
        <v>Foster home</v>
      </c>
      <c r="Z31" t="str">
        <f>VLOOKUP(D31,'AnimalInventory - PetPoint'!$D:$AK,9,FALSE)</f>
        <v>Stray/ACO Pickup / Drop Off</v>
      </c>
      <c r="AA31" s="9">
        <f>VLOOKUP(D31,'AnimalInventory - PetPoint'!$D:$AK,19,FALSE)</f>
        <v>45876.414583333331</v>
      </c>
      <c r="AB31" s="9">
        <f>VLOOKUP(D31,'AnimalInventory - PetPoint'!$D:$AK,21,FALSE)</f>
        <v>45871.414583333331</v>
      </c>
      <c r="AC31">
        <f>VLOOKUP(D31,'AnimalInventory - PetPoint'!$D:$AK,22,FALSE)</f>
        <v>107.4</v>
      </c>
      <c r="AD31">
        <f>VLOOKUP(D31,'AnimalInventory - PetPoint'!$D:$AK,23,FALSE)</f>
        <v>0</v>
      </c>
      <c r="AE31" t="str">
        <f>VLOOKUP(D31,'AnimalInventory - PetPoint'!$D:$AK,25,FALSE)</f>
        <v>37.00 pound</v>
      </c>
      <c r="AF31">
        <f>VLOOKUP(D31,'AnimalInventory - PetPoint'!$D:$AK,28,FALSE)</f>
        <v>3</v>
      </c>
      <c r="AG31" t="str">
        <f>VLOOKUP(D31,'PreTreat DogTraffic'!$B:$I,2,FALSE)</f>
        <v>432</v>
      </c>
      <c r="AH31" t="str">
        <f>VLOOKUP(D31,'PreTreat DogTraffic'!$B:$I,3,FALSE)</f>
        <v>970</v>
      </c>
      <c r="AI31" t="str">
        <f>VLOOKUP(D31,'PreTreat DogTraffic'!$B:$I,4,FALSE)</f>
        <v>1,109</v>
      </c>
      <c r="AJ31" t="str">
        <f>VLOOKUP(D31,'PreTreat DogTraffic'!$B:$I,5,FALSE)</f>
        <v>7</v>
      </c>
      <c r="AK31" t="str">
        <f>VLOOKUP(D31,'PreTreat DogTraffic'!$B:$I,6,FALSE)</f>
        <v>38</v>
      </c>
      <c r="AL31" t="str">
        <f>VLOOKUP(D31,'PreTreat DogTraffic'!$B:$I,7,FALSE)</f>
        <v>73</v>
      </c>
      <c r="AM31" t="str">
        <f>VLOOKUP(D31,'PreTreat DogTraffic'!$B:$I,8,FALSE)</f>
        <v>1.6%</v>
      </c>
    </row>
    <row r="32" spans="1:39" x14ac:dyDescent="0.2">
      <c r="A32" t="str">
        <f>IF(D32="","",IFERROR(VLOOKUP(D32,REMOVED!$A:$D,3,FALSE),IFERROR(VLOOKUP(D32,OUTCOME!$A:$C,3,FALSE),"Yes")))</f>
        <v>Yes</v>
      </c>
      <c r="B32" t="str">
        <f>VLOOKUP(D32,'Experiment Tracker'!$B:$C,2,FALSE)</f>
        <v>Elliott</v>
      </c>
      <c r="C32">
        <v>45764004</v>
      </c>
      <c r="D32" t="s">
        <v>321</v>
      </c>
      <c r="E32" t="str">
        <f>VLOOKUP(D32,'All - AdoptAPet'!$B:$AE,2,FALSE)</f>
        <v>Elliott</v>
      </c>
      <c r="F32" t="str">
        <f>VLOOKUP(D32,'All - PetPoint'!$B:$Q,7,FALSE)</f>
        <v>Elliott</v>
      </c>
      <c r="G32" t="str">
        <f>VLOOKUP(D32,'AnimalInventory - PetPoint'!$D:$AK,2,FALSE)</f>
        <v>Elliott</v>
      </c>
      <c r="H32" t="str">
        <f>VLOOKUP(D32,'All - AdoptAPet'!$B:$AE,7,FALSE)</f>
        <v>American Staffordshire Terrier</v>
      </c>
      <c r="I32" t="str">
        <f>VLOOKUP(D32,'All - AdoptAPet'!$B:$AE,8,FALSE)</f>
        <v>American Pit Bull Terrier</v>
      </c>
      <c r="J32" t="str">
        <f>VLOOKUP(D32,'All - AdoptAPet'!$B:$AE,9,FALSE)</f>
        <v>Brown/Chocolate - with White</v>
      </c>
      <c r="K32" t="str">
        <f>VLOOKUP(D32,'All - AdoptAPet'!$B:$AE,10,FALSE)</f>
        <v>male</v>
      </c>
      <c r="L32" t="str">
        <f>VLOOKUP(D32,'All - AdoptAPet'!$B:$AE,11,FALSE)</f>
        <v>adult</v>
      </c>
      <c r="M32" t="str">
        <f>VLOOKUP(D32,'All - AdoptAPet'!$B:$AE,12,FALSE)</f>
        <v>Med. 26-60 lbs (12-27 kg)</v>
      </c>
      <c r="N32" t="str">
        <f>VLOOKUP(D32,'All - AdoptAPet'!$B:$AE,14,FALSE)</f>
        <v>Yes</v>
      </c>
      <c r="O32" t="str">
        <f>VLOOKUP(D32,'All - AdoptAPet'!$B:$AE,15,FALSE)</f>
        <v>Yes</v>
      </c>
      <c r="P32" t="str">
        <f>VLOOKUP(D32,'All - AdoptAPet'!$B:$AE,16,FALSE)</f>
        <v>Yes</v>
      </c>
      <c r="Q32" t="str">
        <f>VLOOKUP(D32,'All - AdoptAPet'!$B:$AE,17,FALSE)</f>
        <v>No</v>
      </c>
      <c r="R32" t="str">
        <f>VLOOKUP(D32,'All - AdoptAPet'!$B:$AE,19,FALSE)</f>
        <v>No</v>
      </c>
      <c r="S32" t="str">
        <f>VLOOKUP(D32,'All - AdoptAPet'!$B:$AE,20,FALSE)</f>
        <v>Yes</v>
      </c>
      <c r="T32" t="str">
        <f>VLOOKUP(D32,'All - AdoptAPet'!$B:$AE,21,FALSE)</f>
        <v>Yes</v>
      </c>
      <c r="U32" t="str">
        <f>VLOOKUP(D32,'All - AdoptAPet'!$B:$AE,22,FALSE)</f>
        <v>Yes</v>
      </c>
      <c r="V32" t="str">
        <f>IF(VLOOKUP(D32,'All - AdoptAPet'!$B:$AE,23,FALSE)="","No", "Yes")</f>
        <v>No</v>
      </c>
      <c r="W32" t="str">
        <f>VLOOKUP(D32,'All - PetPoint'!$B:$Q,4,FALSE)</f>
        <v>Available</v>
      </c>
      <c r="X32" t="str">
        <f>VLOOKUP(D32,'All - PetPoint'!$B:$Q,11,FALSE)</f>
        <v>Brown</v>
      </c>
      <c r="Y32" t="str">
        <f>VLOOKUP(D32,'All - PetPoint'!$B:$Q,14,FALSE)</f>
        <v>Holding Kennel</v>
      </c>
      <c r="Z32" t="str">
        <f>VLOOKUP(D32,'AnimalInventory - PetPoint'!$D:$AK,9,FALSE)</f>
        <v>Stray/ACO Pickup / Drop Off</v>
      </c>
      <c r="AA32" s="9">
        <f>VLOOKUP(D32,'AnimalInventory - PetPoint'!$D:$AK,19,FALSE)</f>
        <v>45880.637499999997</v>
      </c>
      <c r="AB32" s="9">
        <f>VLOOKUP(D32,'AnimalInventory - PetPoint'!$D:$AK,21,FALSE)</f>
        <v>45875.637499999997</v>
      </c>
      <c r="AC32">
        <f>VLOOKUP(D32,'AnimalInventory - PetPoint'!$D:$AK,22,FALSE)</f>
        <v>103.1</v>
      </c>
      <c r="AD32">
        <f>VLOOKUP(D32,'AnimalInventory - PetPoint'!$D:$AK,23,FALSE)</f>
        <v>0</v>
      </c>
      <c r="AE32" t="str">
        <f>VLOOKUP(D32,'AnimalInventory - PetPoint'!$D:$AK,25,FALSE)</f>
        <v>56.00 pound</v>
      </c>
      <c r="AF32">
        <f>VLOOKUP(D32,'AnimalInventory - PetPoint'!$D:$AK,28,FALSE)</f>
        <v>3</v>
      </c>
      <c r="AG32" t="str">
        <f>VLOOKUP(D32,'PreTreat DogTraffic'!$B:$I,2,FALSE)</f>
        <v>233</v>
      </c>
      <c r="AH32" t="str">
        <f>VLOOKUP(D32,'PreTreat DogTraffic'!$B:$I,3,FALSE)</f>
        <v>584</v>
      </c>
      <c r="AI32" t="str">
        <f>VLOOKUP(D32,'PreTreat DogTraffic'!$B:$I,4,FALSE)</f>
        <v>714</v>
      </c>
      <c r="AJ32" t="str">
        <f>VLOOKUP(D32,'PreTreat DogTraffic'!$B:$I,5,FALSE)</f>
        <v>7</v>
      </c>
      <c r="AK32" t="str">
        <f>VLOOKUP(D32,'PreTreat DogTraffic'!$B:$I,6,FALSE)</f>
        <v>37</v>
      </c>
      <c r="AL32" t="str">
        <f>VLOOKUP(D32,'PreTreat DogTraffic'!$B:$I,7,FALSE)</f>
        <v>55</v>
      </c>
      <c r="AM32" t="str">
        <f>VLOOKUP(D32,'PreTreat DogTraffic'!$B:$I,8,FALSE)</f>
        <v>3.0%</v>
      </c>
    </row>
    <row r="33" spans="1:39" x14ac:dyDescent="0.2">
      <c r="A33" t="str">
        <f>IF(D33="","",IFERROR(VLOOKUP(D33,REMOVED!$A:$D,3,FALSE),IFERROR(VLOOKUP(D33,OUTCOME!$A:$C,3,FALSE),"Yes")))</f>
        <v>Yes</v>
      </c>
      <c r="B33" t="str">
        <f>VLOOKUP(D33,'Experiment Tracker'!$B:$C,2,FALSE)</f>
        <v>Emmett</v>
      </c>
      <c r="C33">
        <v>45764020</v>
      </c>
      <c r="D33" t="s">
        <v>327</v>
      </c>
      <c r="E33" t="str">
        <f>VLOOKUP(D33,'All - AdoptAPet'!$B:$AE,2,FALSE)</f>
        <v>Emmett [Foster Home]</v>
      </c>
      <c r="F33" t="str">
        <f>VLOOKUP(D33,'All - PetPoint'!$B:$Q,7,FALSE)</f>
        <v>Emmett (C. McClain)</v>
      </c>
      <c r="G33" t="str">
        <f>VLOOKUP(D33,'AnimalInventory - PetPoint'!$D:$AK,2,FALSE)</f>
        <v>Emmett (C. McClain)</v>
      </c>
      <c r="H33" t="str">
        <f>VLOOKUP(D33,'All - AdoptAPet'!$B:$AE,7,FALSE)</f>
        <v>Foxhound</v>
      </c>
      <c r="I33" t="str">
        <f>VLOOKUP(D33,'All - AdoptAPet'!$B:$AE,8,FALSE)</f>
        <v>Treeing Walker Coonhound</v>
      </c>
      <c r="J33" t="str">
        <f>VLOOKUP(D33,'All - AdoptAPet'!$B:$AE,9,FALSE)</f>
        <v>Tricolor (Tan/Brown &amp; Black &amp; White)</v>
      </c>
      <c r="K33" t="str">
        <f>VLOOKUP(D33,'All - AdoptAPet'!$B:$AE,10,FALSE)</f>
        <v>male</v>
      </c>
      <c r="L33" t="str">
        <f>VLOOKUP(D33,'All - AdoptAPet'!$B:$AE,11,FALSE)</f>
        <v>adult</v>
      </c>
      <c r="M33" t="str">
        <f>VLOOKUP(D33,'All - AdoptAPet'!$B:$AE,12,FALSE)</f>
        <v>Med. 26-60 lbs (12-27 kg)</v>
      </c>
      <c r="N33" t="str">
        <f>VLOOKUP(D33,'All - AdoptAPet'!$B:$AE,14,FALSE)</f>
        <v>Yes</v>
      </c>
      <c r="O33" t="str">
        <f>VLOOKUP(D33,'All - AdoptAPet'!$B:$AE,15,FALSE)</f>
        <v>Yes</v>
      </c>
      <c r="P33" t="str">
        <f>VLOOKUP(D33,'All - AdoptAPet'!$B:$AE,16,FALSE)</f>
        <v>Yes</v>
      </c>
      <c r="Q33" t="str">
        <f>VLOOKUP(D33,'All - AdoptAPet'!$B:$AE,17,FALSE)</f>
        <v>No</v>
      </c>
      <c r="R33" t="str">
        <f>VLOOKUP(D33,'All - AdoptAPet'!$B:$AE,19,FALSE)</f>
        <v>No</v>
      </c>
      <c r="S33" t="str">
        <f>VLOOKUP(D33,'All - AdoptAPet'!$B:$AE,20,FALSE)</f>
        <v>Yes</v>
      </c>
      <c r="T33" t="str">
        <f>VLOOKUP(D33,'All - AdoptAPet'!$B:$AE,21,FALSE)</f>
        <v>Yes</v>
      </c>
      <c r="U33" t="str">
        <f>VLOOKUP(D33,'All - AdoptAPet'!$B:$AE,22,FALSE)</f>
        <v>Unknown</v>
      </c>
      <c r="V33" t="str">
        <f>IF(VLOOKUP(D33,'All - AdoptAPet'!$B:$AE,23,FALSE)="","No", "Yes")</f>
        <v>No</v>
      </c>
      <c r="W33" t="str">
        <f>VLOOKUP(D33,'All - PetPoint'!$B:$Q,4,FALSE)</f>
        <v>Available</v>
      </c>
      <c r="X33" t="str">
        <f>VLOOKUP(D33,'All - PetPoint'!$B:$Q,11,FALSE)</f>
        <v>Black</v>
      </c>
      <c r="Y33" t="str">
        <f>VLOOKUP(D33,'All - PetPoint'!$B:$Q,14,FALSE)</f>
        <v>Foster home</v>
      </c>
      <c r="Z33" t="str">
        <f>VLOOKUP(D33,'AnimalInventory - PetPoint'!$D:$AK,9,FALSE)</f>
        <v>Stray/ACO Pickup / Drop Off</v>
      </c>
      <c r="AA33" s="9">
        <f>VLOOKUP(D33,'AnimalInventory - PetPoint'!$D:$AK,19,FALSE)</f>
        <v>45893.589583333334</v>
      </c>
      <c r="AB33" s="9">
        <f>VLOOKUP(D33,'AnimalInventory - PetPoint'!$D:$AK,21,FALSE)</f>
        <v>45888.589583333334</v>
      </c>
      <c r="AC33">
        <f>VLOOKUP(D33,'AnimalInventory - PetPoint'!$D:$AK,22,FALSE)</f>
        <v>90.2</v>
      </c>
      <c r="AD33">
        <f>VLOOKUP(D33,'AnimalInventory - PetPoint'!$D:$AK,23,FALSE)</f>
        <v>0</v>
      </c>
      <c r="AE33" t="str">
        <f>VLOOKUP(D33,'AnimalInventory - PetPoint'!$D:$AK,25,FALSE)</f>
        <v>44.80 pound</v>
      </c>
      <c r="AF33">
        <f>VLOOKUP(D33,'AnimalInventory - PetPoint'!$D:$AK,28,FALSE)</f>
        <v>3</v>
      </c>
      <c r="AG33" t="str">
        <f>VLOOKUP(D33,'PreTreat DogTraffic'!$B:$I,2,FALSE)</f>
        <v>226</v>
      </c>
      <c r="AH33" t="str">
        <f>VLOOKUP(D33,'PreTreat DogTraffic'!$B:$I,3,FALSE)</f>
        <v>531</v>
      </c>
      <c r="AI33" t="str">
        <f>VLOOKUP(D33,'PreTreat DogTraffic'!$B:$I,4,FALSE)</f>
        <v>600</v>
      </c>
      <c r="AJ33" t="str">
        <f>VLOOKUP(D33,'PreTreat DogTraffic'!$B:$I,5,FALSE)</f>
        <v>21</v>
      </c>
      <c r="AK33" t="str">
        <f>VLOOKUP(D33,'PreTreat DogTraffic'!$B:$I,6,FALSE)</f>
        <v>73</v>
      </c>
      <c r="AL33" t="str">
        <f>VLOOKUP(D33,'PreTreat DogTraffic'!$B:$I,7,FALSE)</f>
        <v>118</v>
      </c>
      <c r="AM33" t="str">
        <f>VLOOKUP(D33,'PreTreat DogTraffic'!$B:$I,8,FALSE)</f>
        <v>9.3%</v>
      </c>
    </row>
    <row r="34" spans="1:39" x14ac:dyDescent="0.2">
      <c r="A34" t="str">
        <f>IF(D34="","",IFERROR(VLOOKUP(D34,REMOVED!$A:$D,3,FALSE),IFERROR(VLOOKUP(D34,OUTCOME!$A:$C,3,FALSE),"Yes")))</f>
        <v>Yes</v>
      </c>
      <c r="B34" t="str">
        <f>VLOOKUP(D34,'Experiment Tracker'!$B:$C,2,FALSE)</f>
        <v>Feta</v>
      </c>
      <c r="C34">
        <v>45764028</v>
      </c>
      <c r="D34" t="s">
        <v>333</v>
      </c>
      <c r="E34" t="str">
        <f>VLOOKUP(D34,'All - AdoptAPet'!$B:$AE,2,FALSE)</f>
        <v>Feta</v>
      </c>
      <c r="F34" t="str">
        <f>VLOOKUP(D34,'All - PetPoint'!$B:$Q,7,FALSE)</f>
        <v>Feta</v>
      </c>
      <c r="G34" t="str">
        <f>VLOOKUP(D34,'AnimalInventory - PetPoint'!$D:$AK,2,FALSE)</f>
        <v>Feta</v>
      </c>
      <c r="H34" t="str">
        <f>VLOOKUP(D34,'All - AdoptAPet'!$B:$AE,7,FALSE)</f>
        <v>Bull Terrier</v>
      </c>
      <c r="I34" t="str">
        <f>VLOOKUP(D34,'All - AdoptAPet'!$B:$AE,8,FALSE)</f>
        <v>Carolina Dog</v>
      </c>
      <c r="J34" t="str">
        <f>VLOOKUP(D34,'All - AdoptAPet'!$B:$AE,9,FALSE)</f>
        <v>White - with Tan, Yellow or Fawn</v>
      </c>
      <c r="K34" t="str">
        <f>VLOOKUP(D34,'All - AdoptAPet'!$B:$AE,10,FALSE)</f>
        <v>male</v>
      </c>
      <c r="L34" t="str">
        <f>VLOOKUP(D34,'All - AdoptAPet'!$B:$AE,11,FALSE)</f>
        <v>adult</v>
      </c>
      <c r="M34" t="str">
        <f>VLOOKUP(D34,'All - AdoptAPet'!$B:$AE,12,FALSE)</f>
        <v>Med. 26-60 lbs (12-27 kg)</v>
      </c>
      <c r="N34" t="str">
        <f>VLOOKUP(D34,'All - AdoptAPet'!$B:$AE,14,FALSE)</f>
        <v>Yes</v>
      </c>
      <c r="O34" t="str">
        <f>VLOOKUP(D34,'All - AdoptAPet'!$B:$AE,15,FALSE)</f>
        <v>Yes</v>
      </c>
      <c r="P34" t="str">
        <f>VLOOKUP(D34,'All - AdoptAPet'!$B:$AE,16,FALSE)</f>
        <v>Yes</v>
      </c>
      <c r="Q34" t="str">
        <f>VLOOKUP(D34,'All - AdoptAPet'!$B:$AE,17,FALSE)</f>
        <v>No</v>
      </c>
      <c r="R34" t="str">
        <f>VLOOKUP(D34,'All - AdoptAPet'!$B:$AE,19,FALSE)</f>
        <v>No</v>
      </c>
      <c r="S34" t="str">
        <f>VLOOKUP(D34,'All - AdoptAPet'!$B:$AE,20,FALSE)</f>
        <v>Yes</v>
      </c>
      <c r="T34" t="str">
        <f>VLOOKUP(D34,'All - AdoptAPet'!$B:$AE,21,FALSE)</f>
        <v>Yes</v>
      </c>
      <c r="U34" t="str">
        <f>VLOOKUP(D34,'All - AdoptAPet'!$B:$AE,22,FALSE)</f>
        <v>Unknown</v>
      </c>
      <c r="V34" t="str">
        <f>IF(VLOOKUP(D34,'All - AdoptAPet'!$B:$AE,23,FALSE)="","No", "Yes")</f>
        <v>No</v>
      </c>
      <c r="W34" t="str">
        <f>VLOOKUP(D34,'All - PetPoint'!$B:$Q,4,FALSE)</f>
        <v>Available</v>
      </c>
      <c r="X34" t="str">
        <f>VLOOKUP(D34,'All - PetPoint'!$B:$Q,11,FALSE)</f>
        <v>Yellow</v>
      </c>
      <c r="Y34" t="str">
        <f>VLOOKUP(D34,'All - PetPoint'!$B:$Q,14,FALSE)</f>
        <v>Holding Kennel</v>
      </c>
      <c r="Z34" t="str">
        <f>VLOOKUP(D34,'AnimalInventory - PetPoint'!$D:$AK,9,FALSE)</f>
        <v>Stray/Public Drop Off</v>
      </c>
      <c r="AA34" s="9">
        <f>VLOOKUP(D34,'AnimalInventory - PetPoint'!$D:$AK,19,FALSE)</f>
        <v>45896.468055555553</v>
      </c>
      <c r="AB34" s="9">
        <f>VLOOKUP(D34,'AnimalInventory - PetPoint'!$D:$AK,21,FALSE)</f>
        <v>45891.468055555553</v>
      </c>
      <c r="AC34">
        <f>VLOOKUP(D34,'AnimalInventory - PetPoint'!$D:$AK,22,FALSE)</f>
        <v>87.3</v>
      </c>
      <c r="AD34">
        <f>VLOOKUP(D34,'AnimalInventory - PetPoint'!$D:$AK,23,FALSE)</f>
        <v>0</v>
      </c>
      <c r="AE34" t="str">
        <f>VLOOKUP(D34,'AnimalInventory - PetPoint'!$D:$AK,25,FALSE)</f>
        <v>44.00 pound</v>
      </c>
      <c r="AF34">
        <f>VLOOKUP(D34,'AnimalInventory - PetPoint'!$D:$AK,28,FALSE)</f>
        <v>3</v>
      </c>
      <c r="AG34" t="str">
        <f>VLOOKUP(D34,'PreTreat DogTraffic'!$B:$I,2,FALSE)</f>
        <v>409</v>
      </c>
      <c r="AH34" t="str">
        <f>VLOOKUP(D34,'PreTreat DogTraffic'!$B:$I,3,FALSE)</f>
        <v>942</v>
      </c>
      <c r="AI34" t="str">
        <f>VLOOKUP(D34,'PreTreat DogTraffic'!$B:$I,4,FALSE)</f>
        <v>1,061</v>
      </c>
      <c r="AJ34" t="str">
        <f>VLOOKUP(D34,'PreTreat DogTraffic'!$B:$I,5,FALSE)</f>
        <v>10</v>
      </c>
      <c r="AK34" t="str">
        <f>VLOOKUP(D34,'PreTreat DogTraffic'!$B:$I,6,FALSE)</f>
        <v>52</v>
      </c>
      <c r="AL34" t="str">
        <f>VLOOKUP(D34,'PreTreat DogTraffic'!$B:$I,7,FALSE)</f>
        <v>110</v>
      </c>
      <c r="AM34" t="str">
        <f>VLOOKUP(D34,'PreTreat DogTraffic'!$B:$I,8,FALSE)</f>
        <v>2.4%</v>
      </c>
    </row>
    <row r="35" spans="1:39" x14ac:dyDescent="0.2">
      <c r="A35" t="str">
        <f>IF(D35="","",IFERROR(VLOOKUP(D35,REMOVED!$A:$D,3,FALSE),IFERROR(VLOOKUP(D35,OUTCOME!$A:$C,3,FALSE),"Yes")))</f>
        <v>Yes</v>
      </c>
      <c r="B35" t="str">
        <f>VLOOKUP(D35,'Experiment Tracker'!$B:$C,2,FALSE)</f>
        <v>Royal</v>
      </c>
      <c r="C35">
        <v>45764080</v>
      </c>
      <c r="D35" t="s">
        <v>355</v>
      </c>
      <c r="E35" t="str">
        <f>VLOOKUP(D35,'All - AdoptAPet'!$B:$AE,2,FALSE)</f>
        <v>Royal</v>
      </c>
      <c r="F35" t="str">
        <f>VLOOKUP(D35,'All - PetPoint'!$B:$Q,7,FALSE)</f>
        <v>Royal</v>
      </c>
      <c r="G35" t="str">
        <f>VLOOKUP(D35,'AnimalInventory - PetPoint'!$D:$AK,2,FALSE)</f>
        <v>Royal</v>
      </c>
      <c r="H35" t="str">
        <f>VLOOKUP(D35,'All - AdoptAPet'!$B:$AE,7,FALSE)</f>
        <v>American Pit Bull Terrier</v>
      </c>
      <c r="I35" t="str">
        <f>VLOOKUP(D35,'All - AdoptAPet'!$B:$AE,8,FALSE)</f>
        <v>American Staffordshire Terrier</v>
      </c>
      <c r="J35" t="str">
        <f>VLOOKUP(D35,'All - AdoptAPet'!$B:$AE,9,FALSE)</f>
        <v>Red/Golden/Orange/Chestnut - with White</v>
      </c>
      <c r="K35" t="str">
        <f>VLOOKUP(D35,'All - AdoptAPet'!$B:$AE,10,FALSE)</f>
        <v>female</v>
      </c>
      <c r="L35" t="str">
        <f>VLOOKUP(D35,'All - AdoptAPet'!$B:$AE,11,FALSE)</f>
        <v>adult</v>
      </c>
      <c r="M35" t="str">
        <f>VLOOKUP(D35,'All - AdoptAPet'!$B:$AE,12,FALSE)</f>
        <v>Med. 26-60 lbs (12-27 kg)</v>
      </c>
      <c r="N35" t="str">
        <f>VLOOKUP(D35,'All - AdoptAPet'!$B:$AE,14,FALSE)</f>
        <v>Yes</v>
      </c>
      <c r="O35" t="str">
        <f>VLOOKUP(D35,'All - AdoptAPet'!$B:$AE,15,FALSE)</f>
        <v>Yes</v>
      </c>
      <c r="P35" t="str">
        <f>VLOOKUP(D35,'All - AdoptAPet'!$B:$AE,16,FALSE)</f>
        <v>Yes</v>
      </c>
      <c r="Q35" t="str">
        <f>VLOOKUP(D35,'All - AdoptAPet'!$B:$AE,17,FALSE)</f>
        <v>No</v>
      </c>
      <c r="R35" t="str">
        <f>VLOOKUP(D35,'All - AdoptAPet'!$B:$AE,19,FALSE)</f>
        <v>No</v>
      </c>
      <c r="S35" t="str">
        <f>VLOOKUP(D35,'All - AdoptAPet'!$B:$AE,20,FALSE)</f>
        <v>Yes</v>
      </c>
      <c r="T35" t="str">
        <f>VLOOKUP(D35,'All - AdoptAPet'!$B:$AE,21,FALSE)</f>
        <v>Yes</v>
      </c>
      <c r="U35" t="str">
        <f>VLOOKUP(D35,'All - AdoptAPet'!$B:$AE,22,FALSE)</f>
        <v>Unknown</v>
      </c>
      <c r="V35" t="str">
        <f>IF(VLOOKUP(D35,'All - AdoptAPet'!$B:$AE,23,FALSE)="","No", "Yes")</f>
        <v>No</v>
      </c>
      <c r="W35" t="str">
        <f>VLOOKUP(D35,'All - PetPoint'!$B:$Q,4,FALSE)</f>
        <v>Available</v>
      </c>
      <c r="X35" t="str">
        <f>VLOOKUP(D35,'All - PetPoint'!$B:$Q,11,FALSE)</f>
        <v>Tan</v>
      </c>
      <c r="Y35" t="str">
        <f>VLOOKUP(D35,'All - PetPoint'!$B:$Q,14,FALSE)</f>
        <v>Adoption Kennels</v>
      </c>
      <c r="Z35" t="str">
        <f>VLOOKUP(D35,'AnimalInventory - PetPoint'!$D:$AK,9,FALSE)</f>
        <v>Stray/Public Drop Off</v>
      </c>
      <c r="AA35" s="9">
        <f>VLOOKUP(D35,'AnimalInventory - PetPoint'!$D:$AK,19,FALSE)</f>
        <v>45882.565972222219</v>
      </c>
      <c r="AB35" s="9">
        <f>VLOOKUP(D35,'AnimalInventory - PetPoint'!$D:$AK,21,FALSE)</f>
        <v>45877.565972222219</v>
      </c>
      <c r="AC35">
        <f>VLOOKUP(D35,'AnimalInventory - PetPoint'!$D:$AK,22,FALSE)</f>
        <v>101.2</v>
      </c>
      <c r="AD35">
        <f>VLOOKUP(D35,'AnimalInventory - PetPoint'!$D:$AK,23,FALSE)</f>
        <v>0</v>
      </c>
      <c r="AE35" t="str">
        <f>VLOOKUP(D35,'AnimalInventory - PetPoint'!$D:$AK,25,FALSE)</f>
        <v>51.00 pound</v>
      </c>
      <c r="AF35">
        <f>VLOOKUP(D35,'AnimalInventory - PetPoint'!$D:$AK,28,FALSE)</f>
        <v>3</v>
      </c>
      <c r="AG35" t="str">
        <f>VLOOKUP(D35,'PreTreat DogTraffic'!$B:$I,2,FALSE)</f>
        <v>233</v>
      </c>
      <c r="AH35" t="str">
        <f>VLOOKUP(D35,'PreTreat DogTraffic'!$B:$I,3,FALSE)</f>
        <v>589</v>
      </c>
      <c r="AI35" t="str">
        <f>VLOOKUP(D35,'PreTreat DogTraffic'!$B:$I,4,FALSE)</f>
        <v>684</v>
      </c>
      <c r="AJ35" t="str">
        <f>VLOOKUP(D35,'PreTreat DogTraffic'!$B:$I,5,FALSE)</f>
        <v>3</v>
      </c>
      <c r="AK35" t="str">
        <f>VLOOKUP(D35,'PreTreat DogTraffic'!$B:$I,6,FALSE)</f>
        <v>18</v>
      </c>
      <c r="AL35" t="str">
        <f>VLOOKUP(D35,'PreTreat DogTraffic'!$B:$I,7,FALSE)</f>
        <v>44</v>
      </c>
      <c r="AM35" t="str">
        <f>VLOOKUP(D35,'PreTreat DogTraffic'!$B:$I,8,FALSE)</f>
        <v>1.3%</v>
      </c>
    </row>
    <row r="36" spans="1:39" x14ac:dyDescent="0.2">
      <c r="A36" t="str">
        <f>IF(D36="","",IFERROR(VLOOKUP(D36,REMOVED!$A:$D,3,FALSE),IFERROR(VLOOKUP(D36,OUTCOME!$A:$C,3,FALSE),"Yes")))</f>
        <v>Yes</v>
      </c>
      <c r="B36" t="str">
        <f>VLOOKUP(D36,'Experiment Tracker'!$B:$C,2,FALSE)</f>
        <v>Cheech</v>
      </c>
      <c r="C36">
        <v>45970439</v>
      </c>
      <c r="D36" t="s">
        <v>370</v>
      </c>
      <c r="E36" t="str">
        <f>VLOOKUP(D36,'All - AdoptAPet'!$B:$AE,2,FALSE)</f>
        <v>Cheech [Foster Home]</v>
      </c>
      <c r="F36" t="str">
        <f>VLOOKUP(D36,'All - PetPoint'!$B:$Q,7,FALSE)</f>
        <v>Cheech (S. Lydick)</v>
      </c>
      <c r="G36" t="str">
        <f>VLOOKUP(D36,'AnimalInventory - PetPoint'!$D:$AK,2,FALSE)</f>
        <v>Cheech (S. Lydick)</v>
      </c>
      <c r="H36" t="str">
        <f>VLOOKUP(D36,'All - AdoptAPet'!$B:$AE,7,FALSE)</f>
        <v>Black Mouth Cur</v>
      </c>
      <c r="I36" t="str">
        <f>VLOOKUP(D36,'All - AdoptAPet'!$B:$AE,8,FALSE)</f>
        <v>American Staffordshire Terrier</v>
      </c>
      <c r="J36" t="str">
        <f>VLOOKUP(D36,'All - AdoptAPet'!$B:$AE,9,FALSE)</f>
        <v>Tan/Yellow/Fawn - with Black</v>
      </c>
      <c r="K36" t="str">
        <f>VLOOKUP(D36,'All - AdoptAPet'!$B:$AE,10,FALSE)</f>
        <v>male</v>
      </c>
      <c r="L36" t="str">
        <f>VLOOKUP(D36,'All - AdoptAPet'!$B:$AE,11,FALSE)</f>
        <v>young</v>
      </c>
      <c r="M36" t="str">
        <f>VLOOKUP(D36,'All - AdoptAPet'!$B:$AE,12,FALSE)</f>
        <v>Med. 26-60 lbs (12-27 kg)</v>
      </c>
      <c r="N36" t="str">
        <f>VLOOKUP(D36,'All - AdoptAPet'!$B:$AE,14,FALSE)</f>
        <v>Yes</v>
      </c>
      <c r="O36" t="str">
        <f>VLOOKUP(D36,'All - AdoptAPet'!$B:$AE,15,FALSE)</f>
        <v>Yes</v>
      </c>
      <c r="P36" t="str">
        <f>VLOOKUP(D36,'All - AdoptAPet'!$B:$AE,16,FALSE)</f>
        <v>Yes</v>
      </c>
      <c r="Q36" t="str">
        <f>VLOOKUP(D36,'All - AdoptAPet'!$B:$AE,17,FALSE)</f>
        <v>No</v>
      </c>
      <c r="R36" t="str">
        <f>VLOOKUP(D36,'All - AdoptAPet'!$B:$AE,19,FALSE)</f>
        <v>No</v>
      </c>
      <c r="S36" t="str">
        <f>VLOOKUP(D36,'All - AdoptAPet'!$B:$AE,20,FALSE)</f>
        <v>Yes</v>
      </c>
      <c r="T36" t="str">
        <f>VLOOKUP(D36,'All - AdoptAPet'!$B:$AE,21,FALSE)</f>
        <v>Yes</v>
      </c>
      <c r="U36" t="str">
        <f>VLOOKUP(D36,'All - AdoptAPet'!$B:$AE,22,FALSE)</f>
        <v>Unknown</v>
      </c>
      <c r="V36" t="str">
        <f>IF(VLOOKUP(D36,'All - AdoptAPet'!$B:$AE,23,FALSE)="","No", "Yes")</f>
        <v>Yes</v>
      </c>
      <c r="W36" t="str">
        <f>VLOOKUP(D36,'All - PetPoint'!$B:$Q,4,FALSE)</f>
        <v>Available</v>
      </c>
      <c r="X36" t="str">
        <f>VLOOKUP(D36,'All - PetPoint'!$B:$Q,11,FALSE)</f>
        <v>Tan</v>
      </c>
      <c r="Y36" t="str">
        <f>VLOOKUP(D36,'All - PetPoint'!$B:$Q,14,FALSE)</f>
        <v>Foster home</v>
      </c>
      <c r="Z36" t="str">
        <f>VLOOKUP(D36,'AnimalInventory - PetPoint'!$D:$AK,9,FALSE)</f>
        <v>Stray/ACO Pickup / Drop Off</v>
      </c>
      <c r="AA36" s="9">
        <f>VLOOKUP(D36,'AnimalInventory - PetPoint'!$D:$AK,19,FALSE)</f>
        <v>45900.475694444445</v>
      </c>
      <c r="AB36" s="9">
        <f>VLOOKUP(D36,'AnimalInventory - PetPoint'!$D:$AK,21,FALSE)</f>
        <v>45895.475694444445</v>
      </c>
      <c r="AC36">
        <f>VLOOKUP(D36,'AnimalInventory - PetPoint'!$D:$AK,22,FALSE)</f>
        <v>83.3</v>
      </c>
      <c r="AD36">
        <f>VLOOKUP(D36,'AnimalInventory - PetPoint'!$D:$AK,23,FALSE)</f>
        <v>0</v>
      </c>
      <c r="AE36" t="str">
        <f>VLOOKUP(D36,'AnimalInventory - PetPoint'!$D:$AK,25,FALSE)</f>
        <v>44.00 pound</v>
      </c>
      <c r="AF36">
        <f>VLOOKUP(D36,'AnimalInventory - PetPoint'!$D:$AK,28,FALSE)</f>
        <v>3</v>
      </c>
      <c r="AG36" t="str">
        <f>VLOOKUP(D36,'PreTreat DogTraffic'!$B:$I,2,FALSE)</f>
        <v>284</v>
      </c>
      <c r="AH36" t="str">
        <f>VLOOKUP(D36,'PreTreat DogTraffic'!$B:$I,3,FALSE)</f>
        <v>630</v>
      </c>
      <c r="AI36" t="str">
        <f>VLOOKUP(D36,'PreTreat DogTraffic'!$B:$I,4,FALSE)</f>
        <v>630</v>
      </c>
      <c r="AJ36" t="str">
        <f>VLOOKUP(D36,'PreTreat DogTraffic'!$B:$I,5,FALSE)</f>
        <v>15</v>
      </c>
      <c r="AK36" t="str">
        <f>VLOOKUP(D36,'PreTreat DogTraffic'!$B:$I,6,FALSE)</f>
        <v>60</v>
      </c>
      <c r="AL36" t="str">
        <f>VLOOKUP(D36,'PreTreat DogTraffic'!$B:$I,7,FALSE)</f>
        <v>60</v>
      </c>
      <c r="AM36" t="str">
        <f>VLOOKUP(D36,'PreTreat DogTraffic'!$B:$I,8,FALSE)</f>
        <v>5.3%</v>
      </c>
    </row>
    <row r="37" spans="1:39" hidden="1" x14ac:dyDescent="0.2">
      <c r="A37" t="str">
        <f>IF(D37="","",IFERROR(VLOOKUP(D37,REMOVED!$A:$D,3,FALSE),IFERROR(VLOOKUP(D37,OUTCOME!$A:$C,3,FALSE),"Yes")))</f>
        <v>Foster To Adopt</v>
      </c>
      <c r="B37" t="str">
        <f>VLOOKUP(D37,'Experiment Tracker'!$B:$C,2,FALSE)</f>
        <v>Claudia</v>
      </c>
      <c r="C37">
        <v>45968065</v>
      </c>
      <c r="D37" t="s">
        <v>377</v>
      </c>
      <c r="E37" t="str">
        <f>VLOOKUP(D37,'All - AdoptAPet'!$B:$AE,2,FALSE)</f>
        <v>Claudia [Foster To Adopt]</v>
      </c>
      <c r="F37" t="e">
        <f>VLOOKUP(D37,'All - PetPoint'!$B:$Q,7,FALSE)</f>
        <v>#N/A</v>
      </c>
      <c r="G37" t="e">
        <f>VLOOKUP(D37,'AnimalInventory - PetPoint'!$D:$AK,2,FALSE)</f>
        <v>#N/A</v>
      </c>
      <c r="H37" t="str">
        <f>VLOOKUP(D37,'All - AdoptAPet'!$B:$AE,7,FALSE)</f>
        <v>American Pit Bull Terrier</v>
      </c>
      <c r="I37" t="str">
        <f>VLOOKUP(D37,'All - AdoptAPet'!$B:$AE,8,FALSE)</f>
        <v>Labrador Retriever</v>
      </c>
      <c r="J37" t="str">
        <f>VLOOKUP(D37,'All - AdoptAPet'!$B:$AE,9,FALSE)</f>
        <v>White - with Tan, Yellow or Fawn</v>
      </c>
      <c r="K37" t="str">
        <f>VLOOKUP(D37,'All - AdoptAPet'!$B:$AE,10,FALSE)</f>
        <v>female</v>
      </c>
      <c r="L37" t="str">
        <f>VLOOKUP(D37,'All - AdoptAPet'!$B:$AE,11,FALSE)</f>
        <v>young</v>
      </c>
      <c r="M37" t="str">
        <f>VLOOKUP(D37,'All - AdoptAPet'!$B:$AE,12,FALSE)</f>
        <v>Med. 26-60 lbs (12-27 kg)</v>
      </c>
      <c r="N37" t="str">
        <f>VLOOKUP(D37,'All - AdoptAPet'!$B:$AE,14,FALSE)</f>
        <v>Yes</v>
      </c>
      <c r="O37" t="str">
        <f>VLOOKUP(D37,'All - AdoptAPet'!$B:$AE,15,FALSE)</f>
        <v>Yes</v>
      </c>
      <c r="P37" t="str">
        <f>VLOOKUP(D37,'All - AdoptAPet'!$B:$AE,16,FALSE)</f>
        <v>Yes</v>
      </c>
      <c r="Q37" t="str">
        <f>VLOOKUP(D37,'All - AdoptAPet'!$B:$AE,17,FALSE)</f>
        <v>No</v>
      </c>
      <c r="R37" t="str">
        <f>VLOOKUP(D37,'All - AdoptAPet'!$B:$AE,19,FALSE)</f>
        <v>No</v>
      </c>
      <c r="S37" t="str">
        <f>VLOOKUP(D37,'All - AdoptAPet'!$B:$AE,20,FALSE)</f>
        <v>Yes</v>
      </c>
      <c r="T37" t="str">
        <f>VLOOKUP(D37,'All - AdoptAPet'!$B:$AE,21,FALSE)</f>
        <v>Yes</v>
      </c>
      <c r="U37" t="str">
        <f>VLOOKUP(D37,'All - AdoptAPet'!$B:$AE,22,FALSE)</f>
        <v>Unknown</v>
      </c>
      <c r="V37" t="str">
        <f>IF(VLOOKUP(D37,'All - AdoptAPet'!$B:$AE,23,FALSE)="","No", "Yes")</f>
        <v>Yes</v>
      </c>
      <c r="W37" t="e">
        <f>VLOOKUP(D37,'All - PetPoint'!$B:$Q,4,FALSE)</f>
        <v>#N/A</v>
      </c>
      <c r="X37" t="e">
        <f>VLOOKUP(D37,'All - PetPoint'!$B:$Q,11,FALSE)</f>
        <v>#N/A</v>
      </c>
      <c r="Y37" t="e">
        <f>VLOOKUP(D37,'All - PetPoint'!$B:$Q,14,FALSE)</f>
        <v>#N/A</v>
      </c>
      <c r="Z37" t="e">
        <f>VLOOKUP(D37,'AnimalInventory - PetPoint'!$D:$AK,9,FALSE)</f>
        <v>#N/A</v>
      </c>
      <c r="AA37" s="9" t="e">
        <f>VLOOKUP(D37,'AnimalInventory - PetPoint'!$D:$AK,19,FALSE)</f>
        <v>#N/A</v>
      </c>
      <c r="AB37" s="9" t="e">
        <f>VLOOKUP(D37,'AnimalInventory - PetPoint'!$D:$AK,21,FALSE)</f>
        <v>#N/A</v>
      </c>
      <c r="AC37" t="e">
        <f>VLOOKUP(D37,'AnimalInventory - PetPoint'!$D:$AK,22,FALSE)</f>
        <v>#N/A</v>
      </c>
      <c r="AD37" t="e">
        <f>VLOOKUP(D37,'AnimalInventory - PetPoint'!$D:$AK,23,FALSE)</f>
        <v>#N/A</v>
      </c>
      <c r="AE37" t="e">
        <f>VLOOKUP(D37,'AnimalInventory - PetPoint'!$D:$AK,25,FALSE)</f>
        <v>#N/A</v>
      </c>
      <c r="AF37" t="e">
        <f>VLOOKUP(D37,'AnimalInventory - PetPoint'!$D:$AK,28,FALSE)</f>
        <v>#N/A</v>
      </c>
      <c r="AG37" t="str">
        <f>VLOOKUP(D37,'PreTreat DogTraffic'!$B:$I,2,FALSE)</f>
        <v>432</v>
      </c>
      <c r="AH37" t="str">
        <f>VLOOKUP(D37,'PreTreat DogTraffic'!$B:$I,3,FALSE)</f>
        <v>972</v>
      </c>
      <c r="AI37" t="str">
        <f>VLOOKUP(D37,'PreTreat DogTraffic'!$B:$I,4,FALSE)</f>
        <v>972</v>
      </c>
      <c r="AJ37" t="str">
        <f>VLOOKUP(D37,'PreTreat DogTraffic'!$B:$I,5,FALSE)</f>
        <v>6</v>
      </c>
      <c r="AK37" t="str">
        <f>VLOOKUP(D37,'PreTreat DogTraffic'!$B:$I,6,FALSE)</f>
        <v>64</v>
      </c>
      <c r="AL37" t="str">
        <f>VLOOKUP(D37,'PreTreat DogTraffic'!$B:$I,7,FALSE)</f>
        <v>64</v>
      </c>
      <c r="AM37" t="str">
        <f>VLOOKUP(D37,'PreTreat DogTraffic'!$B:$I,8,FALSE)</f>
        <v>1.4%</v>
      </c>
    </row>
    <row r="38" spans="1:39" x14ac:dyDescent="0.2">
      <c r="A38" t="str">
        <f>IF(D38="","",IFERROR(VLOOKUP(D38,REMOVED!$A:$D,3,FALSE),IFERROR(VLOOKUP(D38,OUTCOME!$A:$C,3,FALSE),"Yes")))</f>
        <v>Yes</v>
      </c>
      <c r="B38" t="str">
        <f>VLOOKUP(D38,'Experiment Tracker'!$B:$C,2,FALSE)</f>
        <v>Jovi</v>
      </c>
      <c r="C38">
        <v>45968028</v>
      </c>
      <c r="D38" t="s">
        <v>387</v>
      </c>
      <c r="E38" t="str">
        <f>VLOOKUP(D38,'All - AdoptAPet'!$B:$AE,2,FALSE)</f>
        <v>Jovi</v>
      </c>
      <c r="F38" t="str">
        <f>VLOOKUP(D38,'All - PetPoint'!$B:$Q,7,FALSE)</f>
        <v>Jovi</v>
      </c>
      <c r="G38" t="str">
        <f>VLOOKUP(D38,'AnimalInventory - PetPoint'!$D:$AK,2,FALSE)</f>
        <v>Jovi</v>
      </c>
      <c r="H38" t="str">
        <f>VLOOKUP(D38,'All - AdoptAPet'!$B:$AE,7,FALSE)</f>
        <v>Shepherd (Unknown Type)</v>
      </c>
      <c r="I38">
        <f>VLOOKUP(D38,'All - AdoptAPet'!$B:$AE,8,FALSE)</f>
        <v>0</v>
      </c>
      <c r="J38" t="str">
        <f>VLOOKUP(D38,'All - AdoptAPet'!$B:$AE,9,FALSE)</f>
        <v>Black - with Tan, Yellow or Fawn</v>
      </c>
      <c r="K38" t="str">
        <f>VLOOKUP(D38,'All - AdoptAPet'!$B:$AE,10,FALSE)</f>
        <v>female</v>
      </c>
      <c r="L38" t="str">
        <f>VLOOKUP(D38,'All - AdoptAPet'!$B:$AE,11,FALSE)</f>
        <v>adult</v>
      </c>
      <c r="M38" t="str">
        <f>VLOOKUP(D38,'All - AdoptAPet'!$B:$AE,12,FALSE)</f>
        <v>Med. 26-60 lbs (12-27 kg)</v>
      </c>
      <c r="N38" t="str">
        <f>VLOOKUP(D38,'All - AdoptAPet'!$B:$AE,14,FALSE)</f>
        <v>Yes</v>
      </c>
      <c r="O38" t="str">
        <f>VLOOKUP(D38,'All - AdoptAPet'!$B:$AE,15,FALSE)</f>
        <v>No</v>
      </c>
      <c r="P38" t="str">
        <f>VLOOKUP(D38,'All - AdoptAPet'!$B:$AE,16,FALSE)</f>
        <v>Yes</v>
      </c>
      <c r="Q38" t="str">
        <f>VLOOKUP(D38,'All - AdoptAPet'!$B:$AE,17,FALSE)</f>
        <v>No</v>
      </c>
      <c r="R38" t="str">
        <f>VLOOKUP(D38,'All - AdoptAPet'!$B:$AE,19,FALSE)</f>
        <v>No</v>
      </c>
      <c r="S38" t="str">
        <f>VLOOKUP(D38,'All - AdoptAPet'!$B:$AE,20,FALSE)</f>
        <v>Yes</v>
      </c>
      <c r="T38" t="str">
        <f>VLOOKUP(D38,'All - AdoptAPet'!$B:$AE,21,FALSE)</f>
        <v>Yes</v>
      </c>
      <c r="U38" t="str">
        <f>VLOOKUP(D38,'All - AdoptAPet'!$B:$AE,22,FALSE)</f>
        <v>Unknown</v>
      </c>
      <c r="V38" t="str">
        <f>IF(VLOOKUP(D38,'All - AdoptAPet'!$B:$AE,23,FALSE)="","No", "Yes")</f>
        <v>No</v>
      </c>
      <c r="W38" t="str">
        <f>VLOOKUP(D38,'All - PetPoint'!$B:$Q,4,FALSE)</f>
        <v>Available</v>
      </c>
      <c r="X38" t="str">
        <f>VLOOKUP(D38,'All - PetPoint'!$B:$Q,11,FALSE)</f>
        <v>Black</v>
      </c>
      <c r="Y38" t="str">
        <f>VLOOKUP(D38,'All - PetPoint'!$B:$Q,14,FALSE)</f>
        <v>Adoption Kennels</v>
      </c>
      <c r="Z38" t="str">
        <f>VLOOKUP(D38,'AnimalInventory - PetPoint'!$D:$AK,9,FALSE)</f>
        <v>Stray/ACO Pickup / Drop Off</v>
      </c>
      <c r="AA38" s="9">
        <f>VLOOKUP(D38,'AnimalInventory - PetPoint'!$D:$AK,19,FALSE)</f>
        <v>45860.586805555555</v>
      </c>
      <c r="AB38" s="9">
        <f>VLOOKUP(D38,'AnimalInventory - PetPoint'!$D:$AK,21,FALSE)</f>
        <v>45855.586805555555</v>
      </c>
      <c r="AC38">
        <f>VLOOKUP(D38,'AnimalInventory - PetPoint'!$D:$AK,22,FALSE)</f>
        <v>123.2</v>
      </c>
      <c r="AD38">
        <f>VLOOKUP(D38,'AnimalInventory - PetPoint'!$D:$AK,23,FALSE)</f>
        <v>0</v>
      </c>
      <c r="AE38" t="str">
        <f>VLOOKUP(D38,'AnimalInventory - PetPoint'!$D:$AK,25,FALSE)</f>
        <v>60.00 pound</v>
      </c>
      <c r="AF38">
        <f>VLOOKUP(D38,'AnimalInventory - PetPoint'!$D:$AK,28,FALSE)</f>
        <v>2</v>
      </c>
      <c r="AG38" t="str">
        <f>VLOOKUP(D38,'PreTreat DogTraffic'!$B:$I,2,FALSE)</f>
        <v>230</v>
      </c>
      <c r="AH38" t="str">
        <f>VLOOKUP(D38,'PreTreat DogTraffic'!$B:$I,3,FALSE)</f>
        <v>478</v>
      </c>
      <c r="AI38" t="str">
        <f>VLOOKUP(D38,'PreTreat DogTraffic'!$B:$I,4,FALSE)</f>
        <v>478</v>
      </c>
      <c r="AJ38" t="str">
        <f>VLOOKUP(D38,'PreTreat DogTraffic'!$B:$I,5,FALSE)</f>
        <v>2</v>
      </c>
      <c r="AK38" t="str">
        <f>VLOOKUP(D38,'PreTreat DogTraffic'!$B:$I,6,FALSE)</f>
        <v>24</v>
      </c>
      <c r="AL38" t="str">
        <f>VLOOKUP(D38,'PreTreat DogTraffic'!$B:$I,7,FALSE)</f>
        <v>24</v>
      </c>
      <c r="AM38" t="str">
        <f>VLOOKUP(D38,'PreTreat DogTraffic'!$B:$I,8,FALSE)</f>
        <v>0.9%</v>
      </c>
    </row>
    <row r="39" spans="1:39" x14ac:dyDescent="0.2">
      <c r="A39" t="str">
        <f>IF(D39="","",IFERROR(VLOOKUP(D39,REMOVED!$A:$D,3,FALSE),IFERROR(VLOOKUP(D39,OUTCOME!$A:$C,3,FALSE),"Yes")))</f>
        <v>Yes</v>
      </c>
      <c r="B39" t="str">
        <f>VLOOKUP(D39,'Experiment Tracker'!$B:$C,2,FALSE)</f>
        <v>Luca [Foster Home]</v>
      </c>
      <c r="C39">
        <v>45969286</v>
      </c>
      <c r="D39" t="s">
        <v>395</v>
      </c>
      <c r="E39" t="str">
        <f>VLOOKUP(D39,'All - AdoptAPet'!$B:$AE,2,FALSE)</f>
        <v>Luca [Foster Home]</v>
      </c>
      <c r="F39" t="str">
        <f>VLOOKUP(D39,'All - PetPoint'!$B:$Q,7,FALSE)</f>
        <v>Luca (J. Bowers)</v>
      </c>
      <c r="G39" t="str">
        <f>VLOOKUP(D39,'AnimalInventory - PetPoint'!$D:$AK,2,FALSE)</f>
        <v>Luca (J. Bowers)</v>
      </c>
      <c r="H39" t="str">
        <f>VLOOKUP(D39,'All - AdoptAPet'!$B:$AE,7,FALSE)</f>
        <v>Australian Cattle Dog</v>
      </c>
      <c r="I39" t="str">
        <f>VLOOKUP(D39,'All - AdoptAPet'!$B:$AE,8,FALSE)</f>
        <v>Blue Heeler</v>
      </c>
      <c r="J39" t="str">
        <f>VLOOKUP(D39,'All - AdoptAPet'!$B:$AE,9,FALSE)</f>
        <v>Red/Golden/Orange/Chestnut - with White</v>
      </c>
      <c r="K39" t="str">
        <f>VLOOKUP(D39,'All - AdoptAPet'!$B:$AE,10,FALSE)</f>
        <v>male</v>
      </c>
      <c r="L39" t="str">
        <f>VLOOKUP(D39,'All - AdoptAPet'!$B:$AE,11,FALSE)</f>
        <v>adult</v>
      </c>
      <c r="M39" t="str">
        <f>VLOOKUP(D39,'All - AdoptAPet'!$B:$AE,12,FALSE)</f>
        <v>Med. 26-60 lbs (12-27 kg)</v>
      </c>
      <c r="N39" t="str">
        <f>VLOOKUP(D39,'All - AdoptAPet'!$B:$AE,14,FALSE)</f>
        <v>Yes</v>
      </c>
      <c r="O39" t="str">
        <f>VLOOKUP(D39,'All - AdoptAPet'!$B:$AE,15,FALSE)</f>
        <v>Yes</v>
      </c>
      <c r="P39" t="str">
        <f>VLOOKUP(D39,'All - AdoptAPet'!$B:$AE,16,FALSE)</f>
        <v>Yes</v>
      </c>
      <c r="Q39" t="str">
        <f>VLOOKUP(D39,'All - AdoptAPet'!$B:$AE,17,FALSE)</f>
        <v>No</v>
      </c>
      <c r="R39" t="str">
        <f>VLOOKUP(D39,'All - AdoptAPet'!$B:$AE,19,FALSE)</f>
        <v>No</v>
      </c>
      <c r="S39" t="str">
        <f>VLOOKUP(D39,'All - AdoptAPet'!$B:$AE,20,FALSE)</f>
        <v>Yes</v>
      </c>
      <c r="T39" t="str">
        <f>VLOOKUP(D39,'All - AdoptAPet'!$B:$AE,21,FALSE)</f>
        <v>Yes</v>
      </c>
      <c r="U39" t="str">
        <f>VLOOKUP(D39,'All - AdoptAPet'!$B:$AE,22,FALSE)</f>
        <v>Unknown</v>
      </c>
      <c r="V39" t="str">
        <f>IF(VLOOKUP(D39,'All - AdoptAPet'!$B:$AE,23,FALSE)="","No", "Yes")</f>
        <v>No</v>
      </c>
      <c r="W39" t="str">
        <f>VLOOKUP(D39,'All - PetPoint'!$B:$Q,4,FALSE)</f>
        <v>Available</v>
      </c>
      <c r="X39" t="str">
        <f>VLOOKUP(D39,'All - PetPoint'!$B:$Q,11,FALSE)</f>
        <v>Red</v>
      </c>
      <c r="Y39" t="str">
        <f>VLOOKUP(D39,'All - PetPoint'!$B:$Q,14,FALSE)</f>
        <v>Foster home</v>
      </c>
      <c r="Z39" t="str">
        <f>VLOOKUP(D39,'AnimalInventory - PetPoint'!$D:$AK,9,FALSE)</f>
        <v>Transfer In/Coalition Partner</v>
      </c>
      <c r="AA39" s="9">
        <f>VLOOKUP(D39,'AnimalInventory - PetPoint'!$D:$AK,19,FALSE)</f>
        <v>0</v>
      </c>
      <c r="AB39" s="9">
        <f>VLOOKUP(D39,'AnimalInventory - PetPoint'!$D:$AK,21,FALSE)</f>
        <v>45923.441666666666</v>
      </c>
      <c r="AC39">
        <f>VLOOKUP(D39,'AnimalInventory - PetPoint'!$D:$AK,22,FALSE)</f>
        <v>55.3</v>
      </c>
      <c r="AD39">
        <f>VLOOKUP(D39,'AnimalInventory - PetPoint'!$D:$AK,23,FALSE)</f>
        <v>0</v>
      </c>
      <c r="AE39" t="str">
        <f>VLOOKUP(D39,'AnimalInventory - PetPoint'!$D:$AK,25,FALSE)</f>
        <v>46.00 pound</v>
      </c>
      <c r="AF39">
        <f>VLOOKUP(D39,'AnimalInventory - PetPoint'!$D:$AK,28,FALSE)</f>
        <v>2</v>
      </c>
      <c r="AG39" t="str">
        <f>VLOOKUP(D39,'PreTreat DogTraffic'!$B:$I,2,FALSE)</f>
        <v>247</v>
      </c>
      <c r="AH39" t="str">
        <f>VLOOKUP(D39,'PreTreat DogTraffic'!$B:$I,3,FALSE)</f>
        <v>521</v>
      </c>
      <c r="AI39" t="str">
        <f>VLOOKUP(D39,'PreTreat DogTraffic'!$B:$I,4,FALSE)</f>
        <v>521</v>
      </c>
      <c r="AJ39" t="str">
        <f>VLOOKUP(D39,'PreTreat DogTraffic'!$B:$I,5,FALSE)</f>
        <v>12</v>
      </c>
      <c r="AK39" t="str">
        <f>VLOOKUP(D39,'PreTreat DogTraffic'!$B:$I,6,FALSE)</f>
        <v>101</v>
      </c>
      <c r="AL39" t="str">
        <f>VLOOKUP(D39,'PreTreat DogTraffic'!$B:$I,7,FALSE)</f>
        <v>101</v>
      </c>
      <c r="AM39" t="str">
        <f>VLOOKUP(D39,'PreTreat DogTraffic'!$B:$I,8,FALSE)</f>
        <v>4.9%</v>
      </c>
    </row>
    <row r="40" spans="1:39" x14ac:dyDescent="0.2">
      <c r="A40" t="str">
        <f>IF(D40="","",IFERROR(VLOOKUP(D40,REMOVED!$A:$D,3,FALSE),IFERROR(VLOOKUP(D40,OUTCOME!$A:$C,3,FALSE),"Yes")))</f>
        <v>Yes</v>
      </c>
      <c r="B40" t="str">
        <f>VLOOKUP(D40,'Experiment Tracker'!$B:$C,2,FALSE)</f>
        <v>Mary [Foster Home]</v>
      </c>
      <c r="C40">
        <v>45969485</v>
      </c>
      <c r="D40" t="s">
        <v>403</v>
      </c>
      <c r="E40" t="str">
        <f>VLOOKUP(D40,'All - AdoptAPet'!$B:$AE,2,FALSE)</f>
        <v>Mary [Foster Home]</v>
      </c>
      <c r="F40" t="str">
        <f>VLOOKUP(D40,'All - PetPoint'!$B:$Q,7,FALSE)</f>
        <v>Mary (V. Rosenberger)</v>
      </c>
      <c r="G40" t="str">
        <f>VLOOKUP(D40,'AnimalInventory - PetPoint'!$D:$AK,2,FALSE)</f>
        <v>Mary (V. Rosenberger)</v>
      </c>
      <c r="H40" t="str">
        <f>VLOOKUP(D40,'All - AdoptAPet'!$B:$AE,7,FALSE)</f>
        <v>American Pit Bull Terrier</v>
      </c>
      <c r="I40" t="str">
        <f>VLOOKUP(D40,'All - AdoptAPet'!$B:$AE,8,FALSE)</f>
        <v>American Staffordshire Terrier</v>
      </c>
      <c r="J40" t="str">
        <f>VLOOKUP(D40,'All - AdoptAPet'!$B:$AE,9,FALSE)</f>
        <v>White</v>
      </c>
      <c r="K40" t="str">
        <f>VLOOKUP(D40,'All - AdoptAPet'!$B:$AE,10,FALSE)</f>
        <v>female</v>
      </c>
      <c r="L40" t="str">
        <f>VLOOKUP(D40,'All - AdoptAPet'!$B:$AE,11,FALSE)</f>
        <v>young</v>
      </c>
      <c r="M40" t="str">
        <f>VLOOKUP(D40,'All - AdoptAPet'!$B:$AE,12,FALSE)</f>
        <v>Med. 26-60 lbs (12-27 kg)</v>
      </c>
      <c r="N40" t="str">
        <f>VLOOKUP(D40,'All - AdoptAPet'!$B:$AE,14,FALSE)</f>
        <v>Yes</v>
      </c>
      <c r="O40" t="str">
        <f>VLOOKUP(D40,'All - AdoptAPet'!$B:$AE,15,FALSE)</f>
        <v>Yes</v>
      </c>
      <c r="P40" t="str">
        <f>VLOOKUP(D40,'All - AdoptAPet'!$B:$AE,16,FALSE)</f>
        <v>Yes</v>
      </c>
      <c r="Q40" t="str">
        <f>VLOOKUP(D40,'All - AdoptAPet'!$B:$AE,17,FALSE)</f>
        <v>No</v>
      </c>
      <c r="R40" t="str">
        <f>VLOOKUP(D40,'All - AdoptAPet'!$B:$AE,19,FALSE)</f>
        <v>No</v>
      </c>
      <c r="S40" t="str">
        <f>VLOOKUP(D40,'All - AdoptAPet'!$B:$AE,20,FALSE)</f>
        <v>Yes</v>
      </c>
      <c r="T40" t="str">
        <f>VLOOKUP(D40,'All - AdoptAPet'!$B:$AE,21,FALSE)</f>
        <v>Yes</v>
      </c>
      <c r="U40" t="str">
        <f>VLOOKUP(D40,'All - AdoptAPet'!$B:$AE,22,FALSE)</f>
        <v>Yes</v>
      </c>
      <c r="V40" t="str">
        <f>IF(VLOOKUP(D40,'All - AdoptAPet'!$B:$AE,23,FALSE)="","No", "Yes")</f>
        <v>No</v>
      </c>
      <c r="W40" t="str">
        <f>VLOOKUP(D40,'All - PetPoint'!$B:$Q,4,FALSE)</f>
        <v>Available</v>
      </c>
      <c r="X40" t="str">
        <f>VLOOKUP(D40,'All - PetPoint'!$B:$Q,11,FALSE)</f>
        <v>White</v>
      </c>
      <c r="Y40" t="str">
        <f>VLOOKUP(D40,'All - PetPoint'!$B:$Q,14,FALSE)</f>
        <v>Foster home</v>
      </c>
      <c r="Z40" t="str">
        <f>VLOOKUP(D40,'AnimalInventory - PetPoint'!$D:$AK,9,FALSE)</f>
        <v>Stray/ACO Pickup / Drop Off</v>
      </c>
      <c r="AA40" s="9">
        <f>VLOOKUP(D40,'AnimalInventory - PetPoint'!$D:$AK,19,FALSE)</f>
        <v>45901.598611111112</v>
      </c>
      <c r="AB40" s="9">
        <f>VLOOKUP(D40,'AnimalInventory - PetPoint'!$D:$AK,21,FALSE)</f>
        <v>45896.598611111112</v>
      </c>
      <c r="AC40">
        <f>VLOOKUP(D40,'AnimalInventory - PetPoint'!$D:$AK,22,FALSE)</f>
        <v>82.2</v>
      </c>
      <c r="AD40">
        <f>VLOOKUP(D40,'AnimalInventory - PetPoint'!$D:$AK,23,FALSE)</f>
        <v>0</v>
      </c>
      <c r="AE40" t="str">
        <f>VLOOKUP(D40,'AnimalInventory - PetPoint'!$D:$AK,25,FALSE)</f>
        <v>30.00 pound</v>
      </c>
      <c r="AF40">
        <f>VLOOKUP(D40,'AnimalInventory - PetPoint'!$D:$AK,28,FALSE)</f>
        <v>3</v>
      </c>
      <c r="AG40" t="str">
        <f>VLOOKUP(D40,'PreTreat DogTraffic'!$B:$I,2,FALSE)</f>
        <v>448</v>
      </c>
      <c r="AH40" t="str">
        <f>VLOOKUP(D40,'PreTreat DogTraffic'!$B:$I,3,FALSE)</f>
        <v>1,075</v>
      </c>
      <c r="AI40" t="str">
        <f>VLOOKUP(D40,'PreTreat DogTraffic'!$B:$I,4,FALSE)</f>
        <v>1,075</v>
      </c>
      <c r="AJ40" t="str">
        <f>VLOOKUP(D40,'PreTreat DogTraffic'!$B:$I,5,FALSE)</f>
        <v>18</v>
      </c>
      <c r="AK40" t="str">
        <f>VLOOKUP(D40,'PreTreat DogTraffic'!$B:$I,6,FALSE)</f>
        <v>69</v>
      </c>
      <c r="AL40" t="str">
        <f>VLOOKUP(D40,'PreTreat DogTraffic'!$B:$I,7,FALSE)</f>
        <v>69</v>
      </c>
      <c r="AM40" t="str">
        <f>VLOOKUP(D40,'PreTreat DogTraffic'!$B:$I,8,FALSE)</f>
        <v>4.0%</v>
      </c>
    </row>
    <row r="41" spans="1:39" x14ac:dyDescent="0.2">
      <c r="A41" t="str">
        <f>IF(D41="","",IFERROR(VLOOKUP(D41,REMOVED!$A:$D,3,FALSE),IFERROR(VLOOKUP(D41,OUTCOME!$A:$C,3,FALSE),"Yes")))</f>
        <v>Yes</v>
      </c>
      <c r="B41" t="str">
        <f>VLOOKUP(D41,'Experiment Tracker'!$B:$C,2,FALSE)</f>
        <v>Max</v>
      </c>
      <c r="C41">
        <v>45968036</v>
      </c>
      <c r="D41" t="s">
        <v>406</v>
      </c>
      <c r="E41" t="str">
        <f>VLOOKUP(D41,'All - AdoptAPet'!$B:$AE,2,FALSE)</f>
        <v>Max</v>
      </c>
      <c r="F41" t="str">
        <f>VLOOKUP(D41,'All - PetPoint'!$B:$Q,7,FALSE)</f>
        <v>Max</v>
      </c>
      <c r="G41" t="str">
        <f>VLOOKUP(D41,'AnimalInventory - PetPoint'!$D:$AK,2,FALSE)</f>
        <v>Max</v>
      </c>
      <c r="H41" t="str">
        <f>VLOOKUP(D41,'All - AdoptAPet'!$B:$AE,7,FALSE)</f>
        <v>Shepherd (Unknown Type)</v>
      </c>
      <c r="I41" t="str">
        <f>VLOOKUP(D41,'All - AdoptAPet'!$B:$AE,8,FALSE)</f>
        <v>Rottweiler</v>
      </c>
      <c r="J41" t="str">
        <f>VLOOKUP(D41,'All - AdoptAPet'!$B:$AE,9,FALSE)</f>
        <v>Black - with Tan, Yellow or Fawn</v>
      </c>
      <c r="K41" t="str">
        <f>VLOOKUP(D41,'All - AdoptAPet'!$B:$AE,10,FALSE)</f>
        <v>male</v>
      </c>
      <c r="L41" t="str">
        <f>VLOOKUP(D41,'All - AdoptAPet'!$B:$AE,11,FALSE)</f>
        <v>adult</v>
      </c>
      <c r="M41" t="str">
        <f>VLOOKUP(D41,'All - AdoptAPet'!$B:$AE,12,FALSE)</f>
        <v>Large 61-100 lbs (28-45 kg)</v>
      </c>
      <c r="N41" t="str">
        <f>VLOOKUP(D41,'All - AdoptAPet'!$B:$AE,14,FALSE)</f>
        <v>Yes</v>
      </c>
      <c r="O41" t="str">
        <f>VLOOKUP(D41,'All - AdoptAPet'!$B:$AE,15,FALSE)</f>
        <v>Yes</v>
      </c>
      <c r="P41" t="str">
        <f>VLOOKUP(D41,'All - AdoptAPet'!$B:$AE,16,FALSE)</f>
        <v>Yes</v>
      </c>
      <c r="Q41" t="str">
        <f>VLOOKUP(D41,'All - AdoptAPet'!$B:$AE,17,FALSE)</f>
        <v>No</v>
      </c>
      <c r="R41" t="str">
        <f>VLOOKUP(D41,'All - AdoptAPet'!$B:$AE,19,FALSE)</f>
        <v>No</v>
      </c>
      <c r="S41" t="str">
        <f>VLOOKUP(D41,'All - AdoptAPet'!$B:$AE,20,FALSE)</f>
        <v>Yes</v>
      </c>
      <c r="T41" t="str">
        <f>VLOOKUP(D41,'All - AdoptAPet'!$B:$AE,21,FALSE)</f>
        <v>Yes</v>
      </c>
      <c r="U41" t="str">
        <f>VLOOKUP(D41,'All - AdoptAPet'!$B:$AE,22,FALSE)</f>
        <v>Unknown</v>
      </c>
      <c r="V41" t="str">
        <f>IF(VLOOKUP(D41,'All - AdoptAPet'!$B:$AE,23,FALSE)="","No", "Yes")</f>
        <v>No</v>
      </c>
      <c r="W41" t="str">
        <f>VLOOKUP(D41,'All - PetPoint'!$B:$Q,4,FALSE)</f>
        <v>Available</v>
      </c>
      <c r="X41" t="str">
        <f>VLOOKUP(D41,'All - PetPoint'!$B:$Q,11,FALSE)</f>
        <v>Black</v>
      </c>
      <c r="Y41" t="str">
        <f>VLOOKUP(D41,'All - PetPoint'!$B:$Q,14,FALSE)</f>
        <v>Holding Kennel</v>
      </c>
      <c r="Z41" t="str">
        <f>VLOOKUP(D41,'AnimalInventory - PetPoint'!$D:$AK,9,FALSE)</f>
        <v>Stray/ACO Pickup / Drop Off</v>
      </c>
      <c r="AA41" s="9">
        <f>VLOOKUP(D41,'AnimalInventory - PetPoint'!$D:$AK,19,FALSE)</f>
        <v>45860.632638888892</v>
      </c>
      <c r="AB41" s="9">
        <f>VLOOKUP(D41,'AnimalInventory - PetPoint'!$D:$AK,21,FALSE)</f>
        <v>45855.632638888892</v>
      </c>
      <c r="AC41">
        <f>VLOOKUP(D41,'AnimalInventory - PetPoint'!$D:$AK,22,FALSE)</f>
        <v>123.1</v>
      </c>
      <c r="AD41">
        <f>VLOOKUP(D41,'AnimalInventory - PetPoint'!$D:$AK,23,FALSE)</f>
        <v>0</v>
      </c>
      <c r="AE41" t="str">
        <f>VLOOKUP(D41,'AnimalInventory - PetPoint'!$D:$AK,25,FALSE)</f>
        <v>75.80 pound</v>
      </c>
      <c r="AF41">
        <f>VLOOKUP(D41,'AnimalInventory - PetPoint'!$D:$AK,28,FALSE)</f>
        <v>2</v>
      </c>
      <c r="AG41" t="str">
        <f>VLOOKUP(D41,'PreTreat DogTraffic'!$B:$I,2,FALSE)</f>
        <v>197</v>
      </c>
      <c r="AH41" t="str">
        <f>VLOOKUP(D41,'PreTreat DogTraffic'!$B:$I,3,FALSE)</f>
        <v>409</v>
      </c>
      <c r="AI41" t="str">
        <f>VLOOKUP(D41,'PreTreat DogTraffic'!$B:$I,4,FALSE)</f>
        <v>409</v>
      </c>
      <c r="AJ41" t="str">
        <f>VLOOKUP(D41,'PreTreat DogTraffic'!$B:$I,5,FALSE)</f>
        <v>11</v>
      </c>
      <c r="AK41" t="str">
        <f>VLOOKUP(D41,'PreTreat DogTraffic'!$B:$I,6,FALSE)</f>
        <v>47</v>
      </c>
      <c r="AL41" t="str">
        <f>VLOOKUP(D41,'PreTreat DogTraffic'!$B:$I,7,FALSE)</f>
        <v>47</v>
      </c>
      <c r="AM41" t="str">
        <f>VLOOKUP(D41,'PreTreat DogTraffic'!$B:$I,8,FALSE)</f>
        <v>5.6%</v>
      </c>
    </row>
    <row r="42" spans="1:39" x14ac:dyDescent="0.2">
      <c r="A42" t="str">
        <f>IF(D42="","",IFERROR(VLOOKUP(D42,REMOVED!$A:$D,3,FALSE),IFERROR(VLOOKUP(D42,OUTCOME!$A:$C,3,FALSE),"Yes")))</f>
        <v>Yes</v>
      </c>
      <c r="B42" t="str">
        <f>VLOOKUP(D42,'Experiment Tracker'!$B:$C,2,FALSE)</f>
        <v>Rooster</v>
      </c>
      <c r="C42">
        <v>45970198</v>
      </c>
      <c r="D42" t="s">
        <v>414</v>
      </c>
      <c r="E42" t="str">
        <f>VLOOKUP(D42,'All - AdoptAPet'!$B:$AE,2,FALSE)</f>
        <v>Rooster [Foster Home]</v>
      </c>
      <c r="F42" t="str">
        <f>VLOOKUP(D42,'All - PetPoint'!$B:$Q,7,FALSE)</f>
        <v>Rooster (A. Douglass)</v>
      </c>
      <c r="G42" t="str">
        <f>VLOOKUP(D42,'AnimalInventory - PetPoint'!$D:$AK,2,FALSE)</f>
        <v>Rooster (A. Douglass)</v>
      </c>
      <c r="H42" t="str">
        <f>VLOOKUP(D42,'All - AdoptAPet'!$B:$AE,7,FALSE)</f>
        <v>Treeing Walker Coonhound</v>
      </c>
      <c r="I42" t="str">
        <f>VLOOKUP(D42,'All - AdoptAPet'!$B:$AE,8,FALSE)</f>
        <v>Black and Tan Coonhound</v>
      </c>
      <c r="J42" t="str">
        <f>VLOOKUP(D42,'All - AdoptAPet'!$B:$AE,9,FALSE)</f>
        <v>Black - with Tan, Yellow or Fawn</v>
      </c>
      <c r="K42" t="str">
        <f>VLOOKUP(D42,'All - AdoptAPet'!$B:$AE,10,FALSE)</f>
        <v>male</v>
      </c>
      <c r="L42" t="str">
        <f>VLOOKUP(D42,'All - AdoptAPet'!$B:$AE,11,FALSE)</f>
        <v>adult</v>
      </c>
      <c r="M42" t="str">
        <f>VLOOKUP(D42,'All - AdoptAPet'!$B:$AE,12,FALSE)</f>
        <v>Med. 26-60 lbs (12-27 kg)</v>
      </c>
      <c r="N42" t="str">
        <f>VLOOKUP(D42,'All - AdoptAPet'!$B:$AE,14,FALSE)</f>
        <v>Yes</v>
      </c>
      <c r="O42" t="str">
        <f>VLOOKUP(D42,'All - AdoptAPet'!$B:$AE,15,FALSE)</f>
        <v>Yes</v>
      </c>
      <c r="P42" t="str">
        <f>VLOOKUP(D42,'All - AdoptAPet'!$B:$AE,16,FALSE)</f>
        <v>Yes</v>
      </c>
      <c r="Q42" t="str">
        <f>VLOOKUP(D42,'All - AdoptAPet'!$B:$AE,17,FALSE)</f>
        <v>No</v>
      </c>
      <c r="R42" t="str">
        <f>VLOOKUP(D42,'All - AdoptAPet'!$B:$AE,19,FALSE)</f>
        <v>No</v>
      </c>
      <c r="S42" t="str">
        <f>VLOOKUP(D42,'All - AdoptAPet'!$B:$AE,20,FALSE)</f>
        <v>Yes</v>
      </c>
      <c r="T42" t="str">
        <f>VLOOKUP(D42,'All - AdoptAPet'!$B:$AE,21,FALSE)</f>
        <v>Yes</v>
      </c>
      <c r="U42" t="str">
        <f>VLOOKUP(D42,'All - AdoptAPet'!$B:$AE,22,FALSE)</f>
        <v>Unknown</v>
      </c>
      <c r="V42" t="str">
        <f>IF(VLOOKUP(D42,'All - AdoptAPet'!$B:$AE,23,FALSE)="","No", "Yes")</f>
        <v>No</v>
      </c>
      <c r="W42" t="str">
        <f>VLOOKUP(D42,'All - PetPoint'!$B:$Q,4,FALSE)</f>
        <v>Available</v>
      </c>
      <c r="X42" t="str">
        <f>VLOOKUP(D42,'All - PetPoint'!$B:$Q,11,FALSE)</f>
        <v>Black</v>
      </c>
      <c r="Y42" t="str">
        <f>VLOOKUP(D42,'All - PetPoint'!$B:$Q,14,FALSE)</f>
        <v>Foster home</v>
      </c>
      <c r="Z42" t="str">
        <f>VLOOKUP(D42,'AnimalInventory - PetPoint'!$D:$AK,9,FALSE)</f>
        <v>Stray/Public Drop Off</v>
      </c>
      <c r="AA42" s="9">
        <f>VLOOKUP(D42,'AnimalInventory - PetPoint'!$D:$AK,19,FALSE)</f>
        <v>45913.538888888892</v>
      </c>
      <c r="AB42" s="9">
        <f>VLOOKUP(D42,'AnimalInventory - PetPoint'!$D:$AK,21,FALSE)</f>
        <v>45908.538888888892</v>
      </c>
      <c r="AC42">
        <f>VLOOKUP(D42,'AnimalInventory - PetPoint'!$D:$AK,22,FALSE)</f>
        <v>70.3</v>
      </c>
      <c r="AD42">
        <f>VLOOKUP(D42,'AnimalInventory - PetPoint'!$D:$AK,23,FALSE)</f>
        <v>0</v>
      </c>
      <c r="AE42" t="str">
        <f>VLOOKUP(D42,'AnimalInventory - PetPoint'!$D:$AK,25,FALSE)</f>
        <v>44.00 pound</v>
      </c>
      <c r="AF42">
        <f>VLOOKUP(D42,'AnimalInventory - PetPoint'!$D:$AK,28,FALSE)</f>
        <v>2</v>
      </c>
      <c r="AG42" t="str">
        <f>VLOOKUP(D42,'PreTreat DogTraffic'!$B:$I,2,FALSE)</f>
        <v>397</v>
      </c>
      <c r="AH42" t="str">
        <f>VLOOKUP(D42,'PreTreat DogTraffic'!$B:$I,3,FALSE)</f>
        <v>810</v>
      </c>
      <c r="AI42" t="str">
        <f>VLOOKUP(D42,'PreTreat DogTraffic'!$B:$I,4,FALSE)</f>
        <v>810</v>
      </c>
      <c r="AJ42" t="str">
        <f>VLOOKUP(D42,'PreTreat DogTraffic'!$B:$I,5,FALSE)</f>
        <v>33</v>
      </c>
      <c r="AK42" t="str">
        <f>VLOOKUP(D42,'PreTreat DogTraffic'!$B:$I,6,FALSE)</f>
        <v>99</v>
      </c>
      <c r="AL42" t="str">
        <f>VLOOKUP(D42,'PreTreat DogTraffic'!$B:$I,7,FALSE)</f>
        <v>99</v>
      </c>
      <c r="AM42" t="str">
        <f>VLOOKUP(D42,'PreTreat DogTraffic'!$B:$I,8,FALSE)</f>
        <v>8.3%</v>
      </c>
    </row>
    <row r="43" spans="1:39" x14ac:dyDescent="0.2">
      <c r="A43" t="str">
        <f>IF(D43="","",IFERROR(VLOOKUP(D43,REMOVED!$A:$D,3,FALSE),IFERROR(VLOOKUP(D43,OUTCOME!$A:$C,3,FALSE),"Yes")))</f>
        <v>Yes</v>
      </c>
      <c r="B43" t="str">
        <f>VLOOKUP(D43,'Experiment Tracker'!$B:$C,2,FALSE)</f>
        <v>Shells [Foster Home]</v>
      </c>
      <c r="C43">
        <v>45969530</v>
      </c>
      <c r="D43" t="s">
        <v>422</v>
      </c>
      <c r="E43" t="str">
        <f>VLOOKUP(D43,'All - AdoptAPet'!$B:$AE,2,FALSE)</f>
        <v>Shells [Foster Home]</v>
      </c>
      <c r="F43" t="str">
        <f>VLOOKUP(D43,'All - PetPoint'!$B:$Q,7,FALSE)</f>
        <v>Shells (P Frank)</v>
      </c>
      <c r="G43" t="str">
        <f>VLOOKUP(D43,'AnimalInventory - PetPoint'!$D:$AK,2,FALSE)</f>
        <v>Shells (P Frank)</v>
      </c>
      <c r="H43" t="str">
        <f>VLOOKUP(D43,'All - AdoptAPet'!$B:$AE,7,FALSE)</f>
        <v>American Staffordshire Terrier</v>
      </c>
      <c r="I43">
        <f>VLOOKUP(D43,'All - AdoptAPet'!$B:$AE,8,FALSE)</f>
        <v>0</v>
      </c>
      <c r="J43" t="str">
        <f>VLOOKUP(D43,'All - AdoptAPet'!$B:$AE,9,FALSE)</f>
        <v>Tan/Yellow/Fawn</v>
      </c>
      <c r="K43" t="str">
        <f>VLOOKUP(D43,'All - AdoptAPet'!$B:$AE,10,FALSE)</f>
        <v>female</v>
      </c>
      <c r="L43" t="str">
        <f>VLOOKUP(D43,'All - AdoptAPet'!$B:$AE,11,FALSE)</f>
        <v>adult</v>
      </c>
      <c r="M43" t="str">
        <f>VLOOKUP(D43,'All - AdoptAPet'!$B:$AE,12,FALSE)</f>
        <v>Med. 26-60 lbs (12-27 kg)</v>
      </c>
      <c r="N43" t="str">
        <f>VLOOKUP(D43,'All - AdoptAPet'!$B:$AE,14,FALSE)</f>
        <v>Yes</v>
      </c>
      <c r="O43" t="str">
        <f>VLOOKUP(D43,'All - AdoptAPet'!$B:$AE,15,FALSE)</f>
        <v>Yes</v>
      </c>
      <c r="P43" t="str">
        <f>VLOOKUP(D43,'All - AdoptAPet'!$B:$AE,16,FALSE)</f>
        <v>Yes</v>
      </c>
      <c r="Q43" t="str">
        <f>VLOOKUP(D43,'All - AdoptAPet'!$B:$AE,17,FALSE)</f>
        <v>Yes</v>
      </c>
      <c r="R43" t="str">
        <f>VLOOKUP(D43,'All - AdoptAPet'!$B:$AE,19,FALSE)</f>
        <v>No</v>
      </c>
      <c r="S43" t="str">
        <f>VLOOKUP(D43,'All - AdoptAPet'!$B:$AE,20,FALSE)</f>
        <v>Yes</v>
      </c>
      <c r="T43" t="str">
        <f>VLOOKUP(D43,'All - AdoptAPet'!$B:$AE,21,FALSE)</f>
        <v>Yes</v>
      </c>
      <c r="U43" t="str">
        <f>VLOOKUP(D43,'All - AdoptAPet'!$B:$AE,22,FALSE)</f>
        <v>Unknown</v>
      </c>
      <c r="V43" t="str">
        <f>IF(VLOOKUP(D43,'All - AdoptAPet'!$B:$AE,23,FALSE)="","No", "Yes")</f>
        <v>Yes</v>
      </c>
      <c r="W43" t="str">
        <f>VLOOKUP(D43,'All - PetPoint'!$B:$Q,4,FALSE)</f>
        <v>Available</v>
      </c>
      <c r="X43" t="str">
        <f>VLOOKUP(D43,'All - PetPoint'!$B:$Q,11,FALSE)</f>
        <v>Brown</v>
      </c>
      <c r="Y43" t="str">
        <f>VLOOKUP(D43,'All - PetPoint'!$B:$Q,14,FALSE)</f>
        <v>Foster home</v>
      </c>
      <c r="Z43" t="str">
        <f>VLOOKUP(D43,'AnimalInventory - PetPoint'!$D:$AK,9,FALSE)</f>
        <v>Stray/Public Drop Off</v>
      </c>
      <c r="AA43" s="9">
        <f>VLOOKUP(D43,'AnimalInventory - PetPoint'!$D:$AK,19,FALSE)</f>
        <v>45902.581250000003</v>
      </c>
      <c r="AB43" s="9">
        <f>VLOOKUP(D43,'AnimalInventory - PetPoint'!$D:$AK,21,FALSE)</f>
        <v>45897.581250000003</v>
      </c>
      <c r="AC43">
        <f>VLOOKUP(D43,'AnimalInventory - PetPoint'!$D:$AK,22,FALSE)</f>
        <v>81.2</v>
      </c>
      <c r="AD43">
        <f>VLOOKUP(D43,'AnimalInventory - PetPoint'!$D:$AK,23,FALSE)</f>
        <v>0</v>
      </c>
      <c r="AE43" t="str">
        <f>VLOOKUP(D43,'AnimalInventory - PetPoint'!$D:$AK,25,FALSE)</f>
        <v>53.30 pound</v>
      </c>
      <c r="AF43">
        <f>VLOOKUP(D43,'AnimalInventory - PetPoint'!$D:$AK,28,FALSE)</f>
        <v>3</v>
      </c>
      <c r="AG43" t="str">
        <f>VLOOKUP(D43,'PreTreat DogTraffic'!$B:$I,2,FALSE)</f>
        <v>393</v>
      </c>
      <c r="AH43" t="str">
        <f>VLOOKUP(D43,'PreTreat DogTraffic'!$B:$I,3,FALSE)</f>
        <v>792</v>
      </c>
      <c r="AI43" t="str">
        <f>VLOOKUP(D43,'PreTreat DogTraffic'!$B:$I,4,FALSE)</f>
        <v>792</v>
      </c>
      <c r="AJ43" t="str">
        <f>VLOOKUP(D43,'PreTreat DogTraffic'!$B:$I,5,FALSE)</f>
        <v>4</v>
      </c>
      <c r="AK43" t="str">
        <f>VLOOKUP(D43,'PreTreat DogTraffic'!$B:$I,6,FALSE)</f>
        <v>45</v>
      </c>
      <c r="AL43" t="str">
        <f>VLOOKUP(D43,'PreTreat DogTraffic'!$B:$I,7,FALSE)</f>
        <v>45</v>
      </c>
      <c r="AM43" t="str">
        <f>VLOOKUP(D43,'PreTreat DogTraffic'!$B:$I,8,FALSE)</f>
        <v>1.0%</v>
      </c>
    </row>
    <row r="44" spans="1:39" x14ac:dyDescent="0.2">
      <c r="A44" t="str">
        <f>IF(D44="","",IFERROR(VLOOKUP(D44,REMOVED!$A:$D,3,FALSE),IFERROR(VLOOKUP(D44,OUTCOME!$A:$C,3,FALSE),"Yes")))</f>
        <v>Yes</v>
      </c>
      <c r="B44" t="str">
        <f>VLOOKUP(D44,'Experiment Tracker'!$B:$C,2,FALSE)</f>
        <v>Tramp</v>
      </c>
      <c r="C44">
        <v>45968103</v>
      </c>
      <c r="D44" t="s">
        <v>430</v>
      </c>
      <c r="E44" t="str">
        <f>VLOOKUP(D44,'All - AdoptAPet'!$B:$AE,2,FALSE)</f>
        <v>Tramp</v>
      </c>
      <c r="F44" t="str">
        <f>VLOOKUP(D44,'All - PetPoint'!$B:$Q,7,FALSE)</f>
        <v>Tramp</v>
      </c>
      <c r="G44" t="str">
        <f>VLOOKUP(D44,'AnimalInventory - PetPoint'!$D:$AK,2,FALSE)</f>
        <v>Tramp</v>
      </c>
      <c r="H44" t="str">
        <f>VLOOKUP(D44,'All - AdoptAPet'!$B:$AE,7,FALSE)</f>
        <v>American Pit Bull Terrier</v>
      </c>
      <c r="I44">
        <f>VLOOKUP(D44,'All - AdoptAPet'!$B:$AE,8,FALSE)</f>
        <v>0</v>
      </c>
      <c r="J44" t="str">
        <f>VLOOKUP(D44,'All - AdoptAPet'!$B:$AE,9,FALSE)</f>
        <v>Black</v>
      </c>
      <c r="K44" t="str">
        <f>VLOOKUP(D44,'All - AdoptAPet'!$B:$AE,10,FALSE)</f>
        <v>male</v>
      </c>
      <c r="L44" t="str">
        <f>VLOOKUP(D44,'All - AdoptAPet'!$B:$AE,11,FALSE)</f>
        <v>adult</v>
      </c>
      <c r="M44" t="str">
        <f>VLOOKUP(D44,'All - AdoptAPet'!$B:$AE,12,FALSE)</f>
        <v>Med. 26-60 lbs (12-27 kg)</v>
      </c>
      <c r="N44" t="str">
        <f>VLOOKUP(D44,'All - AdoptAPet'!$B:$AE,14,FALSE)</f>
        <v>Yes</v>
      </c>
      <c r="O44" t="str">
        <f>VLOOKUP(D44,'All - AdoptAPet'!$B:$AE,15,FALSE)</f>
        <v>Yes</v>
      </c>
      <c r="P44" t="str">
        <f>VLOOKUP(D44,'All - AdoptAPet'!$B:$AE,16,FALSE)</f>
        <v>Yes</v>
      </c>
      <c r="Q44" t="str">
        <f>VLOOKUP(D44,'All - AdoptAPet'!$B:$AE,17,FALSE)</f>
        <v>No</v>
      </c>
      <c r="R44" t="str">
        <f>VLOOKUP(D44,'All - AdoptAPet'!$B:$AE,19,FALSE)</f>
        <v>No</v>
      </c>
      <c r="S44" t="str">
        <f>VLOOKUP(D44,'All - AdoptAPet'!$B:$AE,20,FALSE)</f>
        <v>Yes</v>
      </c>
      <c r="T44" t="str">
        <f>VLOOKUP(D44,'All - AdoptAPet'!$B:$AE,21,FALSE)</f>
        <v>Yes</v>
      </c>
      <c r="U44" t="str">
        <f>VLOOKUP(D44,'All - AdoptAPet'!$B:$AE,22,FALSE)</f>
        <v>Unknown</v>
      </c>
      <c r="V44" t="str">
        <f>IF(VLOOKUP(D44,'All - AdoptAPet'!$B:$AE,23,FALSE)="","No", "Yes")</f>
        <v>No</v>
      </c>
      <c r="W44" t="str">
        <f>VLOOKUP(D44,'All - PetPoint'!$B:$Q,4,FALSE)</f>
        <v>Available</v>
      </c>
      <c r="X44" t="str">
        <f>VLOOKUP(D44,'All - PetPoint'!$B:$Q,11,FALSE)</f>
        <v>Black</v>
      </c>
      <c r="Y44" t="str">
        <f>VLOOKUP(D44,'All - PetPoint'!$B:$Q,14,FALSE)</f>
        <v>Adoption Kennels</v>
      </c>
      <c r="Z44" t="str">
        <f>VLOOKUP(D44,'AnimalInventory - PetPoint'!$D:$AK,9,FALSE)</f>
        <v>Stray/ACO Pickup / Drop Off</v>
      </c>
      <c r="AA44" s="9">
        <f>VLOOKUP(D44,'AnimalInventory - PetPoint'!$D:$AK,19,FALSE)</f>
        <v>45893.703472222223</v>
      </c>
      <c r="AB44" s="9">
        <f>VLOOKUP(D44,'AnimalInventory - PetPoint'!$D:$AK,21,FALSE)</f>
        <v>45888.703472222223</v>
      </c>
      <c r="AC44">
        <f>VLOOKUP(D44,'AnimalInventory - PetPoint'!$D:$AK,22,FALSE)</f>
        <v>90.1</v>
      </c>
      <c r="AD44">
        <f>VLOOKUP(D44,'AnimalInventory - PetPoint'!$D:$AK,23,FALSE)</f>
        <v>0</v>
      </c>
      <c r="AE44" t="str">
        <f>VLOOKUP(D44,'AnimalInventory - PetPoint'!$D:$AK,25,FALSE)</f>
        <v>55.00 pound</v>
      </c>
      <c r="AF44">
        <f>VLOOKUP(D44,'AnimalInventory - PetPoint'!$D:$AK,28,FALSE)</f>
        <v>3</v>
      </c>
      <c r="AG44" t="str">
        <f>VLOOKUP(D44,'PreTreat DogTraffic'!$B:$I,2,FALSE)</f>
        <v>211</v>
      </c>
      <c r="AH44" t="str">
        <f>VLOOKUP(D44,'PreTreat DogTraffic'!$B:$I,3,FALSE)</f>
        <v>454</v>
      </c>
      <c r="AI44" t="str">
        <f>VLOOKUP(D44,'PreTreat DogTraffic'!$B:$I,4,FALSE)</f>
        <v>454</v>
      </c>
      <c r="AJ44" t="str">
        <f>VLOOKUP(D44,'PreTreat DogTraffic'!$B:$I,5,FALSE)</f>
        <v>11</v>
      </c>
      <c r="AK44" t="str">
        <f>VLOOKUP(D44,'PreTreat DogTraffic'!$B:$I,6,FALSE)</f>
        <v>39</v>
      </c>
      <c r="AL44" t="str">
        <f>VLOOKUP(D44,'PreTreat DogTraffic'!$B:$I,7,FALSE)</f>
        <v>39</v>
      </c>
      <c r="AM44" t="str">
        <f>VLOOKUP(D44,'PreTreat DogTraffic'!$B:$I,8,FALSE)</f>
        <v>5.2%</v>
      </c>
    </row>
    <row r="45" spans="1:39" x14ac:dyDescent="0.2">
      <c r="A45" t="str">
        <f>IF(D45="","",IFERROR(VLOOKUP(D45,REMOVED!$A:$D,3,FALSE),IFERROR(VLOOKUP(D45,OUTCOME!$A:$C,3,FALSE),"Yes")))</f>
        <v>Yes</v>
      </c>
      <c r="B45" t="str">
        <f>VLOOKUP(D45,'Experiment Tracker'!$B:$C,2,FALSE)</f>
        <v>Vanna</v>
      </c>
      <c r="C45">
        <v>45968075</v>
      </c>
      <c r="D45" t="s">
        <v>435</v>
      </c>
      <c r="E45" t="str">
        <f>VLOOKUP(D45,'All - AdoptAPet'!$B:$AE,2,FALSE)</f>
        <v>Vanna</v>
      </c>
      <c r="F45" t="str">
        <f>VLOOKUP(D45,'All - PetPoint'!$B:$Q,7,FALSE)</f>
        <v>Vanna</v>
      </c>
      <c r="G45" t="str">
        <f>VLOOKUP(D45,'AnimalInventory - PetPoint'!$D:$AK,2,FALSE)</f>
        <v>Vanna</v>
      </c>
      <c r="H45" t="str">
        <f>VLOOKUP(D45,'All - AdoptAPet'!$B:$AE,7,FALSE)</f>
        <v>Whippet</v>
      </c>
      <c r="I45" t="str">
        <f>VLOOKUP(D45,'All - AdoptAPet'!$B:$AE,8,FALSE)</f>
        <v>Jack Russell Terrier</v>
      </c>
      <c r="J45" t="str">
        <f>VLOOKUP(D45,'All - AdoptAPet'!$B:$AE,9,FALSE)</f>
        <v>White</v>
      </c>
      <c r="K45" t="str">
        <f>VLOOKUP(D45,'All - AdoptAPet'!$B:$AE,10,FALSE)</f>
        <v>female</v>
      </c>
      <c r="L45" t="str">
        <f>VLOOKUP(D45,'All - AdoptAPet'!$B:$AE,11,FALSE)</f>
        <v>young</v>
      </c>
      <c r="M45" t="str">
        <f>VLOOKUP(D45,'All - AdoptAPet'!$B:$AE,12,FALSE)</f>
        <v>Med. 26-60 lbs (12-27 kg)</v>
      </c>
      <c r="N45" t="str">
        <f>VLOOKUP(D45,'All - AdoptAPet'!$B:$AE,14,FALSE)</f>
        <v>Yes</v>
      </c>
      <c r="O45" t="str">
        <f>VLOOKUP(D45,'All - AdoptAPet'!$B:$AE,15,FALSE)</f>
        <v>Yes</v>
      </c>
      <c r="P45" t="str">
        <f>VLOOKUP(D45,'All - AdoptAPet'!$B:$AE,16,FALSE)</f>
        <v>Yes</v>
      </c>
      <c r="Q45" t="str">
        <f>VLOOKUP(D45,'All - AdoptAPet'!$B:$AE,17,FALSE)</f>
        <v>No</v>
      </c>
      <c r="R45" t="str">
        <f>VLOOKUP(D45,'All - AdoptAPet'!$B:$AE,19,FALSE)</f>
        <v>No</v>
      </c>
      <c r="S45" t="str">
        <f>VLOOKUP(D45,'All - AdoptAPet'!$B:$AE,20,FALSE)</f>
        <v>Yes</v>
      </c>
      <c r="T45" t="str">
        <f>VLOOKUP(D45,'All - AdoptAPet'!$B:$AE,21,FALSE)</f>
        <v>Yes</v>
      </c>
      <c r="U45" t="str">
        <f>VLOOKUP(D45,'All - AdoptAPet'!$B:$AE,22,FALSE)</f>
        <v>Unknown</v>
      </c>
      <c r="V45" t="str">
        <f>IF(VLOOKUP(D45,'All - AdoptAPet'!$B:$AE,23,FALSE)="","No", "Yes")</f>
        <v>No</v>
      </c>
      <c r="W45" t="str">
        <f>VLOOKUP(D45,'All - PetPoint'!$B:$Q,4,FALSE)</f>
        <v>Available</v>
      </c>
      <c r="X45" t="str">
        <f>VLOOKUP(D45,'All - PetPoint'!$B:$Q,11,FALSE)</f>
        <v>White</v>
      </c>
      <c r="Y45" t="str">
        <f>VLOOKUP(D45,'All - PetPoint'!$B:$Q,14,FALSE)</f>
        <v>Adoption Kennels</v>
      </c>
      <c r="Z45" t="str">
        <f>VLOOKUP(D45,'AnimalInventory - PetPoint'!$D:$AK,9,FALSE)</f>
        <v>Seized/Court Order</v>
      </c>
      <c r="AA45" s="9">
        <f>VLOOKUP(D45,'AnimalInventory - PetPoint'!$D:$AK,19,FALSE)</f>
        <v>0</v>
      </c>
      <c r="AB45" s="9">
        <f>VLOOKUP(D45,'AnimalInventory - PetPoint'!$D:$AK,21,FALSE)</f>
        <v>45875.455555555556</v>
      </c>
      <c r="AC45">
        <f>VLOOKUP(D45,'AnimalInventory - PetPoint'!$D:$AK,22,FALSE)</f>
        <v>103.3</v>
      </c>
      <c r="AD45">
        <f>VLOOKUP(D45,'AnimalInventory - PetPoint'!$D:$AK,23,FALSE)</f>
        <v>0</v>
      </c>
      <c r="AE45" t="str">
        <f>VLOOKUP(D45,'AnimalInventory - PetPoint'!$D:$AK,25,FALSE)</f>
        <v>42.00 pound</v>
      </c>
      <c r="AF45">
        <f>VLOOKUP(D45,'AnimalInventory - PetPoint'!$D:$AK,28,FALSE)</f>
        <v>2</v>
      </c>
      <c r="AG45" t="str">
        <f>VLOOKUP(D45,'PreTreat DogTraffic'!$B:$I,2,FALSE)</f>
        <v>468</v>
      </c>
      <c r="AH45" t="str">
        <f>VLOOKUP(D45,'PreTreat DogTraffic'!$B:$I,3,FALSE)</f>
        <v>1,059</v>
      </c>
      <c r="AI45" t="str">
        <f>VLOOKUP(D45,'PreTreat DogTraffic'!$B:$I,4,FALSE)</f>
        <v>1,059</v>
      </c>
      <c r="AJ45" t="str">
        <f>VLOOKUP(D45,'PreTreat DogTraffic'!$B:$I,5,FALSE)</f>
        <v>15</v>
      </c>
      <c r="AK45" t="str">
        <f>VLOOKUP(D45,'PreTreat DogTraffic'!$B:$I,6,FALSE)</f>
        <v>79</v>
      </c>
      <c r="AL45" t="str">
        <f>VLOOKUP(D45,'PreTreat DogTraffic'!$B:$I,7,FALSE)</f>
        <v>79</v>
      </c>
      <c r="AM45" t="str">
        <f>VLOOKUP(D45,'PreTreat DogTraffic'!$B:$I,8,FALSE)</f>
        <v>3.2%</v>
      </c>
    </row>
    <row r="46" spans="1:39" x14ac:dyDescent="0.2">
      <c r="A46" t="str">
        <f>IF(D46="","",IFERROR(VLOOKUP(D46,REMOVED!$A:$D,3,FALSE),IFERROR(VLOOKUP(D46,OUTCOME!$A:$C,3,FALSE),"Yes")))</f>
        <v>Yes</v>
      </c>
      <c r="B46" t="str">
        <f>VLOOKUP(D46,'Experiment Tracker'!$B:$C,2,FALSE)</f>
        <v>Deeno</v>
      </c>
      <c r="C46">
        <v>46184787</v>
      </c>
      <c r="D46" t="s">
        <v>849</v>
      </c>
      <c r="E46" t="str">
        <f>VLOOKUP(D46,'All - AdoptAPet'!$B:$AE,2,FALSE)</f>
        <v>Deeno</v>
      </c>
      <c r="F46" t="str">
        <f>VLOOKUP(D46,'All - PetPoint'!$B:$Q,7,FALSE)</f>
        <v>Deeno (J Smiley)</v>
      </c>
      <c r="G46" t="str">
        <f>VLOOKUP(D46,'AnimalInventory - PetPoint'!$D:$AK,2,FALSE)</f>
        <v>Deeno (J Smiley)</v>
      </c>
      <c r="H46" t="str">
        <f>VLOOKUP(D46,'All - AdoptAPet'!$B:$AE,7,FALSE)</f>
        <v>Weimaraner</v>
      </c>
      <c r="I46" t="str">
        <f>VLOOKUP(D46,'All - AdoptAPet'!$B:$AE,8,FALSE)</f>
        <v>Labrador Retriever</v>
      </c>
      <c r="J46" t="str">
        <f>VLOOKUP(D46,'All - AdoptAPet'!$B:$AE,9,FALSE)</f>
        <v>Tan/Yellow/Fawn</v>
      </c>
      <c r="K46" t="str">
        <f>VLOOKUP(D46,'All - AdoptAPet'!$B:$AE,10,FALSE)</f>
        <v>male</v>
      </c>
      <c r="L46" t="str">
        <f>VLOOKUP(D46,'All - AdoptAPet'!$B:$AE,11,FALSE)</f>
        <v>adult</v>
      </c>
      <c r="M46" t="str">
        <f>VLOOKUP(D46,'All - AdoptAPet'!$B:$AE,12,FALSE)</f>
        <v>Large 61-100 lbs (28-45 kg)</v>
      </c>
      <c r="N46" t="str">
        <f>VLOOKUP(D46,'All - AdoptAPet'!$B:$AE,14,FALSE)</f>
        <v>Yes</v>
      </c>
      <c r="O46" t="str">
        <f>VLOOKUP(D46,'All - AdoptAPet'!$B:$AE,15,FALSE)</f>
        <v>Yes</v>
      </c>
      <c r="P46" t="str">
        <f>VLOOKUP(D46,'All - AdoptAPet'!$B:$AE,16,FALSE)</f>
        <v>Yes</v>
      </c>
      <c r="Q46" t="str">
        <f>VLOOKUP(D46,'All - AdoptAPet'!$B:$AE,17,FALSE)</f>
        <v>No</v>
      </c>
      <c r="R46" t="str">
        <f>VLOOKUP(D46,'All - AdoptAPet'!$B:$AE,19,FALSE)</f>
        <v>No</v>
      </c>
      <c r="S46" t="str">
        <f>VLOOKUP(D46,'All - AdoptAPet'!$B:$AE,20,FALSE)</f>
        <v>Yes</v>
      </c>
      <c r="T46" t="str">
        <f>VLOOKUP(D46,'All - AdoptAPet'!$B:$AE,21,FALSE)</f>
        <v>Yes</v>
      </c>
      <c r="U46" t="str">
        <f>VLOOKUP(D46,'All - AdoptAPet'!$B:$AE,22,FALSE)</f>
        <v>Unknown</v>
      </c>
      <c r="V46" t="str">
        <f>IF(VLOOKUP(D46,'All - AdoptAPet'!$B:$AE,23,FALSE)="","No", "Yes")</f>
        <v>Yes</v>
      </c>
      <c r="W46" t="str">
        <f>VLOOKUP(D46,'All - PetPoint'!$B:$Q,4,FALSE)</f>
        <v>Available</v>
      </c>
      <c r="X46" t="str">
        <f>VLOOKUP(D46,'All - PetPoint'!$B:$Q,11,FALSE)</f>
        <v>Grey</v>
      </c>
      <c r="Y46" t="str">
        <f>VLOOKUP(D46,'All - PetPoint'!$B:$Q,14,FALSE)</f>
        <v>Foster home</v>
      </c>
      <c r="Z46" t="str">
        <f>VLOOKUP(D46,'AnimalInventory - PetPoint'!$D:$AK,9,FALSE)</f>
        <v>Stray/ACO Pickup / Drop Off</v>
      </c>
      <c r="AA46" s="9">
        <f>VLOOKUP(D46,'AnimalInventory - PetPoint'!$D:$AK,19,FALSE)</f>
        <v>45932.762499999997</v>
      </c>
      <c r="AB46" s="9">
        <f>VLOOKUP(D46,'AnimalInventory - PetPoint'!$D:$AK,21,FALSE)</f>
        <v>45927.762499999997</v>
      </c>
      <c r="AC46">
        <f>VLOOKUP(D46,'AnimalInventory - PetPoint'!$D:$AK,22,FALSE)</f>
        <v>51</v>
      </c>
      <c r="AD46">
        <f>VLOOKUP(D46,'AnimalInventory - PetPoint'!$D:$AK,23,FALSE)</f>
        <v>0</v>
      </c>
      <c r="AE46" t="str">
        <f>VLOOKUP(D46,'AnimalInventory - PetPoint'!$D:$AK,25,FALSE)</f>
        <v>68.00 pound</v>
      </c>
      <c r="AF46">
        <f>VLOOKUP(D46,'AnimalInventory - PetPoint'!$D:$AK,28,FALSE)</f>
        <v>1</v>
      </c>
      <c r="AG46" t="str">
        <f>VLOOKUP(D46,'PreTreat DogTraffic'!$B:$I,2,FALSE)</f>
        <v>0</v>
      </c>
      <c r="AH46" t="str">
        <f>VLOOKUP(D46,'PreTreat DogTraffic'!$B:$I,3,FALSE)</f>
        <v>0</v>
      </c>
      <c r="AI46" t="str">
        <f>VLOOKUP(D46,'PreTreat DogTraffic'!$B:$I,4,FALSE)</f>
        <v>0</v>
      </c>
      <c r="AJ46" t="str">
        <f>VLOOKUP(D46,'PreTreat DogTraffic'!$B:$I,5,FALSE)</f>
        <v>0</v>
      </c>
      <c r="AK46" t="str">
        <f>VLOOKUP(D46,'PreTreat DogTraffic'!$B:$I,6,FALSE)</f>
        <v>0</v>
      </c>
      <c r="AL46" t="str">
        <f>VLOOKUP(D46,'PreTreat DogTraffic'!$B:$I,7,FALSE)</f>
        <v>0</v>
      </c>
      <c r="AM46" t="str">
        <f>VLOOKUP(D46,'PreTreat DogTraffic'!$B:$I,8,FALSE)</f>
        <v>0%</v>
      </c>
    </row>
    <row r="47" spans="1:39" x14ac:dyDescent="0.2">
      <c r="A47" t="str">
        <f>IF(D47="","",IFERROR(VLOOKUP(D47,REMOVED!$A:$D,3,FALSE),IFERROR(VLOOKUP(D47,OUTCOME!$A:$C,3,FALSE),"Yes")))</f>
        <v>Yes</v>
      </c>
      <c r="B47" t="str">
        <f>VLOOKUP(D47,'Experiment Tracker'!$B:$C,2,FALSE)</f>
        <v>Harry</v>
      </c>
      <c r="C47">
        <v>46184864</v>
      </c>
      <c r="D47" t="s">
        <v>827</v>
      </c>
      <c r="E47" t="str">
        <f>VLOOKUP(D47,'All - AdoptAPet'!$B:$AE,2,FALSE)</f>
        <v>Harry</v>
      </c>
      <c r="F47" t="str">
        <f>VLOOKUP(D47,'All - PetPoint'!$B:$Q,7,FALSE)</f>
        <v>Harry</v>
      </c>
      <c r="G47" t="str">
        <f>VLOOKUP(D47,'AnimalInventory - PetPoint'!$D:$AK,2,FALSE)</f>
        <v>Harry</v>
      </c>
      <c r="H47" t="str">
        <f>VLOOKUP(D47,'All - AdoptAPet'!$B:$AE,7,FALSE)</f>
        <v>American Pit Bull Terrier</v>
      </c>
      <c r="I47" t="str">
        <f>VLOOKUP(D47,'All - AdoptAPet'!$B:$AE,8,FALSE)</f>
        <v>Labrador Retriever</v>
      </c>
      <c r="J47" t="str">
        <f>VLOOKUP(D47,'All - AdoptAPet'!$B:$AE,9,FALSE)</f>
        <v>Black - with White</v>
      </c>
      <c r="K47" t="str">
        <f>VLOOKUP(D47,'All - AdoptAPet'!$B:$AE,10,FALSE)</f>
        <v>male</v>
      </c>
      <c r="L47" t="str">
        <f>VLOOKUP(D47,'All - AdoptAPet'!$B:$AE,11,FALSE)</f>
        <v>young</v>
      </c>
      <c r="M47" t="str">
        <f>VLOOKUP(D47,'All - AdoptAPet'!$B:$AE,12,FALSE)</f>
        <v>Med. 26-60 lbs (12-27 kg)</v>
      </c>
      <c r="N47" t="str">
        <f>VLOOKUP(D47,'All - AdoptAPet'!$B:$AE,14,FALSE)</f>
        <v>Yes</v>
      </c>
      <c r="O47" t="str">
        <f>VLOOKUP(D47,'All - AdoptAPet'!$B:$AE,15,FALSE)</f>
        <v>Yes</v>
      </c>
      <c r="P47" t="str">
        <f>VLOOKUP(D47,'All - AdoptAPet'!$B:$AE,16,FALSE)</f>
        <v>Yes</v>
      </c>
      <c r="Q47" t="str">
        <f>VLOOKUP(D47,'All - AdoptAPet'!$B:$AE,17,FALSE)</f>
        <v>No</v>
      </c>
      <c r="R47" t="str">
        <f>VLOOKUP(D47,'All - AdoptAPet'!$B:$AE,19,FALSE)</f>
        <v>No</v>
      </c>
      <c r="S47" t="str">
        <f>VLOOKUP(D47,'All - AdoptAPet'!$B:$AE,20,FALSE)</f>
        <v>Yes</v>
      </c>
      <c r="T47" t="str">
        <f>VLOOKUP(D47,'All - AdoptAPet'!$B:$AE,21,FALSE)</f>
        <v>Yes</v>
      </c>
      <c r="U47" t="str">
        <f>VLOOKUP(D47,'All - AdoptAPet'!$B:$AE,22,FALSE)</f>
        <v>Unknown</v>
      </c>
      <c r="V47" t="str">
        <f>IF(VLOOKUP(D47,'All - AdoptAPet'!$B:$AE,23,FALSE)="","No", "Yes")</f>
        <v>No</v>
      </c>
      <c r="W47" t="str">
        <f>VLOOKUP(D47,'All - PetPoint'!$B:$Q,4,FALSE)</f>
        <v>Available</v>
      </c>
      <c r="X47" t="str">
        <f>VLOOKUP(D47,'All - PetPoint'!$B:$Q,11,FALSE)</f>
        <v>Black</v>
      </c>
      <c r="Y47" t="str">
        <f>VLOOKUP(D47,'All - PetPoint'!$B:$Q,14,FALSE)</f>
        <v>Holding Kennel</v>
      </c>
      <c r="Z47" t="str">
        <f>VLOOKUP(D47,'AnimalInventory - PetPoint'!$D:$AK,9,FALSE)</f>
        <v>Stray/Public Drop Off</v>
      </c>
      <c r="AA47" s="9">
        <f>VLOOKUP(D47,'AnimalInventory - PetPoint'!$D:$AK,19,FALSE)</f>
        <v>45924.633333333331</v>
      </c>
      <c r="AB47" s="9">
        <f>VLOOKUP(D47,'AnimalInventory - PetPoint'!$D:$AK,21,FALSE)</f>
        <v>45919.633333333331</v>
      </c>
      <c r="AC47">
        <f>VLOOKUP(D47,'AnimalInventory - PetPoint'!$D:$AK,22,FALSE)</f>
        <v>59.1</v>
      </c>
      <c r="AD47">
        <f>VLOOKUP(D47,'AnimalInventory - PetPoint'!$D:$AK,23,FALSE)</f>
        <v>0</v>
      </c>
      <c r="AE47" t="str">
        <f>VLOOKUP(D47,'AnimalInventory - PetPoint'!$D:$AK,25,FALSE)</f>
        <v>46.00 pound</v>
      </c>
      <c r="AF47">
        <f>VLOOKUP(D47,'AnimalInventory - PetPoint'!$D:$AK,28,FALSE)</f>
        <v>2</v>
      </c>
      <c r="AG47" t="str">
        <f>VLOOKUP(D47,'PreTreat DogTraffic'!$B:$I,2,FALSE)</f>
        <v>0</v>
      </c>
      <c r="AH47" t="str">
        <f>VLOOKUP(D47,'PreTreat DogTraffic'!$B:$I,3,FALSE)</f>
        <v>0</v>
      </c>
      <c r="AI47" t="str">
        <f>VLOOKUP(D47,'PreTreat DogTraffic'!$B:$I,4,FALSE)</f>
        <v>0</v>
      </c>
      <c r="AJ47" t="str">
        <f>VLOOKUP(D47,'PreTreat DogTraffic'!$B:$I,5,FALSE)</f>
        <v>0</v>
      </c>
      <c r="AK47" t="str">
        <f>VLOOKUP(D47,'PreTreat DogTraffic'!$B:$I,6,FALSE)</f>
        <v>0</v>
      </c>
      <c r="AL47" t="str">
        <f>VLOOKUP(D47,'PreTreat DogTraffic'!$B:$I,7,FALSE)</f>
        <v>0</v>
      </c>
      <c r="AM47" t="str">
        <f>VLOOKUP(D47,'PreTreat DogTraffic'!$B:$I,8,FALSE)</f>
        <v>0%</v>
      </c>
    </row>
    <row r="48" spans="1:39" x14ac:dyDescent="0.2">
      <c r="A48" t="str">
        <f>IF(D48="","",IFERROR(VLOOKUP(D48,REMOVED!$A:$D,3,FALSE),IFERROR(VLOOKUP(D48,OUTCOME!$A:$C,3,FALSE),"Yes")))</f>
        <v>Yes</v>
      </c>
      <c r="B48" t="str">
        <f>VLOOKUP(D48,'Experiment Tracker'!$B:$C,2,FALSE)</f>
        <v>Hershey</v>
      </c>
      <c r="C48">
        <v>46184910</v>
      </c>
      <c r="D48" t="s">
        <v>802</v>
      </c>
      <c r="E48" t="str">
        <f>VLOOKUP(D48,'All - AdoptAPet'!$B:$AE,2,FALSE)</f>
        <v>Hershey [Foster to Adopt]</v>
      </c>
      <c r="F48" t="e">
        <f>VLOOKUP(D48,'All - PetPoint'!$B:$Q,7,FALSE)</f>
        <v>#N/A</v>
      </c>
      <c r="G48" t="e">
        <f>VLOOKUP(D48,'AnimalInventory - PetPoint'!$D:$AK,2,FALSE)</f>
        <v>#N/A</v>
      </c>
      <c r="H48" t="str">
        <f>VLOOKUP(D48,'All - AdoptAPet'!$B:$AE,7,FALSE)</f>
        <v>German Shorthaired Pointer</v>
      </c>
      <c r="I48" t="str">
        <f>VLOOKUP(D48,'All - AdoptAPet'!$B:$AE,8,FALSE)</f>
        <v>Labrador Retriever</v>
      </c>
      <c r="J48" t="str">
        <f>VLOOKUP(D48,'All - AdoptAPet'!$B:$AE,9,FALSE)</f>
        <v>Brown/Chocolate</v>
      </c>
      <c r="K48" t="str">
        <f>VLOOKUP(D48,'All - AdoptAPet'!$B:$AE,10,FALSE)</f>
        <v>male</v>
      </c>
      <c r="L48" t="str">
        <f>VLOOKUP(D48,'All - AdoptAPet'!$B:$AE,11,FALSE)</f>
        <v>young</v>
      </c>
      <c r="M48" t="str">
        <f>VLOOKUP(D48,'All - AdoptAPet'!$B:$AE,12,FALSE)</f>
        <v>Med. 26-60 lbs (12-27 kg)</v>
      </c>
      <c r="N48" t="str">
        <f>VLOOKUP(D48,'All - AdoptAPet'!$B:$AE,14,FALSE)</f>
        <v>Yes</v>
      </c>
      <c r="O48" t="str">
        <f>VLOOKUP(D48,'All - AdoptAPet'!$B:$AE,15,FALSE)</f>
        <v>Yes</v>
      </c>
      <c r="P48" t="str">
        <f>VLOOKUP(D48,'All - AdoptAPet'!$B:$AE,16,FALSE)</f>
        <v>Yes</v>
      </c>
      <c r="Q48" t="str">
        <f>VLOOKUP(D48,'All - AdoptAPet'!$B:$AE,17,FALSE)</f>
        <v>No</v>
      </c>
      <c r="R48" t="str">
        <f>VLOOKUP(D48,'All - AdoptAPet'!$B:$AE,19,FALSE)</f>
        <v>No</v>
      </c>
      <c r="S48" t="str">
        <f>VLOOKUP(D48,'All - AdoptAPet'!$B:$AE,20,FALSE)</f>
        <v>Yes</v>
      </c>
      <c r="T48" t="str">
        <f>VLOOKUP(D48,'All - AdoptAPet'!$B:$AE,21,FALSE)</f>
        <v>Yes</v>
      </c>
      <c r="U48" t="str">
        <f>VLOOKUP(D48,'All - AdoptAPet'!$B:$AE,22,FALSE)</f>
        <v>Unknown</v>
      </c>
      <c r="V48" t="str">
        <f>IF(VLOOKUP(D48,'All - AdoptAPet'!$B:$AE,23,FALSE)="","No", "Yes")</f>
        <v>Yes</v>
      </c>
      <c r="W48" t="e">
        <f>VLOOKUP(D48,'All - PetPoint'!$B:$Q,4,FALSE)</f>
        <v>#N/A</v>
      </c>
      <c r="X48" t="e">
        <f>VLOOKUP(D48,'All - PetPoint'!$B:$Q,11,FALSE)</f>
        <v>#N/A</v>
      </c>
      <c r="Y48" t="e">
        <f>VLOOKUP(D48,'All - PetPoint'!$B:$Q,14,FALSE)</f>
        <v>#N/A</v>
      </c>
      <c r="Z48" t="e">
        <f>VLOOKUP(D48,'AnimalInventory - PetPoint'!$D:$AK,9,FALSE)</f>
        <v>#N/A</v>
      </c>
      <c r="AA48" s="9" t="e">
        <f>VLOOKUP(D48,'AnimalInventory - PetPoint'!$D:$AK,19,FALSE)</f>
        <v>#N/A</v>
      </c>
      <c r="AB48" s="9" t="e">
        <f>VLOOKUP(D48,'AnimalInventory - PetPoint'!$D:$AK,21,FALSE)</f>
        <v>#N/A</v>
      </c>
      <c r="AC48" t="e">
        <f>VLOOKUP(D48,'AnimalInventory - PetPoint'!$D:$AK,22,FALSE)</f>
        <v>#N/A</v>
      </c>
      <c r="AD48" t="e">
        <f>VLOOKUP(D48,'AnimalInventory - PetPoint'!$D:$AK,23,FALSE)</f>
        <v>#N/A</v>
      </c>
      <c r="AE48" t="e">
        <f>VLOOKUP(D48,'AnimalInventory - PetPoint'!$D:$AK,25,FALSE)</f>
        <v>#N/A</v>
      </c>
      <c r="AF48" t="e">
        <f>VLOOKUP(D48,'AnimalInventory - PetPoint'!$D:$AK,28,FALSE)</f>
        <v>#N/A</v>
      </c>
      <c r="AG48" t="str">
        <f>VLOOKUP(D48,'PreTreat DogTraffic'!$B:$I,2,FALSE)</f>
        <v>0</v>
      </c>
      <c r="AH48" t="str">
        <f>VLOOKUP(D48,'PreTreat DogTraffic'!$B:$I,3,FALSE)</f>
        <v>0</v>
      </c>
      <c r="AI48" t="str">
        <f>VLOOKUP(D48,'PreTreat DogTraffic'!$B:$I,4,FALSE)</f>
        <v>0</v>
      </c>
      <c r="AJ48" t="str">
        <f>VLOOKUP(D48,'PreTreat DogTraffic'!$B:$I,5,FALSE)</f>
        <v>0</v>
      </c>
      <c r="AK48" t="str">
        <f>VLOOKUP(D48,'PreTreat DogTraffic'!$B:$I,6,FALSE)</f>
        <v>0</v>
      </c>
      <c r="AL48" t="str">
        <f>VLOOKUP(D48,'PreTreat DogTraffic'!$B:$I,7,FALSE)</f>
        <v>0</v>
      </c>
      <c r="AM48" t="str">
        <f>VLOOKUP(D48,'PreTreat DogTraffic'!$B:$I,8,FALSE)</f>
        <v>0%</v>
      </c>
    </row>
    <row r="49" spans="1:39" x14ac:dyDescent="0.2">
      <c r="A49" t="str">
        <f>IF(D49="","",IFERROR(VLOOKUP(D49,REMOVED!$A:$D,3,FALSE),IFERROR(VLOOKUP(D49,OUTCOME!$A:$C,3,FALSE),"Yes")))</f>
        <v>Yes</v>
      </c>
      <c r="B49" t="str">
        <f>VLOOKUP(D49,'Experiment Tracker'!$B:$C,2,FALSE)</f>
        <v>Reno</v>
      </c>
      <c r="C49">
        <v>46184619</v>
      </c>
      <c r="D49" t="s">
        <v>713</v>
      </c>
      <c r="E49" t="str">
        <f>VLOOKUP(D49,'All - AdoptAPet'!$B:$AE,2,FALSE)</f>
        <v>Reno</v>
      </c>
      <c r="F49" t="str">
        <f>VLOOKUP(D49,'All - PetPoint'!$B:$Q,7,FALSE)</f>
        <v>Reno (K. Carter)</v>
      </c>
      <c r="G49" t="str">
        <f>VLOOKUP(D49,'AnimalInventory - PetPoint'!$D:$AK,2,FALSE)</f>
        <v>Reno (K. Carter)</v>
      </c>
      <c r="H49" t="str">
        <f>VLOOKUP(D49,'All - AdoptAPet'!$B:$AE,7,FALSE)</f>
        <v>American Pit Bull Terrier</v>
      </c>
      <c r="I49" t="str">
        <f>VLOOKUP(D49,'All - AdoptAPet'!$B:$AE,8,FALSE)</f>
        <v>American Staffordshire Terrier</v>
      </c>
      <c r="J49" t="str">
        <f>VLOOKUP(D49,'All - AdoptAPet'!$B:$AE,9,FALSE)</f>
        <v>White - with Red, Golden, Orange or Chestnut</v>
      </c>
      <c r="K49" t="str">
        <f>VLOOKUP(D49,'All - AdoptAPet'!$B:$AE,10,FALSE)</f>
        <v>male</v>
      </c>
      <c r="L49" t="str">
        <f>VLOOKUP(D49,'All - AdoptAPet'!$B:$AE,11,FALSE)</f>
        <v>adult</v>
      </c>
      <c r="M49" t="str">
        <f>VLOOKUP(D49,'All - AdoptAPet'!$B:$AE,12,FALSE)</f>
        <v>Med. 26-60 lbs (12-27 kg)</v>
      </c>
      <c r="N49" t="str">
        <f>VLOOKUP(D49,'All - AdoptAPet'!$B:$AE,14,FALSE)</f>
        <v>Yes</v>
      </c>
      <c r="O49" t="str">
        <f>VLOOKUP(D49,'All - AdoptAPet'!$B:$AE,15,FALSE)</f>
        <v>Yes</v>
      </c>
      <c r="P49" t="str">
        <f>VLOOKUP(D49,'All - AdoptAPet'!$B:$AE,16,FALSE)</f>
        <v>Yes</v>
      </c>
      <c r="Q49" t="str">
        <f>VLOOKUP(D49,'All - AdoptAPet'!$B:$AE,17,FALSE)</f>
        <v>No</v>
      </c>
      <c r="R49" t="str">
        <f>VLOOKUP(D49,'All - AdoptAPet'!$B:$AE,19,FALSE)</f>
        <v>No</v>
      </c>
      <c r="S49" t="str">
        <f>VLOOKUP(D49,'All - AdoptAPet'!$B:$AE,20,FALSE)</f>
        <v>Yes</v>
      </c>
      <c r="T49" t="str">
        <f>VLOOKUP(D49,'All - AdoptAPet'!$B:$AE,21,FALSE)</f>
        <v>Yes</v>
      </c>
      <c r="U49" t="str">
        <f>VLOOKUP(D49,'All - AdoptAPet'!$B:$AE,22,FALSE)</f>
        <v>Unknown</v>
      </c>
      <c r="V49" t="str">
        <f>IF(VLOOKUP(D49,'All - AdoptAPet'!$B:$AE,23,FALSE)="","No", "Yes")</f>
        <v>No</v>
      </c>
      <c r="W49" t="str">
        <f>VLOOKUP(D49,'All - PetPoint'!$B:$Q,4,FALSE)</f>
        <v>Available</v>
      </c>
      <c r="X49" t="str">
        <f>VLOOKUP(D49,'All - PetPoint'!$B:$Q,11,FALSE)</f>
        <v>White</v>
      </c>
      <c r="Y49" t="str">
        <f>VLOOKUP(D49,'All - PetPoint'!$B:$Q,14,FALSE)</f>
        <v>Foster home</v>
      </c>
      <c r="Z49" t="str">
        <f>VLOOKUP(D49,'AnimalInventory - PetPoint'!$D:$AK,9,FALSE)</f>
        <v>Seized/Court Order</v>
      </c>
      <c r="AA49" s="9">
        <f>VLOOKUP(D49,'AnimalInventory - PetPoint'!$D:$AK,19,FALSE)</f>
        <v>0</v>
      </c>
      <c r="AB49" s="9">
        <f>VLOOKUP(D49,'AnimalInventory - PetPoint'!$D:$AK,21,FALSE)</f>
        <v>45875.455555555556</v>
      </c>
      <c r="AC49">
        <f>VLOOKUP(D49,'AnimalInventory - PetPoint'!$D:$AK,22,FALSE)</f>
        <v>103.3</v>
      </c>
      <c r="AD49">
        <f>VLOOKUP(D49,'AnimalInventory - PetPoint'!$D:$AK,23,FALSE)</f>
        <v>0</v>
      </c>
      <c r="AE49" t="str">
        <f>VLOOKUP(D49,'AnimalInventory - PetPoint'!$D:$AK,25,FALSE)</f>
        <v>38.60 pound</v>
      </c>
      <c r="AF49">
        <f>VLOOKUP(D49,'AnimalInventory - PetPoint'!$D:$AK,28,FALSE)</f>
        <v>2</v>
      </c>
      <c r="AG49" t="str">
        <f>VLOOKUP(D49,'PreTreat DogTraffic'!$B:$I,2,FALSE)</f>
        <v>0</v>
      </c>
      <c r="AH49" t="str">
        <f>VLOOKUP(D49,'PreTreat DogTraffic'!$B:$I,3,FALSE)</f>
        <v>0</v>
      </c>
      <c r="AI49" t="str">
        <f>VLOOKUP(D49,'PreTreat DogTraffic'!$B:$I,4,FALSE)</f>
        <v>0</v>
      </c>
      <c r="AJ49" t="str">
        <f>VLOOKUP(D49,'PreTreat DogTraffic'!$B:$I,5,FALSE)</f>
        <v>0</v>
      </c>
      <c r="AK49" t="str">
        <f>VLOOKUP(D49,'PreTreat DogTraffic'!$B:$I,6,FALSE)</f>
        <v>0</v>
      </c>
      <c r="AL49" t="str">
        <f>VLOOKUP(D49,'PreTreat DogTraffic'!$B:$I,7,FALSE)</f>
        <v>0</v>
      </c>
      <c r="AM49" t="str">
        <f>VLOOKUP(D49,'PreTreat DogTraffic'!$B:$I,8,FALSE)</f>
        <v>0%</v>
      </c>
    </row>
    <row r="50" spans="1:39" x14ac:dyDescent="0.2">
      <c r="A50" t="str">
        <f>IF(D50="","",IFERROR(VLOOKUP(D50,REMOVED!$A:$D,3,FALSE),IFERROR(VLOOKUP(D50,OUTCOME!$A:$C,3,FALSE),"Yes")))</f>
        <v>Yes</v>
      </c>
      <c r="B50" t="str">
        <f>VLOOKUP(D50,'Experiment Tracker'!$B:$C,2,FALSE)</f>
        <v>Rocky</v>
      </c>
      <c r="C50">
        <v>46185064</v>
      </c>
      <c r="D50" t="s">
        <v>834</v>
      </c>
      <c r="E50" t="str">
        <f>VLOOKUP(D50,'All - AdoptAPet'!$B:$AE,2,FALSE)</f>
        <v>Rocky</v>
      </c>
      <c r="F50" t="str">
        <f>VLOOKUP(D50,'All - PetPoint'!$B:$Q,7,FALSE)</f>
        <v>Rocky</v>
      </c>
      <c r="G50" t="str">
        <f>VLOOKUP(D50,'AnimalInventory - PetPoint'!$D:$AK,2,FALSE)</f>
        <v>Rocky</v>
      </c>
      <c r="H50" t="str">
        <f>VLOOKUP(D50,'All - AdoptAPet'!$B:$AE,7,FALSE)</f>
        <v>American Pit Bull Terrier</v>
      </c>
      <c r="I50" t="str">
        <f>VLOOKUP(D50,'All - AdoptAPet'!$B:$AE,8,FALSE)</f>
        <v>Bulldog</v>
      </c>
      <c r="J50" t="str">
        <f>VLOOKUP(D50,'All - AdoptAPet'!$B:$AE,9,FALSE)</f>
        <v>Brindle - with White</v>
      </c>
      <c r="K50" t="str">
        <f>VLOOKUP(D50,'All - AdoptAPet'!$B:$AE,10,FALSE)</f>
        <v>male</v>
      </c>
      <c r="L50" t="str">
        <f>VLOOKUP(D50,'All - AdoptAPet'!$B:$AE,11,FALSE)</f>
        <v>adult</v>
      </c>
      <c r="M50" t="str">
        <f>VLOOKUP(D50,'All - AdoptAPet'!$B:$AE,12,FALSE)</f>
        <v>Med. 26-60 lbs (12-27 kg)</v>
      </c>
      <c r="N50" t="str">
        <f>VLOOKUP(D50,'All - AdoptAPet'!$B:$AE,14,FALSE)</f>
        <v>Yes</v>
      </c>
      <c r="O50" t="str">
        <f>VLOOKUP(D50,'All - AdoptAPet'!$B:$AE,15,FALSE)</f>
        <v>Yes</v>
      </c>
      <c r="P50" t="str">
        <f>VLOOKUP(D50,'All - AdoptAPet'!$B:$AE,16,FALSE)</f>
        <v>Yes</v>
      </c>
      <c r="Q50" t="str">
        <f>VLOOKUP(D50,'All - AdoptAPet'!$B:$AE,17,FALSE)</f>
        <v>No</v>
      </c>
      <c r="R50" t="str">
        <f>VLOOKUP(D50,'All - AdoptAPet'!$B:$AE,19,FALSE)</f>
        <v>No</v>
      </c>
      <c r="S50" t="str">
        <f>VLOOKUP(D50,'All - AdoptAPet'!$B:$AE,20,FALSE)</f>
        <v>Yes</v>
      </c>
      <c r="T50" t="str">
        <f>VLOOKUP(D50,'All - AdoptAPet'!$B:$AE,21,FALSE)</f>
        <v>Yes</v>
      </c>
      <c r="U50" t="str">
        <f>VLOOKUP(D50,'All - AdoptAPet'!$B:$AE,22,FALSE)</f>
        <v>Unknown</v>
      </c>
      <c r="V50" t="str">
        <f>IF(VLOOKUP(D50,'All - AdoptAPet'!$B:$AE,23,FALSE)="","No", "Yes")</f>
        <v>Yes</v>
      </c>
      <c r="W50" t="str">
        <f>VLOOKUP(D50,'All - PetPoint'!$B:$Q,4,FALSE)</f>
        <v>Available</v>
      </c>
      <c r="X50" t="str">
        <f>VLOOKUP(D50,'All - PetPoint'!$B:$Q,11,FALSE)</f>
        <v>Brown</v>
      </c>
      <c r="Y50" t="str">
        <f>VLOOKUP(D50,'All - PetPoint'!$B:$Q,14,FALSE)</f>
        <v>Holding Kennel</v>
      </c>
      <c r="Z50" t="str">
        <f>VLOOKUP(D50,'AnimalInventory - PetPoint'!$D:$AK,9,FALSE)</f>
        <v>Stray/ACO Pickup / Drop Off</v>
      </c>
      <c r="AA50" s="9">
        <f>VLOOKUP(D50,'AnimalInventory - PetPoint'!$D:$AK,19,FALSE)</f>
        <v>45927.527083333334</v>
      </c>
      <c r="AB50" s="9">
        <f>VLOOKUP(D50,'AnimalInventory - PetPoint'!$D:$AK,21,FALSE)</f>
        <v>45922.527083333334</v>
      </c>
      <c r="AC50">
        <f>VLOOKUP(D50,'AnimalInventory - PetPoint'!$D:$AK,22,FALSE)</f>
        <v>56.3</v>
      </c>
      <c r="AD50">
        <f>VLOOKUP(D50,'AnimalInventory - PetPoint'!$D:$AK,23,FALSE)</f>
        <v>0</v>
      </c>
      <c r="AE50" t="str">
        <f>VLOOKUP(D50,'AnimalInventory - PetPoint'!$D:$AK,25,FALSE)</f>
        <v>49.00 pound</v>
      </c>
      <c r="AF50">
        <f>VLOOKUP(D50,'AnimalInventory - PetPoint'!$D:$AK,28,FALSE)</f>
        <v>2</v>
      </c>
      <c r="AG50" t="str">
        <f>VLOOKUP(D50,'PreTreat DogTraffic'!$B:$I,2,FALSE)</f>
        <v>0</v>
      </c>
      <c r="AH50" t="str">
        <f>VLOOKUP(D50,'PreTreat DogTraffic'!$B:$I,3,FALSE)</f>
        <v>0</v>
      </c>
      <c r="AI50" t="str">
        <f>VLOOKUP(D50,'PreTreat DogTraffic'!$B:$I,4,FALSE)</f>
        <v>0</v>
      </c>
      <c r="AJ50" t="str">
        <f>VLOOKUP(D50,'PreTreat DogTraffic'!$B:$I,5,FALSE)</f>
        <v>0</v>
      </c>
      <c r="AK50" t="str">
        <f>VLOOKUP(D50,'PreTreat DogTraffic'!$B:$I,6,FALSE)</f>
        <v>0</v>
      </c>
      <c r="AL50" t="str">
        <f>VLOOKUP(D50,'PreTreat DogTraffic'!$B:$I,7,FALSE)</f>
        <v>0</v>
      </c>
      <c r="AM50" t="str">
        <f>VLOOKUP(D50,'PreTreat DogTraffic'!$B:$I,8,FALSE)</f>
        <v>0%</v>
      </c>
    </row>
    <row r="51" spans="1:39" x14ac:dyDescent="0.2">
      <c r="A51" t="str">
        <f>IF(D51="","",IFERROR(VLOOKUP(D51,REMOVED!$A:$D,3,FALSE),IFERROR(VLOOKUP(D51,OUTCOME!$A:$C,3,FALSE),"Yes")))</f>
        <v>Yes</v>
      </c>
      <c r="B51" t="e">
        <f>VLOOKUP(D51,'Experiment Tracker'!$B:$C,2,FALSE)</f>
        <v>#N/A</v>
      </c>
      <c r="C51">
        <v>46336664</v>
      </c>
      <c r="D51" t="s">
        <v>796</v>
      </c>
      <c r="E51" t="str">
        <f>VLOOKUP(D51,'All - AdoptAPet'!$B:$AE,2,FALSE)</f>
        <v>Cap [Foster Home]</v>
      </c>
      <c r="F51" t="str">
        <f>VLOOKUP(D51,'All - PetPoint'!$B:$Q,7,FALSE)</f>
        <v>Cap (C. Seward)</v>
      </c>
      <c r="G51" t="str">
        <f>VLOOKUP(D51,'AnimalInventory - PetPoint'!$D:$AK,2,FALSE)</f>
        <v>Cap (C. Seward)</v>
      </c>
      <c r="H51" t="str">
        <f>VLOOKUP(D51,'All - AdoptAPet'!$B:$AE,7,FALSE)</f>
        <v>American Pit Bull Terrier</v>
      </c>
      <c r="I51">
        <f>VLOOKUP(D51,'All - AdoptAPet'!$B:$AE,8,FALSE)</f>
        <v>0</v>
      </c>
      <c r="J51" t="str">
        <f>VLOOKUP(D51,'All - AdoptAPet'!$B:$AE,9,FALSE)</f>
        <v>Brindle</v>
      </c>
      <c r="K51" t="str">
        <f>VLOOKUP(D51,'All - AdoptAPet'!$B:$AE,10,FALSE)</f>
        <v>male</v>
      </c>
      <c r="L51" t="str">
        <f>VLOOKUP(D51,'All - AdoptAPet'!$B:$AE,11,FALSE)</f>
        <v>young</v>
      </c>
      <c r="M51" t="str">
        <f>VLOOKUP(D51,'All - AdoptAPet'!$B:$AE,12,FALSE)</f>
        <v>Med. 26-60 lbs (12-27 kg)</v>
      </c>
      <c r="N51" t="str">
        <f>VLOOKUP(D51,'All - AdoptAPet'!$B:$AE,14,FALSE)</f>
        <v>Yes</v>
      </c>
      <c r="O51" t="str">
        <f>VLOOKUP(D51,'All - AdoptAPet'!$B:$AE,15,FALSE)</f>
        <v>Yes</v>
      </c>
      <c r="P51" t="str">
        <f>VLOOKUP(D51,'All - AdoptAPet'!$B:$AE,16,FALSE)</f>
        <v>Yes</v>
      </c>
      <c r="Q51" t="str">
        <f>VLOOKUP(D51,'All - AdoptAPet'!$B:$AE,17,FALSE)</f>
        <v>No</v>
      </c>
      <c r="R51" t="str">
        <f>VLOOKUP(D51,'All - AdoptAPet'!$B:$AE,19,FALSE)</f>
        <v>No</v>
      </c>
      <c r="S51" t="str">
        <f>VLOOKUP(D51,'All - AdoptAPet'!$B:$AE,20,FALSE)</f>
        <v>Unknown</v>
      </c>
      <c r="T51" t="str">
        <f>VLOOKUP(D51,'All - AdoptAPet'!$B:$AE,21,FALSE)</f>
        <v>Unknown</v>
      </c>
      <c r="U51" t="str">
        <f>VLOOKUP(D51,'All - AdoptAPet'!$B:$AE,22,FALSE)</f>
        <v>Unknown</v>
      </c>
      <c r="V51" t="str">
        <f>IF(VLOOKUP(D51,'All - AdoptAPet'!$B:$AE,23,FALSE)="","No", "Yes")</f>
        <v>No</v>
      </c>
      <c r="W51" t="str">
        <f>VLOOKUP(D51,'All - PetPoint'!$B:$Q,4,FALSE)</f>
        <v>Available</v>
      </c>
      <c r="X51" t="str">
        <f>VLOOKUP(D51,'All - PetPoint'!$B:$Q,11,FALSE)</f>
        <v>Brindle</v>
      </c>
      <c r="Y51" t="str">
        <f>VLOOKUP(D51,'All - PetPoint'!$B:$Q,14,FALSE)</f>
        <v>Foster home</v>
      </c>
      <c r="Z51" t="str">
        <f>VLOOKUP(D51,'AnimalInventory - PetPoint'!$D:$AK,9,FALSE)</f>
        <v>Stray/Public Drop Off</v>
      </c>
      <c r="AA51" s="9">
        <f>VLOOKUP(D51,'AnimalInventory - PetPoint'!$D:$AK,19,FALSE)</f>
        <v>45917.484027777777</v>
      </c>
      <c r="AB51" s="9">
        <f>VLOOKUP(D51,'AnimalInventory - PetPoint'!$D:$AK,21,FALSE)</f>
        <v>45912.484027777777</v>
      </c>
      <c r="AC51">
        <f>VLOOKUP(D51,'AnimalInventory - PetPoint'!$D:$AK,22,FALSE)</f>
        <v>66.3</v>
      </c>
      <c r="AD51">
        <f>VLOOKUP(D51,'AnimalInventory - PetPoint'!$D:$AK,23,FALSE)</f>
        <v>0</v>
      </c>
      <c r="AE51" t="str">
        <f>VLOOKUP(D51,'AnimalInventory - PetPoint'!$D:$AK,25,FALSE)</f>
        <v>28.00 pound</v>
      </c>
      <c r="AF51">
        <f>VLOOKUP(D51,'AnimalInventory - PetPoint'!$D:$AK,28,FALSE)</f>
        <v>1</v>
      </c>
      <c r="AG51" t="e">
        <f>VLOOKUP(D51,'PreTreat DogTraffic'!$B:$I,2,FALSE)</f>
        <v>#N/A</v>
      </c>
      <c r="AH51" t="e">
        <f>VLOOKUP(D51,'PreTreat DogTraffic'!$B:$I,3,FALSE)</f>
        <v>#N/A</v>
      </c>
      <c r="AI51" t="e">
        <f>VLOOKUP(D51,'PreTreat DogTraffic'!$B:$I,4,FALSE)</f>
        <v>#N/A</v>
      </c>
      <c r="AJ51" t="e">
        <f>VLOOKUP(D51,'PreTreat DogTraffic'!$B:$I,5,FALSE)</f>
        <v>#N/A</v>
      </c>
      <c r="AK51" t="e">
        <f>VLOOKUP(D51,'PreTreat DogTraffic'!$B:$I,6,FALSE)</f>
        <v>#N/A</v>
      </c>
      <c r="AL51" t="e">
        <f>VLOOKUP(D51,'PreTreat DogTraffic'!$B:$I,7,FALSE)</f>
        <v>#N/A</v>
      </c>
      <c r="AM51" t="e">
        <f>VLOOKUP(D51,'PreTreat DogTraffic'!$B:$I,8,FALSE)</f>
        <v>#N/A</v>
      </c>
    </row>
    <row r="52" spans="1:39" x14ac:dyDescent="0.2">
      <c r="A52" t="str">
        <f>IF(D52="","",IFERROR(VLOOKUP(D52,REMOVED!$A:$D,3,FALSE),IFERROR(VLOOKUP(D52,OUTCOME!$A:$C,3,FALSE),"Yes")))</f>
        <v>Yes</v>
      </c>
      <c r="B52" t="e">
        <f>VLOOKUP(D52,'Experiment Tracker'!$B:$C,2,FALSE)</f>
        <v>#N/A</v>
      </c>
      <c r="C52">
        <v>46336636</v>
      </c>
      <c r="D52" t="s">
        <v>797</v>
      </c>
      <c r="E52" t="str">
        <f>VLOOKUP(D52,'All - AdoptAPet'!$B:$AE,2,FALSE)</f>
        <v>Ranger [Foster Home]</v>
      </c>
      <c r="F52" t="str">
        <f>VLOOKUP(D52,'All - PetPoint'!$B:$Q,7,FALSE)</f>
        <v>Ranger (C. Seward)</v>
      </c>
      <c r="G52" t="str">
        <f>VLOOKUP(D52,'AnimalInventory - PetPoint'!$D:$AK,2,FALSE)</f>
        <v>Ranger (C. Seward)</v>
      </c>
      <c r="H52" t="str">
        <f>VLOOKUP(D52,'All - AdoptAPet'!$B:$AE,7,FALSE)</f>
        <v>American Pit Bull Terrier</v>
      </c>
      <c r="I52">
        <f>VLOOKUP(D52,'All - AdoptAPet'!$B:$AE,8,FALSE)</f>
        <v>0</v>
      </c>
      <c r="J52" t="str">
        <f>VLOOKUP(D52,'All - AdoptAPet'!$B:$AE,9,FALSE)</f>
        <v>Brown/Chocolate</v>
      </c>
      <c r="K52" t="str">
        <f>VLOOKUP(D52,'All - AdoptAPet'!$B:$AE,10,FALSE)</f>
        <v>male</v>
      </c>
      <c r="L52" t="str">
        <f>VLOOKUP(D52,'All - AdoptAPet'!$B:$AE,11,FALSE)</f>
        <v>young</v>
      </c>
      <c r="M52" t="str">
        <f>VLOOKUP(D52,'All - AdoptAPet'!$B:$AE,12,FALSE)</f>
        <v>Med. 26-60 lbs (12-27 kg)</v>
      </c>
      <c r="N52" t="str">
        <f>VLOOKUP(D52,'All - AdoptAPet'!$B:$AE,14,FALSE)</f>
        <v>Yes</v>
      </c>
      <c r="O52" t="str">
        <f>VLOOKUP(D52,'All - AdoptAPet'!$B:$AE,15,FALSE)</f>
        <v>Yes</v>
      </c>
      <c r="P52" t="str">
        <f>VLOOKUP(D52,'All - AdoptAPet'!$B:$AE,16,FALSE)</f>
        <v>Yes</v>
      </c>
      <c r="Q52" t="str">
        <f>VLOOKUP(D52,'All - AdoptAPet'!$B:$AE,17,FALSE)</f>
        <v>No</v>
      </c>
      <c r="R52" t="str">
        <f>VLOOKUP(D52,'All - AdoptAPet'!$B:$AE,19,FALSE)</f>
        <v>No</v>
      </c>
      <c r="S52" t="str">
        <f>VLOOKUP(D52,'All - AdoptAPet'!$B:$AE,20,FALSE)</f>
        <v>Unknown</v>
      </c>
      <c r="T52" t="str">
        <f>VLOOKUP(D52,'All - AdoptAPet'!$B:$AE,21,FALSE)</f>
        <v>Unknown</v>
      </c>
      <c r="U52" t="str">
        <f>VLOOKUP(D52,'All - AdoptAPet'!$B:$AE,22,FALSE)</f>
        <v>Unknown</v>
      </c>
      <c r="V52" t="str">
        <f>IF(VLOOKUP(D52,'All - AdoptAPet'!$B:$AE,23,FALSE)="","No", "Yes")</f>
        <v>No</v>
      </c>
      <c r="W52" t="str">
        <f>VLOOKUP(D52,'All - PetPoint'!$B:$Q,4,FALSE)</f>
        <v>Available</v>
      </c>
      <c r="X52" t="str">
        <f>VLOOKUP(D52,'All - PetPoint'!$B:$Q,11,FALSE)</f>
        <v>Brown</v>
      </c>
      <c r="Y52" t="str">
        <f>VLOOKUP(D52,'All - PetPoint'!$B:$Q,14,FALSE)</f>
        <v>Foster home</v>
      </c>
      <c r="Z52" t="str">
        <f>VLOOKUP(D52,'AnimalInventory - PetPoint'!$D:$AK,9,FALSE)</f>
        <v>Stray/Public Drop Off</v>
      </c>
      <c r="AA52" s="9">
        <f>VLOOKUP(D52,'AnimalInventory - PetPoint'!$D:$AK,19,FALSE)</f>
        <v>45917.484027777777</v>
      </c>
      <c r="AB52" s="9">
        <f>VLOOKUP(D52,'AnimalInventory - PetPoint'!$D:$AK,21,FALSE)</f>
        <v>45912.484027777777</v>
      </c>
      <c r="AC52">
        <f>VLOOKUP(D52,'AnimalInventory - PetPoint'!$D:$AK,22,FALSE)</f>
        <v>66.3</v>
      </c>
      <c r="AD52">
        <f>VLOOKUP(D52,'AnimalInventory - PetPoint'!$D:$AK,23,FALSE)</f>
        <v>0</v>
      </c>
      <c r="AE52" t="str">
        <f>VLOOKUP(D52,'AnimalInventory - PetPoint'!$D:$AK,25,FALSE)</f>
        <v>28.00 pound</v>
      </c>
      <c r="AF52">
        <f>VLOOKUP(D52,'AnimalInventory - PetPoint'!$D:$AK,28,FALSE)</f>
        <v>1</v>
      </c>
      <c r="AG52" t="e">
        <f>VLOOKUP(D52,'PreTreat DogTraffic'!$B:$I,2,FALSE)</f>
        <v>#N/A</v>
      </c>
      <c r="AH52" t="e">
        <f>VLOOKUP(D52,'PreTreat DogTraffic'!$B:$I,3,FALSE)</f>
        <v>#N/A</v>
      </c>
      <c r="AI52" t="e">
        <f>VLOOKUP(D52,'PreTreat DogTraffic'!$B:$I,4,FALSE)</f>
        <v>#N/A</v>
      </c>
      <c r="AJ52" t="e">
        <f>VLOOKUP(D52,'PreTreat DogTraffic'!$B:$I,5,FALSE)</f>
        <v>#N/A</v>
      </c>
      <c r="AK52" t="e">
        <f>VLOOKUP(D52,'PreTreat DogTraffic'!$B:$I,6,FALSE)</f>
        <v>#N/A</v>
      </c>
      <c r="AL52" t="e">
        <f>VLOOKUP(D52,'PreTreat DogTraffic'!$B:$I,7,FALSE)</f>
        <v>#N/A</v>
      </c>
      <c r="AM52" t="e">
        <f>VLOOKUP(D52,'PreTreat DogTraffic'!$B:$I,8,FALSE)</f>
        <v>#N/A</v>
      </c>
    </row>
    <row r="53" spans="1:39" x14ac:dyDescent="0.2">
      <c r="A53" t="str">
        <f>IF(D53="","",IFERROR(VLOOKUP(D53,REMOVED!$A:$D,3,FALSE),IFERROR(VLOOKUP(D53,OUTCOME!$A:$C,3,FALSE),"Yes")))</f>
        <v>Yes</v>
      </c>
      <c r="B53" t="e">
        <f>VLOOKUP(D53,'Experiment Tracker'!$B:$C,2,FALSE)</f>
        <v>#N/A</v>
      </c>
      <c r="C53">
        <v>46336682</v>
      </c>
      <c r="D53" t="s">
        <v>765</v>
      </c>
      <c r="E53" t="str">
        <f>VLOOKUP(D53,'All - AdoptAPet'!$B:$AE,2,FALSE)</f>
        <v>Shadow [Foster Home]</v>
      </c>
      <c r="F53" t="str">
        <f>VLOOKUP(D53,'All - PetPoint'!$B:$Q,7,FALSE)</f>
        <v>Shadow (L. Notaro)</v>
      </c>
      <c r="G53" t="str">
        <f>VLOOKUP(D53,'AnimalInventory - PetPoint'!$D:$AK,2,FALSE)</f>
        <v>Shadow (L. Notaro)</v>
      </c>
      <c r="H53" t="str">
        <f>VLOOKUP(D53,'All - AdoptAPet'!$B:$AE,7,FALSE)</f>
        <v>Labrador Retriever</v>
      </c>
      <c r="I53">
        <f>VLOOKUP(D53,'All - AdoptAPet'!$B:$AE,8,FALSE)</f>
        <v>0</v>
      </c>
      <c r="J53" t="str">
        <f>VLOOKUP(D53,'All - AdoptAPet'!$B:$AE,9,FALSE)</f>
        <v>Black</v>
      </c>
      <c r="K53" t="str">
        <f>VLOOKUP(D53,'All - AdoptAPet'!$B:$AE,10,FALSE)</f>
        <v>male</v>
      </c>
      <c r="L53" t="str">
        <f>VLOOKUP(D53,'All - AdoptAPet'!$B:$AE,11,FALSE)</f>
        <v>young</v>
      </c>
      <c r="M53" t="str">
        <f>VLOOKUP(D53,'All - AdoptAPet'!$B:$AE,12,FALSE)</f>
        <v>Med. 26-60 lbs (12-27 kg)</v>
      </c>
      <c r="N53" t="str">
        <f>VLOOKUP(D53,'All - AdoptAPet'!$B:$AE,14,FALSE)</f>
        <v>Yes</v>
      </c>
      <c r="O53" t="str">
        <f>VLOOKUP(D53,'All - AdoptAPet'!$B:$AE,15,FALSE)</f>
        <v>Yes</v>
      </c>
      <c r="P53" t="str">
        <f>VLOOKUP(D53,'All - AdoptAPet'!$B:$AE,16,FALSE)</f>
        <v>Yes</v>
      </c>
      <c r="Q53" t="str">
        <f>VLOOKUP(D53,'All - AdoptAPet'!$B:$AE,17,FALSE)</f>
        <v>No</v>
      </c>
      <c r="R53" t="str">
        <f>VLOOKUP(D53,'All - AdoptAPet'!$B:$AE,19,FALSE)</f>
        <v>No</v>
      </c>
      <c r="S53" t="str">
        <f>VLOOKUP(D53,'All - AdoptAPet'!$B:$AE,20,FALSE)</f>
        <v>Unknown</v>
      </c>
      <c r="T53" t="str">
        <f>VLOOKUP(D53,'All - AdoptAPet'!$B:$AE,21,FALSE)</f>
        <v>Unknown</v>
      </c>
      <c r="U53" t="str">
        <f>VLOOKUP(D53,'All - AdoptAPet'!$B:$AE,22,FALSE)</f>
        <v>Unknown</v>
      </c>
      <c r="V53" t="str">
        <f>IF(VLOOKUP(D53,'All - AdoptAPet'!$B:$AE,23,FALSE)="","No", "Yes")</f>
        <v>No</v>
      </c>
      <c r="W53" t="str">
        <f>VLOOKUP(D53,'All - PetPoint'!$B:$Q,4,FALSE)</f>
        <v>Available</v>
      </c>
      <c r="X53" t="str">
        <f>VLOOKUP(D53,'All - PetPoint'!$B:$Q,11,FALSE)</f>
        <v>Black</v>
      </c>
      <c r="Y53" t="str">
        <f>VLOOKUP(D53,'All - PetPoint'!$B:$Q,14,FALSE)</f>
        <v>Foster home</v>
      </c>
      <c r="Z53" t="str">
        <f>VLOOKUP(D53,'AnimalInventory - PetPoint'!$D:$AK,9,FALSE)</f>
        <v>Stray/Public Drop Off</v>
      </c>
      <c r="AA53" s="9">
        <f>VLOOKUP(D53,'AnimalInventory - PetPoint'!$D:$AK,19,FALSE)</f>
        <v>45902.651388888888</v>
      </c>
      <c r="AB53" s="9">
        <f>VLOOKUP(D53,'AnimalInventory - PetPoint'!$D:$AK,21,FALSE)</f>
        <v>45897.651388888888</v>
      </c>
      <c r="AC53">
        <f>VLOOKUP(D53,'AnimalInventory - PetPoint'!$D:$AK,22,FALSE)</f>
        <v>81.099999999999994</v>
      </c>
      <c r="AD53">
        <f>VLOOKUP(D53,'AnimalInventory - PetPoint'!$D:$AK,23,FALSE)</f>
        <v>0</v>
      </c>
      <c r="AE53" t="str">
        <f>VLOOKUP(D53,'AnimalInventory - PetPoint'!$D:$AK,25,FALSE)</f>
        <v>22.80 pound</v>
      </c>
      <c r="AF53">
        <f>VLOOKUP(D53,'AnimalInventory - PetPoint'!$D:$AK,28,FALSE)</f>
        <v>1</v>
      </c>
      <c r="AG53" t="e">
        <f>VLOOKUP(D53,'PreTreat DogTraffic'!$B:$I,2,FALSE)</f>
        <v>#N/A</v>
      </c>
      <c r="AH53" t="e">
        <f>VLOOKUP(D53,'PreTreat DogTraffic'!$B:$I,3,FALSE)</f>
        <v>#N/A</v>
      </c>
      <c r="AI53" t="e">
        <f>VLOOKUP(D53,'PreTreat DogTraffic'!$B:$I,4,FALSE)</f>
        <v>#N/A</v>
      </c>
      <c r="AJ53" t="e">
        <f>VLOOKUP(D53,'PreTreat DogTraffic'!$B:$I,5,FALSE)</f>
        <v>#N/A</v>
      </c>
      <c r="AK53" t="e">
        <f>VLOOKUP(D53,'PreTreat DogTraffic'!$B:$I,6,FALSE)</f>
        <v>#N/A</v>
      </c>
      <c r="AL53" t="e">
        <f>VLOOKUP(D53,'PreTreat DogTraffic'!$B:$I,7,FALSE)</f>
        <v>#N/A</v>
      </c>
      <c r="AM53" t="e">
        <f>VLOOKUP(D53,'PreTreat DogTraffic'!$B:$I,8,FALSE)</f>
        <v>#N/A</v>
      </c>
    </row>
    <row r="54" spans="1:39" x14ac:dyDescent="0.2">
      <c r="A54" t="str">
        <f>IF(D54="","",IFERROR(VLOOKUP(D54,REMOVED!$A:$D,3,FALSE),IFERROR(VLOOKUP(D54,OUTCOME!$A:$C,3,FALSE),"Yes")))</f>
        <v>Yes</v>
      </c>
      <c r="B54" t="e">
        <f>VLOOKUP(D54,'Experiment Tracker'!$B:$C,2,FALSE)</f>
        <v>#N/A</v>
      </c>
      <c r="C54">
        <v>46337025</v>
      </c>
      <c r="D54" t="s">
        <v>1091</v>
      </c>
      <c r="E54" t="str">
        <f>VLOOKUP(D54,'All - AdoptAPet'!$B:$AE,2,FALSE)</f>
        <v>Zuko [Foster Home]</v>
      </c>
      <c r="F54" t="str">
        <f>VLOOKUP(D54,'All - PetPoint'!$B:$Q,7,FALSE)</f>
        <v>Zuko (M. Fichera)</v>
      </c>
      <c r="G54" t="str">
        <f>VLOOKUP(D54,'AnimalInventory - PetPoint'!$D:$AK,2,FALSE)</f>
        <v>Zuko (M. Fichera)</v>
      </c>
      <c r="H54" t="str">
        <f>VLOOKUP(D54,'All - AdoptAPet'!$B:$AE,7,FALSE)</f>
        <v>Husky</v>
      </c>
      <c r="I54" t="str">
        <f>VLOOKUP(D54,'All - AdoptAPet'!$B:$AE,8,FALSE)</f>
        <v>American Staffordshire Terrier</v>
      </c>
      <c r="J54" t="str">
        <f>VLOOKUP(D54,'All - AdoptAPet'!$B:$AE,9,FALSE)</f>
        <v>Black - with White</v>
      </c>
      <c r="K54" t="str">
        <f>VLOOKUP(D54,'All - AdoptAPet'!$B:$AE,10,FALSE)</f>
        <v>male</v>
      </c>
      <c r="L54" t="str">
        <f>VLOOKUP(D54,'All - AdoptAPet'!$B:$AE,11,FALSE)</f>
        <v>young</v>
      </c>
      <c r="M54" t="str">
        <f>VLOOKUP(D54,'All - AdoptAPet'!$B:$AE,12,FALSE)</f>
        <v>Med. 26-60 lbs (12-27 kg)</v>
      </c>
      <c r="N54" t="str">
        <f>VLOOKUP(D54,'All - AdoptAPet'!$B:$AE,14,FALSE)</f>
        <v>Yes</v>
      </c>
      <c r="O54" t="str">
        <f>VLOOKUP(D54,'All - AdoptAPet'!$B:$AE,15,FALSE)</f>
        <v>Yes</v>
      </c>
      <c r="P54" t="str">
        <f>VLOOKUP(D54,'All - AdoptAPet'!$B:$AE,16,FALSE)</f>
        <v>Yes</v>
      </c>
      <c r="Q54" t="str">
        <f>VLOOKUP(D54,'All - AdoptAPet'!$B:$AE,17,FALSE)</f>
        <v>No</v>
      </c>
      <c r="R54" t="str">
        <f>VLOOKUP(D54,'All - AdoptAPet'!$B:$AE,19,FALSE)</f>
        <v>No</v>
      </c>
      <c r="S54" t="str">
        <f>VLOOKUP(D54,'All - AdoptAPet'!$B:$AE,20,FALSE)</f>
        <v>Yes</v>
      </c>
      <c r="T54" t="str">
        <f>VLOOKUP(D54,'All - AdoptAPet'!$B:$AE,21,FALSE)</f>
        <v>Yes</v>
      </c>
      <c r="U54" t="str">
        <f>VLOOKUP(D54,'All - AdoptAPet'!$B:$AE,22,FALSE)</f>
        <v>Unknown</v>
      </c>
      <c r="V54" t="str">
        <f>IF(VLOOKUP(D54,'All - AdoptAPet'!$B:$AE,23,FALSE)="","No", "Yes")</f>
        <v>No</v>
      </c>
      <c r="W54" t="str">
        <f>VLOOKUP(D54,'All - PetPoint'!$B:$Q,4,FALSE)</f>
        <v>Available</v>
      </c>
      <c r="X54" t="str">
        <f>VLOOKUP(D54,'All - PetPoint'!$B:$Q,11,FALSE)</f>
        <v>Black</v>
      </c>
      <c r="Y54" t="str">
        <f>VLOOKUP(D54,'All - PetPoint'!$B:$Q,14,FALSE)</f>
        <v>Foster home</v>
      </c>
      <c r="Z54" t="str">
        <f>VLOOKUP(D54,'AnimalInventory - PetPoint'!$D:$AK,9,FALSE)</f>
        <v>Stray/Public Drop Off</v>
      </c>
      <c r="AA54" s="9">
        <f>VLOOKUP(D54,'AnimalInventory - PetPoint'!$D:$AK,19,FALSE)</f>
        <v>45941.494444444441</v>
      </c>
      <c r="AB54" s="9">
        <f>VLOOKUP(D54,'AnimalInventory - PetPoint'!$D:$AK,21,FALSE)</f>
        <v>45936.494444444441</v>
      </c>
      <c r="AC54">
        <f>VLOOKUP(D54,'AnimalInventory - PetPoint'!$D:$AK,22,FALSE)</f>
        <v>42.3</v>
      </c>
      <c r="AD54">
        <f>VLOOKUP(D54,'AnimalInventory - PetPoint'!$D:$AK,23,FALSE)</f>
        <v>0</v>
      </c>
      <c r="AE54" t="str">
        <f>VLOOKUP(D54,'AnimalInventory - PetPoint'!$D:$AK,25,FALSE)</f>
        <v>35.00 pound</v>
      </c>
      <c r="AF54">
        <f>VLOOKUP(D54,'AnimalInventory - PetPoint'!$D:$AK,28,FALSE)</f>
        <v>1</v>
      </c>
      <c r="AG54" t="e">
        <f>VLOOKUP(D54,'PreTreat DogTraffic'!$B:$I,2,FALSE)</f>
        <v>#N/A</v>
      </c>
      <c r="AH54" t="e">
        <f>VLOOKUP(D54,'PreTreat DogTraffic'!$B:$I,3,FALSE)</f>
        <v>#N/A</v>
      </c>
      <c r="AI54" t="e">
        <f>VLOOKUP(D54,'PreTreat DogTraffic'!$B:$I,4,FALSE)</f>
        <v>#N/A</v>
      </c>
      <c r="AJ54" t="e">
        <f>VLOOKUP(D54,'PreTreat DogTraffic'!$B:$I,5,FALSE)</f>
        <v>#N/A</v>
      </c>
      <c r="AK54" t="e">
        <f>VLOOKUP(D54,'PreTreat DogTraffic'!$B:$I,6,FALSE)</f>
        <v>#N/A</v>
      </c>
      <c r="AL54" t="e">
        <f>VLOOKUP(D54,'PreTreat DogTraffic'!$B:$I,7,FALSE)</f>
        <v>#N/A</v>
      </c>
      <c r="AM54" t="e">
        <f>VLOOKUP(D54,'PreTreat DogTraffic'!$B:$I,8,FALSE)</f>
        <v>#N/A</v>
      </c>
    </row>
    <row r="55" spans="1:39" x14ac:dyDescent="0.2">
      <c r="A55" t="str">
        <f>IF(D55="","",IFERROR(VLOOKUP(D55,REMOVED!$A:$D,3,FALSE),IFERROR(VLOOKUP(D55,OUTCOME!$A:$C,3,FALSE),"Yes")))</f>
        <v>Yes</v>
      </c>
      <c r="B55" t="e">
        <f>VLOOKUP(D55,'Experiment Tracker'!$B:$C,2,FALSE)</f>
        <v>#N/A</v>
      </c>
      <c r="C55">
        <v>46420508</v>
      </c>
      <c r="D55" t="s">
        <v>1134</v>
      </c>
      <c r="E55" t="str">
        <f>VLOOKUP(D55,'All - AdoptAPet'!$B:$AE,2,FALSE)</f>
        <v>Bucky [Foster Home]</v>
      </c>
      <c r="F55" t="str">
        <f>VLOOKUP(D55,'All - PetPoint'!$B:$Q,7,FALSE)</f>
        <v>Bucky (M. Fichera)</v>
      </c>
      <c r="G55" t="str">
        <f>VLOOKUP(D55,'AnimalInventory - PetPoint'!$D:$AK,2,FALSE)</f>
        <v>Bucky (M. Fichera)</v>
      </c>
      <c r="H55" t="str">
        <f>VLOOKUP(D55,'All - AdoptAPet'!$B:$AE,7,FALSE)</f>
        <v>Hound (Unknown Type)</v>
      </c>
      <c r="I55">
        <f>VLOOKUP(D55,'All - AdoptAPet'!$B:$AE,8,FALSE)</f>
        <v>0</v>
      </c>
      <c r="J55" t="str">
        <f>VLOOKUP(D55,'All - AdoptAPet'!$B:$AE,9,FALSE)</f>
        <v>Brown/Chocolate - with Black</v>
      </c>
      <c r="K55" t="str">
        <f>VLOOKUP(D55,'All - AdoptAPet'!$B:$AE,10,FALSE)</f>
        <v>male</v>
      </c>
      <c r="L55" t="str">
        <f>VLOOKUP(D55,'All - AdoptAPet'!$B:$AE,11,FALSE)</f>
        <v>puppy</v>
      </c>
      <c r="M55" t="str">
        <f>VLOOKUP(D55,'All - AdoptAPet'!$B:$AE,12,FALSE)</f>
        <v>Med. 26-60 lbs (12-27 kg)</v>
      </c>
      <c r="N55" t="str">
        <f>VLOOKUP(D55,'All - AdoptAPet'!$B:$AE,14,FALSE)</f>
        <v>Yes</v>
      </c>
      <c r="O55" t="str">
        <f>VLOOKUP(D55,'All - AdoptAPet'!$B:$AE,15,FALSE)</f>
        <v>No</v>
      </c>
      <c r="P55" t="str">
        <f>VLOOKUP(D55,'All - AdoptAPet'!$B:$AE,16,FALSE)</f>
        <v>Yes</v>
      </c>
      <c r="Q55" t="str">
        <f>VLOOKUP(D55,'All - AdoptAPet'!$B:$AE,17,FALSE)</f>
        <v>No</v>
      </c>
      <c r="R55" t="str">
        <f>VLOOKUP(D55,'All - AdoptAPet'!$B:$AE,19,FALSE)</f>
        <v>No</v>
      </c>
      <c r="S55" t="str">
        <f>VLOOKUP(D55,'All - AdoptAPet'!$B:$AE,20,FALSE)</f>
        <v>Yes</v>
      </c>
      <c r="T55" t="str">
        <f>VLOOKUP(D55,'All - AdoptAPet'!$B:$AE,21,FALSE)</f>
        <v>Yes</v>
      </c>
      <c r="U55" t="str">
        <f>VLOOKUP(D55,'All - AdoptAPet'!$B:$AE,22,FALSE)</f>
        <v>Unknown</v>
      </c>
      <c r="V55" t="str">
        <f>IF(VLOOKUP(D55,'All - AdoptAPet'!$B:$AE,23,FALSE)="","No", "Yes")</f>
        <v>No</v>
      </c>
      <c r="W55" t="str">
        <f>VLOOKUP(D55,'All - PetPoint'!$B:$Q,4,FALSE)</f>
        <v>Pending Surgery</v>
      </c>
      <c r="X55" t="str">
        <f>VLOOKUP(D55,'All - PetPoint'!$B:$Q,11,FALSE)</f>
        <v>Brown</v>
      </c>
      <c r="Y55" t="str">
        <f>VLOOKUP(D55,'All - PetPoint'!$B:$Q,14,FALSE)</f>
        <v>Foster home</v>
      </c>
      <c r="Z55" t="str">
        <f>VLOOKUP(D55,'AnimalInventory - PetPoint'!$D:$AK,9,FALSE)</f>
        <v>Stray/ACO Pickup / Drop Off</v>
      </c>
      <c r="AA55" s="9">
        <f>VLOOKUP(D55,'AnimalInventory - PetPoint'!$D:$AK,19,FALSE)</f>
        <v>45945.481249999997</v>
      </c>
      <c r="AB55" s="9">
        <f>VLOOKUP(D55,'AnimalInventory - PetPoint'!$D:$AK,21,FALSE)</f>
        <v>45940.481249999997</v>
      </c>
      <c r="AC55">
        <f>VLOOKUP(D55,'AnimalInventory - PetPoint'!$D:$AK,22,FALSE)</f>
        <v>38.299999999999997</v>
      </c>
      <c r="AD55">
        <f>VLOOKUP(D55,'AnimalInventory - PetPoint'!$D:$AK,23,FALSE)</f>
        <v>0</v>
      </c>
      <c r="AE55" t="str">
        <f>VLOOKUP(D55,'AnimalInventory - PetPoint'!$D:$AK,25,FALSE)</f>
        <v>18.20 pound</v>
      </c>
      <c r="AF55">
        <f>VLOOKUP(D55,'AnimalInventory - PetPoint'!$D:$AK,28,FALSE)</f>
        <v>2</v>
      </c>
      <c r="AG55" t="e">
        <f>VLOOKUP(D55,'PreTreat DogTraffic'!$B:$I,2,FALSE)</f>
        <v>#N/A</v>
      </c>
      <c r="AH55" t="e">
        <f>VLOOKUP(D55,'PreTreat DogTraffic'!$B:$I,3,FALSE)</f>
        <v>#N/A</v>
      </c>
      <c r="AI55" t="e">
        <f>VLOOKUP(D55,'PreTreat DogTraffic'!$B:$I,4,FALSE)</f>
        <v>#N/A</v>
      </c>
      <c r="AJ55" t="e">
        <f>VLOOKUP(D55,'PreTreat DogTraffic'!$B:$I,5,FALSE)</f>
        <v>#N/A</v>
      </c>
      <c r="AK55" t="e">
        <f>VLOOKUP(D55,'PreTreat DogTraffic'!$B:$I,6,FALSE)</f>
        <v>#N/A</v>
      </c>
      <c r="AL55" t="e">
        <f>VLOOKUP(D55,'PreTreat DogTraffic'!$B:$I,7,FALSE)</f>
        <v>#N/A</v>
      </c>
      <c r="AM55" t="e">
        <f>VLOOKUP(D55,'PreTreat DogTraffic'!$B:$I,8,FALSE)</f>
        <v>#N/A</v>
      </c>
    </row>
    <row r="56" spans="1:39" x14ac:dyDescent="0.2">
      <c r="A56" t="str">
        <f>IF(D56="","",IFERROR(VLOOKUP(D56,REMOVED!$A:$D,3,FALSE),IFERROR(VLOOKUP(D56,OUTCOME!$A:$C,3,FALSE),"Yes")))</f>
        <v>Yes</v>
      </c>
      <c r="B56" t="e">
        <f>VLOOKUP(D56,'Experiment Tracker'!$B:$C,2,FALSE)</f>
        <v>#N/A</v>
      </c>
      <c r="C56">
        <v>46420475</v>
      </c>
      <c r="D56" t="s">
        <v>1133</v>
      </c>
      <c r="E56" t="str">
        <f>VLOOKUP(D56,'All - AdoptAPet'!$B:$AE,2,FALSE)</f>
        <v>Porky [Foster Home]</v>
      </c>
      <c r="F56" t="str">
        <f>VLOOKUP(D56,'All - PetPoint'!$B:$Q,7,FALSE)</f>
        <v>Porky (M. Fichera)</v>
      </c>
      <c r="G56" t="str">
        <f>VLOOKUP(D56,'AnimalInventory - PetPoint'!$D:$AK,2,FALSE)</f>
        <v>Porky (M. Fichera)</v>
      </c>
      <c r="H56" t="str">
        <f>VLOOKUP(D56,'All - AdoptAPet'!$B:$AE,7,FALSE)</f>
        <v>Hound (Unknown Type)</v>
      </c>
      <c r="I56">
        <f>VLOOKUP(D56,'All - AdoptAPet'!$B:$AE,8,FALSE)</f>
        <v>0</v>
      </c>
      <c r="J56" t="str">
        <f>VLOOKUP(D56,'All - AdoptAPet'!$B:$AE,9,FALSE)</f>
        <v>White - with Brown or Chocolate</v>
      </c>
      <c r="K56" t="str">
        <f>VLOOKUP(D56,'All - AdoptAPet'!$B:$AE,10,FALSE)</f>
        <v>male</v>
      </c>
      <c r="L56" t="str">
        <f>VLOOKUP(D56,'All - AdoptAPet'!$B:$AE,11,FALSE)</f>
        <v>puppy</v>
      </c>
      <c r="M56" t="str">
        <f>VLOOKUP(D56,'All - AdoptAPet'!$B:$AE,12,FALSE)</f>
        <v>Med. 26-60 lbs (12-27 kg)</v>
      </c>
      <c r="N56" t="str">
        <f>VLOOKUP(D56,'All - AdoptAPet'!$B:$AE,14,FALSE)</f>
        <v>Yes</v>
      </c>
      <c r="O56" t="str">
        <f>VLOOKUP(D56,'All - AdoptAPet'!$B:$AE,15,FALSE)</f>
        <v>No</v>
      </c>
      <c r="P56" t="str">
        <f>VLOOKUP(D56,'All - AdoptAPet'!$B:$AE,16,FALSE)</f>
        <v>Yes</v>
      </c>
      <c r="Q56" t="str">
        <f>VLOOKUP(D56,'All - AdoptAPet'!$B:$AE,17,FALSE)</f>
        <v>No</v>
      </c>
      <c r="R56" t="str">
        <f>VLOOKUP(D56,'All - AdoptAPet'!$B:$AE,19,FALSE)</f>
        <v>No</v>
      </c>
      <c r="S56" t="str">
        <f>VLOOKUP(D56,'All - AdoptAPet'!$B:$AE,20,FALSE)</f>
        <v>Yes</v>
      </c>
      <c r="T56" t="str">
        <f>VLOOKUP(D56,'All - AdoptAPet'!$B:$AE,21,FALSE)</f>
        <v>Yes</v>
      </c>
      <c r="U56" t="str">
        <f>VLOOKUP(D56,'All - AdoptAPet'!$B:$AE,22,FALSE)</f>
        <v>Unknown</v>
      </c>
      <c r="V56" t="str">
        <f>IF(VLOOKUP(D56,'All - AdoptAPet'!$B:$AE,23,FALSE)="","No", "Yes")</f>
        <v>No</v>
      </c>
      <c r="W56" t="str">
        <f>VLOOKUP(D56,'All - PetPoint'!$B:$Q,4,FALSE)</f>
        <v>Pending Surgery</v>
      </c>
      <c r="X56" t="str">
        <f>VLOOKUP(D56,'All - PetPoint'!$B:$Q,11,FALSE)</f>
        <v>Brown</v>
      </c>
      <c r="Y56" t="str">
        <f>VLOOKUP(D56,'All - PetPoint'!$B:$Q,14,FALSE)</f>
        <v>Foster home</v>
      </c>
      <c r="Z56" t="str">
        <f>VLOOKUP(D56,'AnimalInventory - PetPoint'!$D:$AK,9,FALSE)</f>
        <v>Stray/ACO Pickup / Drop Off</v>
      </c>
      <c r="AA56" s="9">
        <f>VLOOKUP(D56,'AnimalInventory - PetPoint'!$D:$AK,19,FALSE)</f>
        <v>45945.481249999997</v>
      </c>
      <c r="AB56" s="9">
        <f>VLOOKUP(D56,'AnimalInventory - PetPoint'!$D:$AK,21,FALSE)</f>
        <v>45940.481249999997</v>
      </c>
      <c r="AC56">
        <f>VLOOKUP(D56,'AnimalInventory - PetPoint'!$D:$AK,22,FALSE)</f>
        <v>38.299999999999997</v>
      </c>
      <c r="AD56">
        <f>VLOOKUP(D56,'AnimalInventory - PetPoint'!$D:$AK,23,FALSE)</f>
        <v>0</v>
      </c>
      <c r="AE56" t="str">
        <f>VLOOKUP(D56,'AnimalInventory - PetPoint'!$D:$AK,25,FALSE)</f>
        <v>17.00 pound</v>
      </c>
      <c r="AF56">
        <f>VLOOKUP(D56,'AnimalInventory - PetPoint'!$D:$AK,28,FALSE)</f>
        <v>2</v>
      </c>
      <c r="AG56" t="e">
        <f>VLOOKUP(D56,'PreTreat DogTraffic'!$B:$I,2,FALSE)</f>
        <v>#N/A</v>
      </c>
      <c r="AH56" t="e">
        <f>VLOOKUP(D56,'PreTreat DogTraffic'!$B:$I,3,FALSE)</f>
        <v>#N/A</v>
      </c>
      <c r="AI56" t="e">
        <f>VLOOKUP(D56,'PreTreat DogTraffic'!$B:$I,4,FALSE)</f>
        <v>#N/A</v>
      </c>
      <c r="AJ56" t="e">
        <f>VLOOKUP(D56,'PreTreat DogTraffic'!$B:$I,5,FALSE)</f>
        <v>#N/A</v>
      </c>
      <c r="AK56" t="e">
        <f>VLOOKUP(D56,'PreTreat DogTraffic'!$B:$I,6,FALSE)</f>
        <v>#N/A</v>
      </c>
      <c r="AL56" t="e">
        <f>VLOOKUP(D56,'PreTreat DogTraffic'!$B:$I,7,FALSE)</f>
        <v>#N/A</v>
      </c>
      <c r="AM56" t="e">
        <f>VLOOKUP(D56,'PreTreat DogTraffic'!$B:$I,8,FALSE)</f>
        <v>#N/A</v>
      </c>
    </row>
    <row r="57" spans="1:39" hidden="1" x14ac:dyDescent="0.2">
      <c r="A57" t="str">
        <f>IF(D57="","",IFERROR(VLOOKUP(D57,REMOVED!$A:$D,3,FALSE),IFERROR(VLOOKUP(D57,OUTCOME!$A:$C,3,FALSE),"Yes")))</f>
        <v/>
      </c>
      <c r="B57" t="e">
        <f>VLOOKUP(D57,'Experiment Tracker'!$B:$C,2,FALSE)</f>
        <v>#N/A</v>
      </c>
      <c r="E57" t="e">
        <f>VLOOKUP(D57,'All - AdoptAPet'!$B:$AE,2,FALSE)</f>
        <v>#N/A</v>
      </c>
      <c r="F57" t="e">
        <f>VLOOKUP(D57,'All - PetPoint'!$B:$Q,7,FALSE)</f>
        <v>#N/A</v>
      </c>
      <c r="G57" t="e">
        <f>VLOOKUP(D57,'AnimalInventory - PetPoint'!$D:$AK,2,FALSE)</f>
        <v>#N/A</v>
      </c>
      <c r="H57" t="e">
        <f>VLOOKUP(D57,'All - AdoptAPet'!$B:$AE,7,FALSE)</f>
        <v>#N/A</v>
      </c>
      <c r="I57" t="e">
        <f>VLOOKUP(D57,'All - AdoptAPet'!$B:$AE,8,FALSE)</f>
        <v>#N/A</v>
      </c>
      <c r="J57" t="e">
        <f>VLOOKUP(D57,'All - AdoptAPet'!$B:$AE,9,FALSE)</f>
        <v>#N/A</v>
      </c>
      <c r="K57" t="e">
        <f>VLOOKUP(D57,'All - AdoptAPet'!$B:$AE,10,FALSE)</f>
        <v>#N/A</v>
      </c>
      <c r="L57" t="e">
        <f>VLOOKUP(D57,'All - AdoptAPet'!$B:$AE,11,FALSE)</f>
        <v>#N/A</v>
      </c>
      <c r="M57" t="e">
        <f>VLOOKUP(D57,'All - AdoptAPet'!$B:$AE,12,FALSE)</f>
        <v>#N/A</v>
      </c>
      <c r="N57" t="e">
        <f>VLOOKUP(D57,'All - AdoptAPet'!$B:$AE,14,FALSE)</f>
        <v>#N/A</v>
      </c>
      <c r="O57" t="e">
        <f>VLOOKUP(D57,'All - AdoptAPet'!$B:$AE,15,FALSE)</f>
        <v>#N/A</v>
      </c>
      <c r="P57" t="e">
        <f>VLOOKUP(D57,'All - AdoptAPet'!$B:$AE,16,FALSE)</f>
        <v>#N/A</v>
      </c>
      <c r="Q57" t="e">
        <f>VLOOKUP(D57,'All - AdoptAPet'!$B:$AE,17,FALSE)</f>
        <v>#N/A</v>
      </c>
      <c r="R57" t="e">
        <f>VLOOKUP(D57,'All - AdoptAPet'!$B:$AE,19,FALSE)</f>
        <v>#N/A</v>
      </c>
      <c r="S57" t="e">
        <f>VLOOKUP(D57,'All - AdoptAPet'!$B:$AE,20,FALSE)</f>
        <v>#N/A</v>
      </c>
      <c r="T57" t="e">
        <f>VLOOKUP(D57,'All - AdoptAPet'!$B:$AE,21,FALSE)</f>
        <v>#N/A</v>
      </c>
      <c r="U57" t="e">
        <f>VLOOKUP(D57,'All - AdoptAPet'!$B:$AE,22,FALSE)</f>
        <v>#N/A</v>
      </c>
      <c r="V57" t="e">
        <f>IF(VLOOKUP(D57,'All - AdoptAPet'!$B:$AE,23,FALSE)="","No", "Yes")</f>
        <v>#N/A</v>
      </c>
      <c r="W57" t="e">
        <f>VLOOKUP(D57,'All - PetPoint'!$B:$Q,4,FALSE)</f>
        <v>#N/A</v>
      </c>
      <c r="X57" t="e">
        <f>VLOOKUP(D57,'All - PetPoint'!$B:$Q,11,FALSE)</f>
        <v>#N/A</v>
      </c>
      <c r="Y57" t="e">
        <f>VLOOKUP(D57,'All - PetPoint'!$B:$Q,14,FALSE)</f>
        <v>#N/A</v>
      </c>
      <c r="Z57" t="e">
        <f>VLOOKUP(D57,'AnimalInventory - PetPoint'!$D:$AK,9,FALSE)</f>
        <v>#N/A</v>
      </c>
      <c r="AA57" s="9" t="e">
        <f>VLOOKUP(D57,'AnimalInventory - PetPoint'!$D:$AK,19,FALSE)</f>
        <v>#N/A</v>
      </c>
      <c r="AB57" s="9" t="e">
        <f>VLOOKUP(D57,'AnimalInventory - PetPoint'!$D:$AK,21,FALSE)</f>
        <v>#N/A</v>
      </c>
      <c r="AC57" t="e">
        <f>VLOOKUP(D57,'AnimalInventory - PetPoint'!$D:$AK,22,FALSE)</f>
        <v>#N/A</v>
      </c>
      <c r="AD57" t="e">
        <f>VLOOKUP(D57,'AnimalInventory - PetPoint'!$D:$AK,23,FALSE)</f>
        <v>#N/A</v>
      </c>
      <c r="AE57" t="e">
        <f>VLOOKUP(D57,'AnimalInventory - PetPoint'!$D:$AK,25,FALSE)</f>
        <v>#N/A</v>
      </c>
      <c r="AF57" t="e">
        <f>VLOOKUP(D57,'AnimalInventory - PetPoint'!$D:$AK,28,FALSE)</f>
        <v>#N/A</v>
      </c>
      <c r="AG57" t="e">
        <f>VLOOKUP(D57,'PreTreat DogTraffic'!$B:$I,2,FALSE)</f>
        <v>#N/A</v>
      </c>
      <c r="AH57" t="e">
        <f>VLOOKUP(D57,'PreTreat DogTraffic'!$B:$I,3,FALSE)</f>
        <v>#N/A</v>
      </c>
      <c r="AI57" t="e">
        <f>VLOOKUP(D57,'PreTreat DogTraffic'!$B:$I,4,FALSE)</f>
        <v>#N/A</v>
      </c>
      <c r="AJ57" t="e">
        <f>VLOOKUP(D57,'PreTreat DogTraffic'!$B:$I,5,FALSE)</f>
        <v>#N/A</v>
      </c>
      <c r="AK57" t="e">
        <f>VLOOKUP(D57,'PreTreat DogTraffic'!$B:$I,6,FALSE)</f>
        <v>#N/A</v>
      </c>
      <c r="AL57" t="e">
        <f>VLOOKUP(D57,'PreTreat DogTraffic'!$B:$I,7,FALSE)</f>
        <v>#N/A</v>
      </c>
      <c r="AM57" t="e">
        <f>VLOOKUP(D57,'PreTreat DogTraffic'!$B:$I,8,FALSE)</f>
        <v>#N/A</v>
      </c>
    </row>
    <row r="58" spans="1:39" hidden="1" x14ac:dyDescent="0.2">
      <c r="A58" t="str">
        <f>IF(D58="","",IFERROR(VLOOKUP(D58,REMOVED!$A:$D,3,FALSE),IFERROR(VLOOKUP(D58,OUTCOME!$A:$C,3,FALSE),"Yes")))</f>
        <v/>
      </c>
      <c r="B58" t="e">
        <f>VLOOKUP(D58,'Experiment Tracker'!$B:$C,2,FALSE)</f>
        <v>#N/A</v>
      </c>
      <c r="E58" t="e">
        <f>VLOOKUP(D58,'All - AdoptAPet'!$B:$AE,2,FALSE)</f>
        <v>#N/A</v>
      </c>
      <c r="F58" t="e">
        <f>VLOOKUP(D58,'All - PetPoint'!$B:$Q,7,FALSE)</f>
        <v>#N/A</v>
      </c>
      <c r="G58" t="e">
        <f>VLOOKUP(D58,'AnimalInventory - PetPoint'!$D:$AK,2,FALSE)</f>
        <v>#N/A</v>
      </c>
      <c r="H58" t="e">
        <f>VLOOKUP(D58,'All - AdoptAPet'!$B:$AE,7,FALSE)</f>
        <v>#N/A</v>
      </c>
      <c r="I58" t="e">
        <f>VLOOKUP(D58,'All - AdoptAPet'!$B:$AE,8,FALSE)</f>
        <v>#N/A</v>
      </c>
      <c r="J58" t="e">
        <f>VLOOKUP(D58,'All - AdoptAPet'!$B:$AE,9,FALSE)</f>
        <v>#N/A</v>
      </c>
      <c r="K58" t="e">
        <f>VLOOKUP(D58,'All - AdoptAPet'!$B:$AE,10,FALSE)</f>
        <v>#N/A</v>
      </c>
      <c r="L58" t="e">
        <f>VLOOKUP(D58,'All - AdoptAPet'!$B:$AE,11,FALSE)</f>
        <v>#N/A</v>
      </c>
      <c r="M58" t="e">
        <f>VLOOKUP(D58,'All - AdoptAPet'!$B:$AE,12,FALSE)</f>
        <v>#N/A</v>
      </c>
      <c r="N58" t="e">
        <f>VLOOKUP(D58,'All - AdoptAPet'!$B:$AE,14,FALSE)</f>
        <v>#N/A</v>
      </c>
      <c r="O58" t="e">
        <f>VLOOKUP(D58,'All - AdoptAPet'!$B:$AE,15,FALSE)</f>
        <v>#N/A</v>
      </c>
      <c r="P58" t="e">
        <f>VLOOKUP(D58,'All - AdoptAPet'!$B:$AE,16,FALSE)</f>
        <v>#N/A</v>
      </c>
      <c r="Q58" t="e">
        <f>VLOOKUP(D58,'All - AdoptAPet'!$B:$AE,17,FALSE)</f>
        <v>#N/A</v>
      </c>
      <c r="R58" t="e">
        <f>VLOOKUP(D58,'All - AdoptAPet'!$B:$AE,19,FALSE)</f>
        <v>#N/A</v>
      </c>
      <c r="S58" t="e">
        <f>VLOOKUP(D58,'All - AdoptAPet'!$B:$AE,20,FALSE)</f>
        <v>#N/A</v>
      </c>
      <c r="T58" t="e">
        <f>VLOOKUP(D58,'All - AdoptAPet'!$B:$AE,21,FALSE)</f>
        <v>#N/A</v>
      </c>
      <c r="U58" t="e">
        <f>VLOOKUP(D58,'All - AdoptAPet'!$B:$AE,22,FALSE)</f>
        <v>#N/A</v>
      </c>
      <c r="V58" t="e">
        <f>IF(VLOOKUP(D58,'All - AdoptAPet'!$B:$AE,23,FALSE)="","No", "Yes")</f>
        <v>#N/A</v>
      </c>
      <c r="W58" t="e">
        <f>VLOOKUP(D58,'All - PetPoint'!$B:$Q,4,FALSE)</f>
        <v>#N/A</v>
      </c>
      <c r="X58" t="e">
        <f>VLOOKUP(D58,'All - PetPoint'!$B:$Q,11,FALSE)</f>
        <v>#N/A</v>
      </c>
      <c r="Y58" t="e">
        <f>VLOOKUP(D58,'All - PetPoint'!$B:$Q,14,FALSE)</f>
        <v>#N/A</v>
      </c>
      <c r="Z58" t="e">
        <f>VLOOKUP(D58,'AnimalInventory - PetPoint'!$D:$AK,9,FALSE)</f>
        <v>#N/A</v>
      </c>
      <c r="AA58" s="9" t="e">
        <f>VLOOKUP(D58,'AnimalInventory - PetPoint'!$D:$AK,19,FALSE)</f>
        <v>#N/A</v>
      </c>
      <c r="AB58" s="9" t="e">
        <f>VLOOKUP(D58,'AnimalInventory - PetPoint'!$D:$AK,21,FALSE)</f>
        <v>#N/A</v>
      </c>
      <c r="AC58" t="e">
        <f>VLOOKUP(D58,'AnimalInventory - PetPoint'!$D:$AK,22,FALSE)</f>
        <v>#N/A</v>
      </c>
      <c r="AD58" t="e">
        <f>VLOOKUP(D58,'AnimalInventory - PetPoint'!$D:$AK,23,FALSE)</f>
        <v>#N/A</v>
      </c>
      <c r="AE58" t="e">
        <f>VLOOKUP(D58,'AnimalInventory - PetPoint'!$D:$AK,25,FALSE)</f>
        <v>#N/A</v>
      </c>
      <c r="AF58" t="e">
        <f>VLOOKUP(D58,'AnimalInventory - PetPoint'!$D:$AK,28,FALSE)</f>
        <v>#N/A</v>
      </c>
      <c r="AG58" t="e">
        <f>VLOOKUP(D58,'PreTreat DogTraffic'!$B:$I,2,FALSE)</f>
        <v>#N/A</v>
      </c>
      <c r="AH58" t="e">
        <f>VLOOKUP(D58,'PreTreat DogTraffic'!$B:$I,3,FALSE)</f>
        <v>#N/A</v>
      </c>
      <c r="AI58" t="e">
        <f>VLOOKUP(D58,'PreTreat DogTraffic'!$B:$I,4,FALSE)</f>
        <v>#N/A</v>
      </c>
      <c r="AJ58" t="e">
        <f>VLOOKUP(D58,'PreTreat DogTraffic'!$B:$I,5,FALSE)</f>
        <v>#N/A</v>
      </c>
      <c r="AK58" t="e">
        <f>VLOOKUP(D58,'PreTreat DogTraffic'!$B:$I,6,FALSE)</f>
        <v>#N/A</v>
      </c>
      <c r="AL58" t="e">
        <f>VLOOKUP(D58,'PreTreat DogTraffic'!$B:$I,7,FALSE)</f>
        <v>#N/A</v>
      </c>
      <c r="AM58" t="e">
        <f>VLOOKUP(D58,'PreTreat DogTraffic'!$B:$I,8,FALSE)</f>
        <v>#N/A</v>
      </c>
    </row>
    <row r="59" spans="1:39" hidden="1" x14ac:dyDescent="0.2">
      <c r="A59" t="str">
        <f>IF(D59="","",IFERROR(VLOOKUP(D59,REMOVED!$A:$D,3,FALSE),IFERROR(VLOOKUP(D59,OUTCOME!$A:$C,3,FALSE),"Yes")))</f>
        <v/>
      </c>
      <c r="B59" t="e">
        <f>VLOOKUP(D59,'Experiment Tracker'!$B:$C,2,FALSE)</f>
        <v>#N/A</v>
      </c>
      <c r="E59" t="e">
        <f>VLOOKUP(D59,'All - AdoptAPet'!$B:$AE,2,FALSE)</f>
        <v>#N/A</v>
      </c>
      <c r="F59" t="e">
        <f>VLOOKUP(D59,'All - PetPoint'!$B:$Q,7,FALSE)</f>
        <v>#N/A</v>
      </c>
      <c r="G59" t="e">
        <f>VLOOKUP(D59,'AnimalInventory - PetPoint'!$D:$AK,2,FALSE)</f>
        <v>#N/A</v>
      </c>
      <c r="H59" t="e">
        <f>VLOOKUP(D59,'All - AdoptAPet'!$B:$AE,7,FALSE)</f>
        <v>#N/A</v>
      </c>
      <c r="I59" t="e">
        <f>VLOOKUP(D59,'All - AdoptAPet'!$B:$AE,8,FALSE)</f>
        <v>#N/A</v>
      </c>
      <c r="J59" t="e">
        <f>VLOOKUP(D59,'All - AdoptAPet'!$B:$AE,9,FALSE)</f>
        <v>#N/A</v>
      </c>
      <c r="K59" t="e">
        <f>VLOOKUP(D59,'All - AdoptAPet'!$B:$AE,10,FALSE)</f>
        <v>#N/A</v>
      </c>
      <c r="L59" t="e">
        <f>VLOOKUP(D59,'All - AdoptAPet'!$B:$AE,11,FALSE)</f>
        <v>#N/A</v>
      </c>
      <c r="M59" t="e">
        <f>VLOOKUP(D59,'All - AdoptAPet'!$B:$AE,12,FALSE)</f>
        <v>#N/A</v>
      </c>
      <c r="N59" t="e">
        <f>VLOOKUP(D59,'All - AdoptAPet'!$B:$AE,14,FALSE)</f>
        <v>#N/A</v>
      </c>
      <c r="O59" t="e">
        <f>VLOOKUP(D59,'All - AdoptAPet'!$B:$AE,15,FALSE)</f>
        <v>#N/A</v>
      </c>
      <c r="P59" t="e">
        <f>VLOOKUP(D59,'All - AdoptAPet'!$B:$AE,16,FALSE)</f>
        <v>#N/A</v>
      </c>
      <c r="Q59" t="e">
        <f>VLOOKUP(D59,'All - AdoptAPet'!$B:$AE,17,FALSE)</f>
        <v>#N/A</v>
      </c>
      <c r="R59" t="e">
        <f>VLOOKUP(D59,'All - AdoptAPet'!$B:$AE,19,FALSE)</f>
        <v>#N/A</v>
      </c>
      <c r="S59" t="e">
        <f>VLOOKUP(D59,'All - AdoptAPet'!$B:$AE,20,FALSE)</f>
        <v>#N/A</v>
      </c>
      <c r="T59" t="e">
        <f>VLOOKUP(D59,'All - AdoptAPet'!$B:$AE,21,FALSE)</f>
        <v>#N/A</v>
      </c>
      <c r="U59" t="e">
        <f>VLOOKUP(D59,'All - AdoptAPet'!$B:$AE,22,FALSE)</f>
        <v>#N/A</v>
      </c>
      <c r="V59" t="e">
        <f>IF(VLOOKUP(D59,'All - AdoptAPet'!$B:$AE,23,FALSE)="","No", "Yes")</f>
        <v>#N/A</v>
      </c>
      <c r="W59" t="e">
        <f>VLOOKUP(D59,'All - PetPoint'!$B:$Q,4,FALSE)</f>
        <v>#N/A</v>
      </c>
      <c r="X59" t="e">
        <f>VLOOKUP(D59,'All - PetPoint'!$B:$Q,11,FALSE)</f>
        <v>#N/A</v>
      </c>
      <c r="Y59" t="e">
        <f>VLOOKUP(D59,'All - PetPoint'!$B:$Q,14,FALSE)</f>
        <v>#N/A</v>
      </c>
      <c r="Z59" t="e">
        <f>VLOOKUP(D59,'AnimalInventory - PetPoint'!$D:$AK,9,FALSE)</f>
        <v>#N/A</v>
      </c>
      <c r="AA59" s="9" t="e">
        <f>VLOOKUP(D59,'AnimalInventory - PetPoint'!$D:$AK,19,FALSE)</f>
        <v>#N/A</v>
      </c>
      <c r="AB59" s="9" t="e">
        <f>VLOOKUP(D59,'AnimalInventory - PetPoint'!$D:$AK,21,FALSE)</f>
        <v>#N/A</v>
      </c>
      <c r="AC59" t="e">
        <f>VLOOKUP(D59,'AnimalInventory - PetPoint'!$D:$AK,22,FALSE)</f>
        <v>#N/A</v>
      </c>
      <c r="AD59" t="e">
        <f>VLOOKUP(D59,'AnimalInventory - PetPoint'!$D:$AK,23,FALSE)</f>
        <v>#N/A</v>
      </c>
      <c r="AE59" t="e">
        <f>VLOOKUP(D59,'AnimalInventory - PetPoint'!$D:$AK,25,FALSE)</f>
        <v>#N/A</v>
      </c>
      <c r="AF59" t="e">
        <f>VLOOKUP(D59,'AnimalInventory - PetPoint'!$D:$AK,28,FALSE)</f>
        <v>#N/A</v>
      </c>
      <c r="AG59" t="e">
        <f>VLOOKUP(D59,'PreTreat DogTraffic'!$B:$I,2,FALSE)</f>
        <v>#N/A</v>
      </c>
      <c r="AH59" t="e">
        <f>VLOOKUP(D59,'PreTreat DogTraffic'!$B:$I,3,FALSE)</f>
        <v>#N/A</v>
      </c>
      <c r="AI59" t="e">
        <f>VLOOKUP(D59,'PreTreat DogTraffic'!$B:$I,4,FALSE)</f>
        <v>#N/A</v>
      </c>
      <c r="AJ59" t="e">
        <f>VLOOKUP(D59,'PreTreat DogTraffic'!$B:$I,5,FALSE)</f>
        <v>#N/A</v>
      </c>
      <c r="AK59" t="e">
        <f>VLOOKUP(D59,'PreTreat DogTraffic'!$B:$I,6,FALSE)</f>
        <v>#N/A</v>
      </c>
      <c r="AL59" t="e">
        <f>VLOOKUP(D59,'PreTreat DogTraffic'!$B:$I,7,FALSE)</f>
        <v>#N/A</v>
      </c>
      <c r="AM59" t="e">
        <f>VLOOKUP(D59,'PreTreat DogTraffic'!$B:$I,8,FALSE)</f>
        <v>#N/A</v>
      </c>
    </row>
    <row r="60" spans="1:39" hidden="1" x14ac:dyDescent="0.2">
      <c r="A60" t="str">
        <f>IF(D60="","",IFERROR(VLOOKUP(D60,REMOVED!$A:$D,3,FALSE),IFERROR(VLOOKUP(D60,OUTCOME!$A:$C,3,FALSE),"Yes")))</f>
        <v/>
      </c>
      <c r="B60" t="e">
        <f>VLOOKUP(D60,'Experiment Tracker'!$B:$C,2,FALSE)</f>
        <v>#N/A</v>
      </c>
      <c r="E60" t="e">
        <f>VLOOKUP(D60,'All - AdoptAPet'!$B:$AE,2,FALSE)</f>
        <v>#N/A</v>
      </c>
      <c r="F60" t="e">
        <f>VLOOKUP(D60,'All - PetPoint'!$B:$Q,7,FALSE)</f>
        <v>#N/A</v>
      </c>
      <c r="G60" t="e">
        <f>VLOOKUP(D60,'AnimalInventory - PetPoint'!$D:$AK,2,FALSE)</f>
        <v>#N/A</v>
      </c>
      <c r="H60" t="e">
        <f>VLOOKUP(D60,'All - AdoptAPet'!$B:$AE,7,FALSE)</f>
        <v>#N/A</v>
      </c>
      <c r="I60" t="e">
        <f>VLOOKUP(D60,'All - AdoptAPet'!$B:$AE,8,FALSE)</f>
        <v>#N/A</v>
      </c>
      <c r="J60" t="e">
        <f>VLOOKUP(D60,'All - AdoptAPet'!$B:$AE,9,FALSE)</f>
        <v>#N/A</v>
      </c>
      <c r="K60" t="e">
        <f>VLOOKUP(D60,'All - AdoptAPet'!$B:$AE,10,FALSE)</f>
        <v>#N/A</v>
      </c>
      <c r="L60" t="e">
        <f>VLOOKUP(D60,'All - AdoptAPet'!$B:$AE,11,FALSE)</f>
        <v>#N/A</v>
      </c>
      <c r="M60" t="e">
        <f>VLOOKUP(D60,'All - AdoptAPet'!$B:$AE,12,FALSE)</f>
        <v>#N/A</v>
      </c>
      <c r="N60" t="e">
        <f>VLOOKUP(D60,'All - AdoptAPet'!$B:$AE,14,FALSE)</f>
        <v>#N/A</v>
      </c>
      <c r="O60" t="e">
        <f>VLOOKUP(D60,'All - AdoptAPet'!$B:$AE,15,FALSE)</f>
        <v>#N/A</v>
      </c>
      <c r="P60" t="e">
        <f>VLOOKUP(D60,'All - AdoptAPet'!$B:$AE,16,FALSE)</f>
        <v>#N/A</v>
      </c>
      <c r="Q60" t="e">
        <f>VLOOKUP(D60,'All - AdoptAPet'!$B:$AE,17,FALSE)</f>
        <v>#N/A</v>
      </c>
      <c r="R60" t="e">
        <f>VLOOKUP(D60,'All - AdoptAPet'!$B:$AE,19,FALSE)</f>
        <v>#N/A</v>
      </c>
      <c r="S60" t="e">
        <f>VLOOKUP(D60,'All - AdoptAPet'!$B:$AE,20,FALSE)</f>
        <v>#N/A</v>
      </c>
      <c r="T60" t="e">
        <f>VLOOKUP(D60,'All - AdoptAPet'!$B:$AE,21,FALSE)</f>
        <v>#N/A</v>
      </c>
      <c r="U60" t="e">
        <f>VLOOKUP(D60,'All - AdoptAPet'!$B:$AE,22,FALSE)</f>
        <v>#N/A</v>
      </c>
      <c r="V60" t="e">
        <f>IF(VLOOKUP(D60,'All - AdoptAPet'!$B:$AE,23,FALSE)="","No", "Yes")</f>
        <v>#N/A</v>
      </c>
      <c r="W60" t="e">
        <f>VLOOKUP(D60,'All - PetPoint'!$B:$Q,4,FALSE)</f>
        <v>#N/A</v>
      </c>
      <c r="X60" t="e">
        <f>VLOOKUP(D60,'All - PetPoint'!$B:$Q,11,FALSE)</f>
        <v>#N/A</v>
      </c>
      <c r="Y60" t="e">
        <f>VLOOKUP(D60,'All - PetPoint'!$B:$Q,14,FALSE)</f>
        <v>#N/A</v>
      </c>
      <c r="Z60" t="e">
        <f>VLOOKUP(D60,'AnimalInventory - PetPoint'!$D:$AK,9,FALSE)</f>
        <v>#N/A</v>
      </c>
      <c r="AA60" s="9" t="e">
        <f>VLOOKUP(D60,'AnimalInventory - PetPoint'!$D:$AK,19,FALSE)</f>
        <v>#N/A</v>
      </c>
      <c r="AB60" s="9" t="e">
        <f>VLOOKUP(D60,'AnimalInventory - PetPoint'!$D:$AK,21,FALSE)</f>
        <v>#N/A</v>
      </c>
      <c r="AC60" t="e">
        <f>VLOOKUP(D60,'AnimalInventory - PetPoint'!$D:$AK,22,FALSE)</f>
        <v>#N/A</v>
      </c>
      <c r="AD60" t="e">
        <f>VLOOKUP(D60,'AnimalInventory - PetPoint'!$D:$AK,23,FALSE)</f>
        <v>#N/A</v>
      </c>
      <c r="AE60" t="e">
        <f>VLOOKUP(D60,'AnimalInventory - PetPoint'!$D:$AK,25,FALSE)</f>
        <v>#N/A</v>
      </c>
      <c r="AF60" t="e">
        <f>VLOOKUP(D60,'AnimalInventory - PetPoint'!$D:$AK,28,FALSE)</f>
        <v>#N/A</v>
      </c>
      <c r="AG60" t="e">
        <f>VLOOKUP(D60,'PreTreat DogTraffic'!$B:$I,2,FALSE)</f>
        <v>#N/A</v>
      </c>
      <c r="AH60" t="e">
        <f>VLOOKUP(D60,'PreTreat DogTraffic'!$B:$I,3,FALSE)</f>
        <v>#N/A</v>
      </c>
      <c r="AI60" t="e">
        <f>VLOOKUP(D60,'PreTreat DogTraffic'!$B:$I,4,FALSE)</f>
        <v>#N/A</v>
      </c>
      <c r="AJ60" t="e">
        <f>VLOOKUP(D60,'PreTreat DogTraffic'!$B:$I,5,FALSE)</f>
        <v>#N/A</v>
      </c>
      <c r="AK60" t="e">
        <f>VLOOKUP(D60,'PreTreat DogTraffic'!$B:$I,6,FALSE)</f>
        <v>#N/A</v>
      </c>
      <c r="AL60" t="e">
        <f>VLOOKUP(D60,'PreTreat DogTraffic'!$B:$I,7,FALSE)</f>
        <v>#N/A</v>
      </c>
      <c r="AM60" t="e">
        <f>VLOOKUP(D60,'PreTreat DogTraffic'!$B:$I,8,FALSE)</f>
        <v>#N/A</v>
      </c>
    </row>
    <row r="61" spans="1:39" hidden="1" x14ac:dyDescent="0.2">
      <c r="A61" t="str">
        <f>IF(D61="","",IFERROR(VLOOKUP(D61,REMOVED!$A:$D,3,FALSE),IFERROR(VLOOKUP(D61,OUTCOME!$A:$C,3,FALSE),"Yes")))</f>
        <v/>
      </c>
      <c r="B61" t="e">
        <f>VLOOKUP(D61,'Experiment Tracker'!$B:$C,2,FALSE)</f>
        <v>#N/A</v>
      </c>
      <c r="E61" t="e">
        <f>VLOOKUP(D61,'All - AdoptAPet'!$B:$AE,2,FALSE)</f>
        <v>#N/A</v>
      </c>
      <c r="F61" t="e">
        <f>VLOOKUP(D61,'All - PetPoint'!$B:$Q,7,FALSE)</f>
        <v>#N/A</v>
      </c>
      <c r="G61" t="e">
        <f>VLOOKUP(D61,'AnimalInventory - PetPoint'!$D:$AK,2,FALSE)</f>
        <v>#N/A</v>
      </c>
      <c r="H61" t="e">
        <f>VLOOKUP(D61,'All - AdoptAPet'!$B:$AE,7,FALSE)</f>
        <v>#N/A</v>
      </c>
      <c r="I61" t="e">
        <f>VLOOKUP(D61,'All - AdoptAPet'!$B:$AE,8,FALSE)</f>
        <v>#N/A</v>
      </c>
      <c r="J61" t="e">
        <f>VLOOKUP(D61,'All - AdoptAPet'!$B:$AE,9,FALSE)</f>
        <v>#N/A</v>
      </c>
      <c r="K61" t="e">
        <f>VLOOKUP(D61,'All - AdoptAPet'!$B:$AE,10,FALSE)</f>
        <v>#N/A</v>
      </c>
      <c r="L61" t="e">
        <f>VLOOKUP(D61,'All - AdoptAPet'!$B:$AE,11,FALSE)</f>
        <v>#N/A</v>
      </c>
      <c r="M61" t="e">
        <f>VLOOKUP(D61,'All - AdoptAPet'!$B:$AE,12,FALSE)</f>
        <v>#N/A</v>
      </c>
      <c r="N61" t="e">
        <f>VLOOKUP(D61,'All - AdoptAPet'!$B:$AE,14,FALSE)</f>
        <v>#N/A</v>
      </c>
      <c r="O61" t="e">
        <f>VLOOKUP(D61,'All - AdoptAPet'!$B:$AE,15,FALSE)</f>
        <v>#N/A</v>
      </c>
      <c r="P61" t="e">
        <f>VLOOKUP(D61,'All - AdoptAPet'!$B:$AE,16,FALSE)</f>
        <v>#N/A</v>
      </c>
      <c r="Q61" t="e">
        <f>VLOOKUP(D61,'All - AdoptAPet'!$B:$AE,17,FALSE)</f>
        <v>#N/A</v>
      </c>
      <c r="R61" t="e">
        <f>VLOOKUP(D61,'All - AdoptAPet'!$B:$AE,19,FALSE)</f>
        <v>#N/A</v>
      </c>
      <c r="S61" t="e">
        <f>VLOOKUP(D61,'All - AdoptAPet'!$B:$AE,20,FALSE)</f>
        <v>#N/A</v>
      </c>
      <c r="T61" t="e">
        <f>VLOOKUP(D61,'All - AdoptAPet'!$B:$AE,21,FALSE)</f>
        <v>#N/A</v>
      </c>
      <c r="U61" t="e">
        <f>VLOOKUP(D61,'All - AdoptAPet'!$B:$AE,22,FALSE)</f>
        <v>#N/A</v>
      </c>
      <c r="V61" t="e">
        <f>IF(VLOOKUP(D61,'All - AdoptAPet'!$B:$AE,23,FALSE)="","No", "Yes")</f>
        <v>#N/A</v>
      </c>
      <c r="W61" t="e">
        <f>VLOOKUP(D61,'All - PetPoint'!$B:$Q,4,FALSE)</f>
        <v>#N/A</v>
      </c>
      <c r="X61" t="e">
        <f>VLOOKUP(D61,'All - PetPoint'!$B:$Q,11,FALSE)</f>
        <v>#N/A</v>
      </c>
      <c r="Y61" t="e">
        <f>VLOOKUP(D61,'All - PetPoint'!$B:$Q,14,FALSE)</f>
        <v>#N/A</v>
      </c>
      <c r="Z61" t="e">
        <f>VLOOKUP(D61,'AnimalInventory - PetPoint'!$D:$AK,9,FALSE)</f>
        <v>#N/A</v>
      </c>
      <c r="AA61" s="9" t="e">
        <f>VLOOKUP(D61,'AnimalInventory - PetPoint'!$D:$AK,19,FALSE)</f>
        <v>#N/A</v>
      </c>
      <c r="AB61" s="9" t="e">
        <f>VLOOKUP(D61,'AnimalInventory - PetPoint'!$D:$AK,21,FALSE)</f>
        <v>#N/A</v>
      </c>
      <c r="AC61" t="e">
        <f>VLOOKUP(D61,'AnimalInventory - PetPoint'!$D:$AK,22,FALSE)</f>
        <v>#N/A</v>
      </c>
      <c r="AD61" t="e">
        <f>VLOOKUP(D61,'AnimalInventory - PetPoint'!$D:$AK,23,FALSE)</f>
        <v>#N/A</v>
      </c>
      <c r="AE61" t="e">
        <f>VLOOKUP(D61,'AnimalInventory - PetPoint'!$D:$AK,25,FALSE)</f>
        <v>#N/A</v>
      </c>
      <c r="AF61" t="e">
        <f>VLOOKUP(D61,'AnimalInventory - PetPoint'!$D:$AK,28,FALSE)</f>
        <v>#N/A</v>
      </c>
      <c r="AG61" t="e">
        <f>VLOOKUP(D61,'PreTreat DogTraffic'!$B:$I,2,FALSE)</f>
        <v>#N/A</v>
      </c>
      <c r="AH61" t="e">
        <f>VLOOKUP(D61,'PreTreat DogTraffic'!$B:$I,3,FALSE)</f>
        <v>#N/A</v>
      </c>
      <c r="AI61" t="e">
        <f>VLOOKUP(D61,'PreTreat DogTraffic'!$B:$I,4,FALSE)</f>
        <v>#N/A</v>
      </c>
      <c r="AJ61" t="e">
        <f>VLOOKUP(D61,'PreTreat DogTraffic'!$B:$I,5,FALSE)</f>
        <v>#N/A</v>
      </c>
      <c r="AK61" t="e">
        <f>VLOOKUP(D61,'PreTreat DogTraffic'!$B:$I,6,FALSE)</f>
        <v>#N/A</v>
      </c>
      <c r="AL61" t="e">
        <f>VLOOKUP(D61,'PreTreat DogTraffic'!$B:$I,7,FALSE)</f>
        <v>#N/A</v>
      </c>
      <c r="AM61" t="e">
        <f>VLOOKUP(D61,'PreTreat DogTraffic'!$B:$I,8,FALSE)</f>
        <v>#N/A</v>
      </c>
    </row>
    <row r="62" spans="1:39" hidden="1" x14ac:dyDescent="0.2">
      <c r="A62" t="str">
        <f>IF(D62="","",IFERROR(VLOOKUP(D62,REMOVED!$A:$D,3,FALSE),IFERROR(VLOOKUP(D62,OUTCOME!$A:$C,3,FALSE),"Yes")))</f>
        <v/>
      </c>
      <c r="B62" t="e">
        <f>VLOOKUP(D62,'Experiment Tracker'!$B:$C,2,FALSE)</f>
        <v>#N/A</v>
      </c>
      <c r="E62" t="e">
        <f>VLOOKUP(D62,'All - AdoptAPet'!$B:$AE,2,FALSE)</f>
        <v>#N/A</v>
      </c>
      <c r="F62" t="e">
        <f>VLOOKUP(D62,'All - PetPoint'!$B:$Q,7,FALSE)</f>
        <v>#N/A</v>
      </c>
      <c r="G62" t="e">
        <f>VLOOKUP(D62,'AnimalInventory - PetPoint'!$D:$AK,2,FALSE)</f>
        <v>#N/A</v>
      </c>
      <c r="H62" t="e">
        <f>VLOOKUP(D62,'All - AdoptAPet'!$B:$AE,7,FALSE)</f>
        <v>#N/A</v>
      </c>
      <c r="I62" t="e">
        <f>VLOOKUP(D62,'All - AdoptAPet'!$B:$AE,8,FALSE)</f>
        <v>#N/A</v>
      </c>
      <c r="J62" t="e">
        <f>VLOOKUP(D62,'All - AdoptAPet'!$B:$AE,9,FALSE)</f>
        <v>#N/A</v>
      </c>
      <c r="K62" t="e">
        <f>VLOOKUP(D62,'All - AdoptAPet'!$B:$AE,10,FALSE)</f>
        <v>#N/A</v>
      </c>
      <c r="L62" t="e">
        <f>VLOOKUP(D62,'All - AdoptAPet'!$B:$AE,11,FALSE)</f>
        <v>#N/A</v>
      </c>
      <c r="M62" t="e">
        <f>VLOOKUP(D62,'All - AdoptAPet'!$B:$AE,12,FALSE)</f>
        <v>#N/A</v>
      </c>
      <c r="N62" t="e">
        <f>VLOOKUP(D62,'All - AdoptAPet'!$B:$AE,14,FALSE)</f>
        <v>#N/A</v>
      </c>
      <c r="O62" t="e">
        <f>VLOOKUP(D62,'All - AdoptAPet'!$B:$AE,15,FALSE)</f>
        <v>#N/A</v>
      </c>
      <c r="P62" t="e">
        <f>VLOOKUP(D62,'All - AdoptAPet'!$B:$AE,16,FALSE)</f>
        <v>#N/A</v>
      </c>
      <c r="Q62" t="e">
        <f>VLOOKUP(D62,'All - AdoptAPet'!$B:$AE,17,FALSE)</f>
        <v>#N/A</v>
      </c>
      <c r="R62" t="e">
        <f>VLOOKUP(D62,'All - AdoptAPet'!$B:$AE,19,FALSE)</f>
        <v>#N/A</v>
      </c>
      <c r="S62" t="e">
        <f>VLOOKUP(D62,'All - AdoptAPet'!$B:$AE,20,FALSE)</f>
        <v>#N/A</v>
      </c>
      <c r="T62" t="e">
        <f>VLOOKUP(D62,'All - AdoptAPet'!$B:$AE,21,FALSE)</f>
        <v>#N/A</v>
      </c>
      <c r="U62" t="e">
        <f>VLOOKUP(D62,'All - AdoptAPet'!$B:$AE,22,FALSE)</f>
        <v>#N/A</v>
      </c>
      <c r="V62" t="e">
        <f>IF(VLOOKUP(D62,'All - AdoptAPet'!$B:$AE,23,FALSE)="","No", "Yes")</f>
        <v>#N/A</v>
      </c>
      <c r="W62" t="e">
        <f>VLOOKUP(D62,'All - PetPoint'!$B:$Q,4,FALSE)</f>
        <v>#N/A</v>
      </c>
      <c r="X62" t="e">
        <f>VLOOKUP(D62,'All - PetPoint'!$B:$Q,11,FALSE)</f>
        <v>#N/A</v>
      </c>
      <c r="Y62" t="e">
        <f>VLOOKUP(D62,'All - PetPoint'!$B:$Q,14,FALSE)</f>
        <v>#N/A</v>
      </c>
      <c r="Z62" t="e">
        <f>VLOOKUP(D62,'AnimalInventory - PetPoint'!$D:$AK,9,FALSE)</f>
        <v>#N/A</v>
      </c>
      <c r="AA62" s="9" t="e">
        <f>VLOOKUP(D62,'AnimalInventory - PetPoint'!$D:$AK,19,FALSE)</f>
        <v>#N/A</v>
      </c>
      <c r="AB62" s="9" t="e">
        <f>VLOOKUP(D62,'AnimalInventory - PetPoint'!$D:$AK,21,FALSE)</f>
        <v>#N/A</v>
      </c>
      <c r="AC62" t="e">
        <f>VLOOKUP(D62,'AnimalInventory - PetPoint'!$D:$AK,22,FALSE)</f>
        <v>#N/A</v>
      </c>
      <c r="AD62" t="e">
        <f>VLOOKUP(D62,'AnimalInventory - PetPoint'!$D:$AK,23,FALSE)</f>
        <v>#N/A</v>
      </c>
      <c r="AE62" t="e">
        <f>VLOOKUP(D62,'AnimalInventory - PetPoint'!$D:$AK,25,FALSE)</f>
        <v>#N/A</v>
      </c>
      <c r="AF62" t="e">
        <f>VLOOKUP(D62,'AnimalInventory - PetPoint'!$D:$AK,28,FALSE)</f>
        <v>#N/A</v>
      </c>
      <c r="AG62" t="e">
        <f>VLOOKUP(D62,'PreTreat DogTraffic'!$B:$I,2,FALSE)</f>
        <v>#N/A</v>
      </c>
      <c r="AH62" t="e">
        <f>VLOOKUP(D62,'PreTreat DogTraffic'!$B:$I,3,FALSE)</f>
        <v>#N/A</v>
      </c>
      <c r="AI62" t="e">
        <f>VLOOKUP(D62,'PreTreat DogTraffic'!$B:$I,4,FALSE)</f>
        <v>#N/A</v>
      </c>
      <c r="AJ62" t="e">
        <f>VLOOKUP(D62,'PreTreat DogTraffic'!$B:$I,5,FALSE)</f>
        <v>#N/A</v>
      </c>
      <c r="AK62" t="e">
        <f>VLOOKUP(D62,'PreTreat DogTraffic'!$B:$I,6,FALSE)</f>
        <v>#N/A</v>
      </c>
      <c r="AL62" t="e">
        <f>VLOOKUP(D62,'PreTreat DogTraffic'!$B:$I,7,FALSE)</f>
        <v>#N/A</v>
      </c>
      <c r="AM62" t="e">
        <f>VLOOKUP(D62,'PreTreat DogTraffic'!$B:$I,8,FALSE)</f>
        <v>#N/A</v>
      </c>
    </row>
    <row r="63" spans="1:39" hidden="1" x14ac:dyDescent="0.2">
      <c r="AA63" s="9"/>
      <c r="AB63" s="9"/>
    </row>
    <row r="64" spans="1:39" hidden="1" x14ac:dyDescent="0.2">
      <c r="AA64" s="9"/>
      <c r="AB64" s="9"/>
    </row>
    <row r="65" spans="27:28" hidden="1" x14ac:dyDescent="0.2">
      <c r="AA65" s="9"/>
      <c r="AB65" s="9"/>
    </row>
    <row r="66" spans="27:28" hidden="1" x14ac:dyDescent="0.2">
      <c r="AA66" s="9"/>
      <c r="AB66" s="9"/>
    </row>
    <row r="67" spans="27:28" hidden="1" x14ac:dyDescent="0.2">
      <c r="AA67" s="9"/>
      <c r="AB67" s="9"/>
    </row>
    <row r="68" spans="27:28" hidden="1" x14ac:dyDescent="0.2">
      <c r="AA68" s="9"/>
      <c r="AB68" s="9"/>
    </row>
    <row r="69" spans="27:28" hidden="1" x14ac:dyDescent="0.2">
      <c r="AA69" s="9"/>
      <c r="AB69" s="9"/>
    </row>
    <row r="70" spans="27:28" hidden="1" x14ac:dyDescent="0.2">
      <c r="AA70" s="9"/>
      <c r="AB70" s="9"/>
    </row>
    <row r="71" spans="27:28" hidden="1" x14ac:dyDescent="0.2">
      <c r="AA71" s="9"/>
      <c r="AB71" s="9"/>
    </row>
    <row r="72" spans="27:28" hidden="1" x14ac:dyDescent="0.2">
      <c r="AA72" s="9"/>
      <c r="AB72" s="9"/>
    </row>
    <row r="73" spans="27:28" hidden="1" x14ac:dyDescent="0.2">
      <c r="AA73" s="9"/>
      <c r="AB73" s="9"/>
    </row>
    <row r="74" spans="27:28" hidden="1" x14ac:dyDescent="0.2">
      <c r="AA74" s="9"/>
      <c r="AB74" s="9"/>
    </row>
    <row r="75" spans="27:28" hidden="1" x14ac:dyDescent="0.2">
      <c r="AA75" s="9"/>
      <c r="AB75" s="9"/>
    </row>
    <row r="76" spans="27:28" hidden="1" x14ac:dyDescent="0.2">
      <c r="AA76" s="9"/>
      <c r="AB76" s="9"/>
    </row>
    <row r="77" spans="27:28" hidden="1" x14ac:dyDescent="0.2">
      <c r="AA77" s="9"/>
      <c r="AB77" s="9"/>
    </row>
    <row r="78" spans="27:28" hidden="1" x14ac:dyDescent="0.2">
      <c r="AA78" s="9"/>
      <c r="AB78" s="9"/>
    </row>
    <row r="79" spans="27:28" hidden="1" x14ac:dyDescent="0.2">
      <c r="AA79" s="9"/>
      <c r="AB79" s="9"/>
    </row>
    <row r="80" spans="27:28" hidden="1" x14ac:dyDescent="0.2">
      <c r="AA80" s="9"/>
      <c r="AB80" s="9"/>
    </row>
    <row r="81" spans="27:28" hidden="1" x14ac:dyDescent="0.2">
      <c r="AA81" s="9"/>
      <c r="AB81" s="9"/>
    </row>
    <row r="82" spans="27:28" x14ac:dyDescent="0.2">
      <c r="AA82" s="9"/>
      <c r="AB82" s="9"/>
    </row>
    <row r="83" spans="27:28" x14ac:dyDescent="0.2">
      <c r="AA83" s="9"/>
      <c r="AB83" s="9"/>
    </row>
    <row r="84" spans="27:28" x14ac:dyDescent="0.2">
      <c r="AA84" s="9"/>
      <c r="AB84" s="9"/>
    </row>
    <row r="85" spans="27:28" x14ac:dyDescent="0.2">
      <c r="AA85" s="9"/>
      <c r="AB85" s="9"/>
    </row>
    <row r="86" spans="27:28" x14ac:dyDescent="0.2">
      <c r="AA86" s="9"/>
      <c r="AB86" s="9"/>
    </row>
    <row r="87" spans="27:28" x14ac:dyDescent="0.2">
      <c r="AA87" s="9"/>
      <c r="AB87" s="9"/>
    </row>
    <row r="88" spans="27:28" x14ac:dyDescent="0.2">
      <c r="AA88" s="9"/>
      <c r="AB88" s="9"/>
    </row>
  </sheetData>
  <autoFilter ref="A1:AM81" xr:uid="{E5F4D11D-B9DB-8A45-82A8-F4B04EEB7B09}">
    <filterColumn colId="0">
      <filters>
        <filter val="Yes"/>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D8A4D-DF5C-0742-B88B-FD3E55F2727F}">
  <dimension ref="A1:D50"/>
  <sheetViews>
    <sheetView workbookViewId="0">
      <selection activeCell="E8" sqref="E8"/>
    </sheetView>
  </sheetViews>
  <sheetFormatPr baseColWidth="10" defaultRowHeight="15" x14ac:dyDescent="0.2"/>
  <cols>
    <col min="4" max="4" width="16.33203125" bestFit="1" customWidth="1"/>
  </cols>
  <sheetData>
    <row r="1" spans="1:4" x14ac:dyDescent="0.2">
      <c r="A1" s="8" t="s">
        <v>1263</v>
      </c>
      <c r="B1" s="8" t="s">
        <v>2</v>
      </c>
      <c r="C1" s="8" t="s">
        <v>1487</v>
      </c>
      <c r="D1" s="8" t="s">
        <v>1264</v>
      </c>
    </row>
    <row r="2" spans="1:4" x14ac:dyDescent="0.2">
      <c r="A2" t="s">
        <v>420</v>
      </c>
      <c r="B2" t="s">
        <v>421</v>
      </c>
      <c r="C2" s="8" t="s">
        <v>1728</v>
      </c>
      <c r="D2" s="8" t="s">
        <v>1265</v>
      </c>
    </row>
    <row r="3" spans="1:4" x14ac:dyDescent="0.2">
      <c r="A3" t="s">
        <v>427</v>
      </c>
      <c r="B3" t="s">
        <v>428</v>
      </c>
      <c r="C3" s="8" t="s">
        <v>1728</v>
      </c>
      <c r="D3" s="8" t="s">
        <v>1265</v>
      </c>
    </row>
    <row r="4" spans="1:4" x14ac:dyDescent="0.2">
      <c r="A4" t="s">
        <v>393</v>
      </c>
      <c r="B4" t="s">
        <v>394</v>
      </c>
      <c r="C4" s="8" t="s">
        <v>1728</v>
      </c>
      <c r="D4" s="8" t="s">
        <v>1265</v>
      </c>
    </row>
    <row r="5" spans="1:4" x14ac:dyDescent="0.2">
      <c r="A5" t="s">
        <v>94</v>
      </c>
      <c r="B5" t="s">
        <v>95</v>
      </c>
      <c r="C5" s="8" t="s">
        <v>1728</v>
      </c>
      <c r="D5" s="8" t="s">
        <v>1265</v>
      </c>
    </row>
    <row r="6" spans="1:4" x14ac:dyDescent="0.2">
      <c r="A6" t="s">
        <v>363</v>
      </c>
      <c r="B6" t="s">
        <v>364</v>
      </c>
      <c r="C6" s="8" t="s">
        <v>1728</v>
      </c>
      <c r="D6" s="8" t="s">
        <v>1265</v>
      </c>
    </row>
    <row r="7" spans="1:4" x14ac:dyDescent="0.2">
      <c r="A7" t="s">
        <v>244</v>
      </c>
      <c r="B7" t="s">
        <v>1084</v>
      </c>
      <c r="C7" s="8" t="s">
        <v>1728</v>
      </c>
      <c r="D7" s="8" t="s">
        <v>1265</v>
      </c>
    </row>
    <row r="8" spans="1:4" x14ac:dyDescent="0.2">
      <c r="A8" t="s">
        <v>365</v>
      </c>
      <c r="B8" t="s">
        <v>366</v>
      </c>
      <c r="C8" s="8" t="s">
        <v>1728</v>
      </c>
      <c r="D8" s="8" t="s">
        <v>1265</v>
      </c>
    </row>
    <row r="9" spans="1:4" x14ac:dyDescent="0.2">
      <c r="A9" t="s">
        <v>43</v>
      </c>
      <c r="B9" t="s">
        <v>44</v>
      </c>
      <c r="C9" s="8" t="s">
        <v>1728</v>
      </c>
      <c r="D9" s="8" t="s">
        <v>1266</v>
      </c>
    </row>
    <row r="10" spans="1:4" x14ac:dyDescent="0.2">
      <c r="A10" t="s">
        <v>66</v>
      </c>
      <c r="B10" t="s">
        <v>67</v>
      </c>
      <c r="C10" s="8" t="s">
        <v>1728</v>
      </c>
      <c r="D10" s="8" t="s">
        <v>1266</v>
      </c>
    </row>
    <row r="11" spans="1:4" x14ac:dyDescent="0.2">
      <c r="A11" t="s">
        <v>78</v>
      </c>
      <c r="B11" t="s">
        <v>79</v>
      </c>
      <c r="C11" s="8" t="s">
        <v>1728</v>
      </c>
      <c r="D11" s="8" t="s">
        <v>1266</v>
      </c>
    </row>
    <row r="12" spans="1:4" x14ac:dyDescent="0.2">
      <c r="A12" t="s">
        <v>104</v>
      </c>
      <c r="B12" t="s">
        <v>1085</v>
      </c>
      <c r="C12" s="8" t="s">
        <v>1728</v>
      </c>
      <c r="D12" s="8" t="s">
        <v>1266</v>
      </c>
    </row>
    <row r="13" spans="1:4" x14ac:dyDescent="0.2">
      <c r="A13" t="s">
        <v>115</v>
      </c>
      <c r="B13" t="s">
        <v>116</v>
      </c>
      <c r="C13" s="8" t="s">
        <v>1728</v>
      </c>
      <c r="D13" s="8" t="s">
        <v>1266</v>
      </c>
    </row>
    <row r="14" spans="1:4" x14ac:dyDescent="0.2">
      <c r="A14" t="s">
        <v>120</v>
      </c>
      <c r="B14" t="s">
        <v>121</v>
      </c>
      <c r="C14" s="8" t="s">
        <v>1728</v>
      </c>
      <c r="D14" s="8" t="s">
        <v>1266</v>
      </c>
    </row>
    <row r="15" spans="1:4" x14ac:dyDescent="0.2">
      <c r="A15" t="s">
        <v>127</v>
      </c>
      <c r="B15" t="s">
        <v>128</v>
      </c>
      <c r="C15" s="8" t="s">
        <v>1728</v>
      </c>
      <c r="D15" s="8" t="s">
        <v>1266</v>
      </c>
    </row>
    <row r="16" spans="1:4" x14ac:dyDescent="0.2">
      <c r="A16" t="s">
        <v>131</v>
      </c>
      <c r="B16" t="s">
        <v>1222</v>
      </c>
      <c r="C16" s="8" t="s">
        <v>1728</v>
      </c>
      <c r="D16" s="8" t="s">
        <v>1266</v>
      </c>
    </row>
    <row r="17" spans="1:4" x14ac:dyDescent="0.2">
      <c r="A17" t="s">
        <v>139</v>
      </c>
      <c r="B17" t="s">
        <v>140</v>
      </c>
      <c r="C17" s="8" t="s">
        <v>1728</v>
      </c>
      <c r="D17" s="8" t="s">
        <v>1266</v>
      </c>
    </row>
    <row r="18" spans="1:4" x14ac:dyDescent="0.2">
      <c r="A18" t="s">
        <v>144</v>
      </c>
      <c r="B18" t="s">
        <v>145</v>
      </c>
      <c r="C18" s="8" t="s">
        <v>1728</v>
      </c>
      <c r="D18" s="8" t="s">
        <v>1266</v>
      </c>
    </row>
    <row r="19" spans="1:4" x14ac:dyDescent="0.2">
      <c r="A19" t="s">
        <v>155</v>
      </c>
      <c r="B19" t="s">
        <v>1223</v>
      </c>
      <c r="C19" s="8" t="s">
        <v>1728</v>
      </c>
      <c r="D19" s="8" t="s">
        <v>1266</v>
      </c>
    </row>
    <row r="20" spans="1:4" x14ac:dyDescent="0.2">
      <c r="A20" t="s">
        <v>185</v>
      </c>
      <c r="B20" t="s">
        <v>186</v>
      </c>
      <c r="C20" s="8" t="s">
        <v>1728</v>
      </c>
      <c r="D20" s="8" t="s">
        <v>1266</v>
      </c>
    </row>
    <row r="21" spans="1:4" x14ac:dyDescent="0.2">
      <c r="A21" t="s">
        <v>190</v>
      </c>
      <c r="B21" t="s">
        <v>191</v>
      </c>
      <c r="C21" s="8" t="s">
        <v>1728</v>
      </c>
      <c r="D21" s="8" t="s">
        <v>1266</v>
      </c>
    </row>
    <row r="22" spans="1:4" x14ac:dyDescent="0.2">
      <c r="A22" t="s">
        <v>198</v>
      </c>
      <c r="B22" t="s">
        <v>199</v>
      </c>
      <c r="C22" s="8" t="s">
        <v>1728</v>
      </c>
      <c r="D22" s="8" t="s">
        <v>1266</v>
      </c>
    </row>
    <row r="23" spans="1:4" x14ac:dyDescent="0.2">
      <c r="A23" t="s">
        <v>201</v>
      </c>
      <c r="B23" t="s">
        <v>202</v>
      </c>
      <c r="C23" s="8" t="s">
        <v>1728</v>
      </c>
      <c r="D23" s="8" t="s">
        <v>1266</v>
      </c>
    </row>
    <row r="24" spans="1:4" x14ac:dyDescent="0.2">
      <c r="A24" t="s">
        <v>213</v>
      </c>
      <c r="B24" t="s">
        <v>214</v>
      </c>
      <c r="C24" s="8" t="s">
        <v>1728</v>
      </c>
      <c r="D24" s="8" t="s">
        <v>1266</v>
      </c>
    </row>
    <row r="25" spans="1:4" x14ac:dyDescent="0.2">
      <c r="A25" t="s">
        <v>283</v>
      </c>
      <c r="B25" t="s">
        <v>284</v>
      </c>
      <c r="C25" s="8" t="s">
        <v>1728</v>
      </c>
      <c r="D25" s="8" t="s">
        <v>1266</v>
      </c>
    </row>
    <row r="26" spans="1:4" x14ac:dyDescent="0.2">
      <c r="A26" t="s">
        <v>305</v>
      </c>
      <c r="B26" t="s">
        <v>306</v>
      </c>
      <c r="C26" s="8" t="s">
        <v>1728</v>
      </c>
      <c r="D26" s="8" t="s">
        <v>1266</v>
      </c>
    </row>
    <row r="27" spans="1:4" x14ac:dyDescent="0.2">
      <c r="A27" t="s">
        <v>51</v>
      </c>
      <c r="B27" t="s">
        <v>52</v>
      </c>
      <c r="C27" s="8" t="s">
        <v>1728</v>
      </c>
      <c r="D27" s="8" t="s">
        <v>1265</v>
      </c>
    </row>
    <row r="28" spans="1:4" x14ac:dyDescent="0.2">
      <c r="A28" t="s">
        <v>63</v>
      </c>
      <c r="B28" t="s">
        <v>64</v>
      </c>
      <c r="C28" s="8" t="s">
        <v>1728</v>
      </c>
      <c r="D28" s="8" t="s">
        <v>1265</v>
      </c>
    </row>
    <row r="29" spans="1:4" x14ac:dyDescent="0.2">
      <c r="A29" t="s">
        <v>87</v>
      </c>
      <c r="B29" t="s">
        <v>88</v>
      </c>
      <c r="C29" s="8" t="s">
        <v>1728</v>
      </c>
      <c r="D29" s="8" t="s">
        <v>1265</v>
      </c>
    </row>
    <row r="30" spans="1:4" x14ac:dyDescent="0.2">
      <c r="A30" t="s">
        <v>151</v>
      </c>
      <c r="B30" t="s">
        <v>152</v>
      </c>
      <c r="C30" s="8" t="s">
        <v>1728</v>
      </c>
      <c r="D30" s="8" t="s">
        <v>1265</v>
      </c>
    </row>
    <row r="31" spans="1:4" x14ac:dyDescent="0.2">
      <c r="A31" t="s">
        <v>183</v>
      </c>
      <c r="B31" t="s">
        <v>184</v>
      </c>
      <c r="C31" s="8" t="s">
        <v>1728</v>
      </c>
      <c r="D31" s="8" t="s">
        <v>1265</v>
      </c>
    </row>
    <row r="32" spans="1:4" x14ac:dyDescent="0.2">
      <c r="A32" t="s">
        <v>43</v>
      </c>
      <c r="B32" t="s">
        <v>44</v>
      </c>
      <c r="C32" s="8" t="s">
        <v>1728</v>
      </c>
      <c r="D32" s="8" t="s">
        <v>1266</v>
      </c>
    </row>
    <row r="33" spans="1:4" x14ac:dyDescent="0.2">
      <c r="A33" t="s">
        <v>66</v>
      </c>
      <c r="B33" t="s">
        <v>67</v>
      </c>
      <c r="C33" s="8" t="s">
        <v>1728</v>
      </c>
      <c r="D33" s="8" t="s">
        <v>1266</v>
      </c>
    </row>
    <row r="34" spans="1:4" x14ac:dyDescent="0.2">
      <c r="A34" t="s">
        <v>78</v>
      </c>
      <c r="B34" t="s">
        <v>79</v>
      </c>
      <c r="C34" s="8" t="s">
        <v>1728</v>
      </c>
      <c r="D34" s="8" t="s">
        <v>1266</v>
      </c>
    </row>
    <row r="35" spans="1:4" x14ac:dyDescent="0.2">
      <c r="A35" t="s">
        <v>87</v>
      </c>
      <c r="B35" t="s">
        <v>88</v>
      </c>
      <c r="C35" s="8" t="s">
        <v>1728</v>
      </c>
      <c r="D35" s="8" t="s">
        <v>1266</v>
      </c>
    </row>
    <row r="36" spans="1:4" x14ac:dyDescent="0.2">
      <c r="A36" t="s">
        <v>104</v>
      </c>
      <c r="B36" t="s">
        <v>1085</v>
      </c>
      <c r="C36" s="8" t="s">
        <v>1728</v>
      </c>
      <c r="D36" s="8" t="s">
        <v>1266</v>
      </c>
    </row>
    <row r="37" spans="1:4" x14ac:dyDescent="0.2">
      <c r="A37" t="s">
        <v>115</v>
      </c>
      <c r="B37" t="s">
        <v>116</v>
      </c>
      <c r="C37" s="8" t="s">
        <v>1728</v>
      </c>
      <c r="D37" s="8" t="s">
        <v>1266</v>
      </c>
    </row>
    <row r="38" spans="1:4" x14ac:dyDescent="0.2">
      <c r="A38" t="s">
        <v>120</v>
      </c>
      <c r="B38" t="s">
        <v>121</v>
      </c>
      <c r="C38" s="8" t="s">
        <v>1728</v>
      </c>
      <c r="D38" s="8" t="s">
        <v>1266</v>
      </c>
    </row>
    <row r="39" spans="1:4" x14ac:dyDescent="0.2">
      <c r="A39" t="s">
        <v>127</v>
      </c>
      <c r="B39" t="s">
        <v>128</v>
      </c>
      <c r="C39" s="8" t="s">
        <v>1728</v>
      </c>
      <c r="D39" s="8" t="s">
        <v>1266</v>
      </c>
    </row>
    <row r="40" spans="1:4" x14ac:dyDescent="0.2">
      <c r="A40" t="s">
        <v>131</v>
      </c>
      <c r="B40" t="s">
        <v>1222</v>
      </c>
      <c r="C40" s="8" t="s">
        <v>1728</v>
      </c>
      <c r="D40" s="8" t="s">
        <v>1266</v>
      </c>
    </row>
    <row r="41" spans="1:4" x14ac:dyDescent="0.2">
      <c r="A41" t="s">
        <v>139</v>
      </c>
      <c r="B41" t="s">
        <v>140</v>
      </c>
      <c r="C41" s="8" t="s">
        <v>1728</v>
      </c>
      <c r="D41" s="8" t="s">
        <v>1266</v>
      </c>
    </row>
    <row r="42" spans="1:4" x14ac:dyDescent="0.2">
      <c r="A42" t="s">
        <v>144</v>
      </c>
      <c r="B42" t="s">
        <v>145</v>
      </c>
      <c r="C42" s="8" t="s">
        <v>1728</v>
      </c>
      <c r="D42" s="8" t="s">
        <v>1266</v>
      </c>
    </row>
    <row r="43" spans="1:4" x14ac:dyDescent="0.2">
      <c r="A43" t="s">
        <v>155</v>
      </c>
      <c r="B43" t="s">
        <v>1223</v>
      </c>
      <c r="C43" s="8" t="s">
        <v>1728</v>
      </c>
      <c r="D43" s="8" t="s">
        <v>1266</v>
      </c>
    </row>
    <row r="44" spans="1:4" x14ac:dyDescent="0.2">
      <c r="A44" t="s">
        <v>185</v>
      </c>
      <c r="B44" t="s">
        <v>186</v>
      </c>
      <c r="C44" s="8" t="s">
        <v>1728</v>
      </c>
      <c r="D44" s="8" t="s">
        <v>1266</v>
      </c>
    </row>
    <row r="45" spans="1:4" x14ac:dyDescent="0.2">
      <c r="A45" t="s">
        <v>190</v>
      </c>
      <c r="B45" t="s">
        <v>191</v>
      </c>
      <c r="C45" s="8" t="s">
        <v>1728</v>
      </c>
      <c r="D45" s="8" t="s">
        <v>1266</v>
      </c>
    </row>
    <row r="46" spans="1:4" x14ac:dyDescent="0.2">
      <c r="A46" t="s">
        <v>198</v>
      </c>
      <c r="B46" t="s">
        <v>199</v>
      </c>
      <c r="C46" s="8" t="s">
        <v>1728</v>
      </c>
      <c r="D46" s="8" t="s">
        <v>1266</v>
      </c>
    </row>
    <row r="47" spans="1:4" x14ac:dyDescent="0.2">
      <c r="A47" t="s">
        <v>201</v>
      </c>
      <c r="B47" t="s">
        <v>202</v>
      </c>
      <c r="C47" s="8" t="s">
        <v>1728</v>
      </c>
      <c r="D47" s="8" t="s">
        <v>1266</v>
      </c>
    </row>
    <row r="48" spans="1:4" x14ac:dyDescent="0.2">
      <c r="A48" t="s">
        <v>213</v>
      </c>
      <c r="B48" t="s">
        <v>214</v>
      </c>
      <c r="C48" s="8" t="s">
        <v>1728</v>
      </c>
      <c r="D48" s="8" t="s">
        <v>1266</v>
      </c>
    </row>
    <row r="49" spans="1:4" x14ac:dyDescent="0.2">
      <c r="A49" t="s">
        <v>283</v>
      </c>
      <c r="B49" t="s">
        <v>284</v>
      </c>
      <c r="C49" s="8" t="s">
        <v>1728</v>
      </c>
      <c r="D49" s="8" t="s">
        <v>1266</v>
      </c>
    </row>
    <row r="50" spans="1:4" x14ac:dyDescent="0.2">
      <c r="A50" t="s">
        <v>305</v>
      </c>
      <c r="B50" t="s">
        <v>306</v>
      </c>
      <c r="C50" s="8" t="s">
        <v>1728</v>
      </c>
      <c r="D50" s="8" t="s">
        <v>1266</v>
      </c>
    </row>
  </sheetData>
  <conditionalFormatting sqref="A1:A1048576">
    <cfRule type="duplicateValues" dxfId="0"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48FB95-6C9F-A54A-99F3-DFEC6AB25A17}">
  <dimension ref="A1:C23"/>
  <sheetViews>
    <sheetView workbookViewId="0">
      <selection activeCell="C24" sqref="C24"/>
    </sheetView>
  </sheetViews>
  <sheetFormatPr baseColWidth="10" defaultRowHeight="15" x14ac:dyDescent="0.2"/>
  <sheetData>
    <row r="1" spans="1:3" x14ac:dyDescent="0.2">
      <c r="A1" s="8" t="s">
        <v>1263</v>
      </c>
      <c r="B1" s="8" t="s">
        <v>2</v>
      </c>
      <c r="C1" s="8" t="s">
        <v>1058</v>
      </c>
    </row>
    <row r="2" spans="1:3" x14ac:dyDescent="0.2">
      <c r="A2" t="s">
        <v>129</v>
      </c>
      <c r="B2" t="str">
        <f>VLOOKUP(A2,'Experiment Tracker'!$B:$C,2,FALSE)</f>
        <v>Koko</v>
      </c>
      <c r="C2" s="8" t="s">
        <v>2165</v>
      </c>
    </row>
    <row r="3" spans="1:3" x14ac:dyDescent="0.2">
      <c r="A3" t="s">
        <v>287</v>
      </c>
      <c r="B3" t="str">
        <f>VLOOKUP(A3,'Experiment Tracker'!$B:$C,2,FALSE)</f>
        <v>Auggie</v>
      </c>
      <c r="C3" s="8" t="s">
        <v>2165</v>
      </c>
    </row>
    <row r="4" spans="1:3" x14ac:dyDescent="0.2">
      <c r="A4" t="s">
        <v>351</v>
      </c>
      <c r="B4" t="str">
        <f>VLOOKUP(A4,'Experiment Tracker'!$B:$C,2,FALSE)</f>
        <v>Pocahontas [Foster To Adopt]</v>
      </c>
      <c r="C4" s="8" t="s">
        <v>2165</v>
      </c>
    </row>
    <row r="5" spans="1:3" x14ac:dyDescent="0.2">
      <c r="A5" t="s">
        <v>353</v>
      </c>
      <c r="B5" t="str">
        <f>VLOOKUP(A5,'Experiment Tracker'!$B:$C,2,FALSE)</f>
        <v>Roux</v>
      </c>
      <c r="C5" s="8" t="s">
        <v>2165</v>
      </c>
    </row>
    <row r="6" spans="1:3" x14ac:dyDescent="0.2">
      <c r="A6" t="s">
        <v>367</v>
      </c>
      <c r="B6" t="str">
        <f>VLOOKUP(A6,'Experiment Tracker'!$B:$C,2,FALSE)</f>
        <v>Captain Crunch [Foster Home]</v>
      </c>
      <c r="C6" s="8" t="s">
        <v>2165</v>
      </c>
    </row>
    <row r="7" spans="1:3" x14ac:dyDescent="0.2">
      <c r="A7" t="s">
        <v>383</v>
      </c>
      <c r="B7" t="str">
        <f>VLOOKUP(A7,'Experiment Tracker'!$B:$C,2,FALSE)</f>
        <v>Homer</v>
      </c>
      <c r="C7" s="8" t="s">
        <v>2168</v>
      </c>
    </row>
    <row r="8" spans="1:3" x14ac:dyDescent="0.2">
      <c r="A8" t="s">
        <v>400</v>
      </c>
      <c r="B8" t="str">
        <f>VLOOKUP(A8,'Experiment Tracker'!$B:$C,2,FALSE)</f>
        <v>Madre [Foster Home]</v>
      </c>
      <c r="C8" s="8" t="s">
        <v>2165</v>
      </c>
    </row>
    <row r="9" spans="1:3" x14ac:dyDescent="0.2">
      <c r="A9" t="s">
        <v>401</v>
      </c>
      <c r="B9" t="str">
        <f>VLOOKUP(A9,'Experiment Tracker'!$B:$C,2,FALSE)</f>
        <v>Marge</v>
      </c>
      <c r="C9" s="8" t="s">
        <v>2168</v>
      </c>
    </row>
    <row r="10" spans="1:3" x14ac:dyDescent="0.2">
      <c r="A10" t="s">
        <v>412</v>
      </c>
      <c r="B10" t="str">
        <f>VLOOKUP(A10,'Experiment Tracker'!$B:$C,2,FALSE)</f>
        <v>Maya [Foster To Adopt]</v>
      </c>
      <c r="C10" s="8" t="s">
        <v>2165</v>
      </c>
    </row>
    <row r="11" spans="1:3" x14ac:dyDescent="0.2">
      <c r="A11" t="s">
        <v>867</v>
      </c>
      <c r="B11" t="str">
        <f>VLOOKUP(A11,'Experiment Tracker'!$B:$C,2,FALSE)</f>
        <v>Earl</v>
      </c>
      <c r="C11" s="8" t="s">
        <v>2165</v>
      </c>
    </row>
    <row r="12" spans="1:3" x14ac:dyDescent="0.2">
      <c r="A12" t="s">
        <v>775</v>
      </c>
      <c r="B12" t="str">
        <f>VLOOKUP(A12,'Experiment Tracker'!$B:$C,2,FALSE)</f>
        <v>Gunner</v>
      </c>
      <c r="C12" s="8" t="s">
        <v>2165</v>
      </c>
    </row>
    <row r="13" spans="1:3" x14ac:dyDescent="0.2">
      <c r="A13" t="s">
        <v>768</v>
      </c>
      <c r="B13" t="str">
        <f>VLOOKUP(A13,'Experiment Tracker'!$B:$C,2,FALSE)</f>
        <v>Lainey</v>
      </c>
      <c r="C13" s="8" t="s">
        <v>2165</v>
      </c>
    </row>
    <row r="14" spans="1:3" x14ac:dyDescent="0.2">
      <c r="A14" t="s">
        <v>792</v>
      </c>
      <c r="B14" t="str">
        <f>VLOOKUP(A14,'Experiment Tracker'!$B:$C,2,FALSE)</f>
        <v>Moana</v>
      </c>
      <c r="C14" s="8" t="s">
        <v>2167</v>
      </c>
    </row>
    <row r="15" spans="1:3" x14ac:dyDescent="0.2">
      <c r="A15" t="s">
        <v>865</v>
      </c>
      <c r="B15" t="str">
        <f>VLOOKUP(A15,'Experiment Tracker'!$B:$C,2,FALSE)</f>
        <v>Rufus</v>
      </c>
      <c r="C15" s="8" t="s">
        <v>2167</v>
      </c>
    </row>
    <row r="16" spans="1:3" x14ac:dyDescent="0.2">
      <c r="A16" t="s">
        <v>269</v>
      </c>
      <c r="B16" t="s">
        <v>1960</v>
      </c>
      <c r="C16" s="8" t="s">
        <v>2165</v>
      </c>
    </row>
    <row r="17" spans="1:3" x14ac:dyDescent="0.2">
      <c r="A17" t="s">
        <v>361</v>
      </c>
      <c r="B17" t="s">
        <v>362</v>
      </c>
      <c r="C17" s="8" t="s">
        <v>2165</v>
      </c>
    </row>
    <row r="18" spans="1:3" x14ac:dyDescent="0.2">
      <c r="A18" t="s">
        <v>377</v>
      </c>
      <c r="B18" t="s">
        <v>1965</v>
      </c>
      <c r="C18" s="8" t="s">
        <v>3075</v>
      </c>
    </row>
    <row r="19" spans="1:3" x14ac:dyDescent="0.2">
      <c r="A19" t="s">
        <v>836</v>
      </c>
      <c r="B19" t="s">
        <v>835</v>
      </c>
      <c r="C19" s="8" t="s">
        <v>2167</v>
      </c>
    </row>
    <row r="20" spans="1:3" x14ac:dyDescent="0.2">
      <c r="A20" t="s">
        <v>1152</v>
      </c>
      <c r="B20" t="s">
        <v>1969</v>
      </c>
      <c r="C20" s="8" t="s">
        <v>2165</v>
      </c>
    </row>
    <row r="21" spans="1:3" x14ac:dyDescent="0.2">
      <c r="A21" t="s">
        <v>843</v>
      </c>
      <c r="B21" t="s">
        <v>1970</v>
      </c>
      <c r="C21" s="8" t="s">
        <v>2165</v>
      </c>
    </row>
    <row r="22" spans="1:3" x14ac:dyDescent="0.2">
      <c r="A22" t="s">
        <v>799</v>
      </c>
      <c r="B22" t="s">
        <v>1971</v>
      </c>
      <c r="C22" s="8" t="s">
        <v>2165</v>
      </c>
    </row>
    <row r="23" spans="1:3" x14ac:dyDescent="0.2">
      <c r="A23" t="s">
        <v>263</v>
      </c>
      <c r="B23" t="s">
        <v>264</v>
      </c>
      <c r="C23" s="8" t="s">
        <v>2165</v>
      </c>
    </row>
  </sheetData>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249977111117893"/>
  </sheetPr>
  <dimension ref="A1:AF103"/>
  <sheetViews>
    <sheetView workbookViewId="0">
      <selection activeCell="B50" sqref="B50"/>
    </sheetView>
  </sheetViews>
  <sheetFormatPr baseColWidth="10" defaultRowHeight="15" x14ac:dyDescent="0.2"/>
  <cols>
    <col min="1" max="1" width="10.33203125" customWidth="1"/>
    <col min="2" max="2" width="14.33203125" customWidth="1"/>
    <col min="3" max="3" width="36.33203125" customWidth="1"/>
    <col min="4" max="4" width="11.6640625" customWidth="1"/>
    <col min="5" max="5" width="13.1640625" style="9" customWidth="1"/>
    <col min="6" max="6" width="15.6640625" style="9" customWidth="1"/>
    <col min="7" max="7" width="9.33203125" customWidth="1"/>
    <col min="8" max="9" width="39" customWidth="1"/>
    <col min="10" max="10" width="52" customWidth="1"/>
    <col min="11" max="12" width="7.83203125" customWidth="1"/>
    <col min="13" max="13" width="36.33203125" customWidth="1"/>
    <col min="14" max="14" width="7.83203125" customWidth="1"/>
    <col min="15" max="15" width="9.1640625" customWidth="1"/>
    <col min="16" max="16" width="9.5" customWidth="1"/>
    <col min="17" max="17" width="16.83203125" customWidth="1"/>
    <col min="18" max="18" width="14.33203125" customWidth="1"/>
    <col min="19" max="19" width="11.1640625" customWidth="1"/>
    <col min="20" max="20" width="16.83203125" customWidth="1"/>
    <col min="21" max="23" width="15.6640625" customWidth="1"/>
    <col min="24" max="24" width="52" customWidth="1"/>
    <col min="25" max="25" width="12" customWidth="1"/>
    <col min="26" max="27" width="20.83203125" customWidth="1"/>
    <col min="28" max="31" width="52" customWidth="1"/>
  </cols>
  <sheetData>
    <row r="1" spans="1:32"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s="1" t="s">
        <v>1086</v>
      </c>
    </row>
    <row r="2" spans="1:32" hidden="1" x14ac:dyDescent="0.2">
      <c r="A2">
        <v>37760469</v>
      </c>
      <c r="B2">
        <v>52239691</v>
      </c>
      <c r="C2" t="s">
        <v>31</v>
      </c>
      <c r="D2" t="s">
        <v>32</v>
      </c>
      <c r="E2" s="9">
        <v>45022</v>
      </c>
      <c r="F2"/>
      <c r="G2" t="s">
        <v>33</v>
      </c>
      <c r="H2" t="s">
        <v>34</v>
      </c>
      <c r="I2" t="s">
        <v>34</v>
      </c>
      <c r="J2" t="s">
        <v>35</v>
      </c>
      <c r="K2" t="s">
        <v>36</v>
      </c>
      <c r="L2" t="s">
        <v>37</v>
      </c>
      <c r="N2" t="s">
        <v>38</v>
      </c>
      <c r="O2" t="s">
        <v>39</v>
      </c>
      <c r="P2" t="s">
        <v>39</v>
      </c>
      <c r="Q2" t="s">
        <v>39</v>
      </c>
      <c r="R2" t="s">
        <v>40</v>
      </c>
      <c r="S2" t="s">
        <v>41</v>
      </c>
      <c r="T2" t="s">
        <v>41</v>
      </c>
      <c r="U2" t="s">
        <v>40</v>
      </c>
      <c r="V2" t="s">
        <v>40</v>
      </c>
      <c r="W2" t="s">
        <v>39</v>
      </c>
      <c r="AB2" t="s">
        <v>42</v>
      </c>
    </row>
    <row r="3" spans="1:32" x14ac:dyDescent="0.2">
      <c r="A3">
        <v>41667618</v>
      </c>
      <c r="B3" t="s">
        <v>43</v>
      </c>
      <c r="C3" t="s">
        <v>44</v>
      </c>
      <c r="D3" t="s">
        <v>32</v>
      </c>
      <c r="E3" s="9">
        <v>45450</v>
      </c>
      <c r="F3"/>
      <c r="G3" t="s">
        <v>45</v>
      </c>
      <c r="H3" t="s">
        <v>46</v>
      </c>
      <c r="J3" t="s">
        <v>47</v>
      </c>
      <c r="K3" t="s">
        <v>48</v>
      </c>
      <c r="L3" t="s">
        <v>49</v>
      </c>
      <c r="M3" t="s">
        <v>50</v>
      </c>
      <c r="O3" t="s">
        <v>39</v>
      </c>
      <c r="P3" t="s">
        <v>39</v>
      </c>
      <c r="Q3" t="s">
        <v>39</v>
      </c>
      <c r="R3" t="s">
        <v>41</v>
      </c>
      <c r="S3" t="s">
        <v>40</v>
      </c>
      <c r="T3" t="s">
        <v>41</v>
      </c>
      <c r="U3" t="s">
        <v>39</v>
      </c>
      <c r="V3" t="s">
        <v>39</v>
      </c>
      <c r="W3" t="s">
        <v>40</v>
      </c>
      <c r="X3" t="s">
        <v>1410</v>
      </c>
      <c r="AB3" t="s">
        <v>2174</v>
      </c>
      <c r="AC3" t="s">
        <v>2175</v>
      </c>
      <c r="AD3" t="s">
        <v>2176</v>
      </c>
      <c r="AE3" t="s">
        <v>2177</v>
      </c>
    </row>
    <row r="4" spans="1:32" hidden="1" x14ac:dyDescent="0.2">
      <c r="A4">
        <v>42798435</v>
      </c>
      <c r="B4" t="s">
        <v>51</v>
      </c>
      <c r="C4" t="s">
        <v>1953</v>
      </c>
      <c r="D4" t="s">
        <v>32</v>
      </c>
      <c r="E4" s="9">
        <v>45574</v>
      </c>
      <c r="F4" s="9">
        <v>45630</v>
      </c>
      <c r="G4" t="s">
        <v>45</v>
      </c>
      <c r="H4" t="s">
        <v>46</v>
      </c>
      <c r="I4" t="s">
        <v>53</v>
      </c>
      <c r="J4" t="s">
        <v>54</v>
      </c>
      <c r="K4" t="s">
        <v>48</v>
      </c>
      <c r="L4" t="s">
        <v>49</v>
      </c>
      <c r="M4" t="s">
        <v>50</v>
      </c>
      <c r="O4" t="s">
        <v>39</v>
      </c>
      <c r="P4" t="s">
        <v>39</v>
      </c>
      <c r="Q4" t="s">
        <v>39</v>
      </c>
      <c r="R4" t="s">
        <v>41</v>
      </c>
      <c r="S4" t="s">
        <v>40</v>
      </c>
      <c r="T4" t="s">
        <v>41</v>
      </c>
      <c r="U4" t="s">
        <v>39</v>
      </c>
      <c r="V4" t="s">
        <v>39</v>
      </c>
      <c r="W4" t="s">
        <v>40</v>
      </c>
      <c r="X4" t="s">
        <v>2178</v>
      </c>
      <c r="AB4" t="s">
        <v>2179</v>
      </c>
      <c r="AC4" t="s">
        <v>55</v>
      </c>
      <c r="AD4" t="s">
        <v>56</v>
      </c>
      <c r="AE4" t="s">
        <v>2180</v>
      </c>
    </row>
    <row r="5" spans="1:32" x14ac:dyDescent="0.2">
      <c r="A5">
        <v>42938868</v>
      </c>
      <c r="B5" t="s">
        <v>57</v>
      </c>
      <c r="C5" t="s">
        <v>58</v>
      </c>
      <c r="D5" t="s">
        <v>32</v>
      </c>
      <c r="E5" s="9">
        <v>45591</v>
      </c>
      <c r="F5"/>
      <c r="G5" t="s">
        <v>45</v>
      </c>
      <c r="H5" t="s">
        <v>46</v>
      </c>
      <c r="I5" t="s">
        <v>59</v>
      </c>
      <c r="J5" t="s">
        <v>60</v>
      </c>
      <c r="K5" t="s">
        <v>48</v>
      </c>
      <c r="L5" t="s">
        <v>49</v>
      </c>
      <c r="M5" t="s">
        <v>50</v>
      </c>
      <c r="O5" t="s">
        <v>39</v>
      </c>
      <c r="P5" t="s">
        <v>39</v>
      </c>
      <c r="Q5" t="s">
        <v>39</v>
      </c>
      <c r="R5" t="s">
        <v>41</v>
      </c>
      <c r="S5" t="s">
        <v>40</v>
      </c>
      <c r="T5" t="s">
        <v>41</v>
      </c>
      <c r="U5" t="s">
        <v>39</v>
      </c>
      <c r="V5" t="s">
        <v>39</v>
      </c>
      <c r="W5" t="s">
        <v>40</v>
      </c>
      <c r="X5" t="s">
        <v>1954</v>
      </c>
      <c r="AB5" t="s">
        <v>61</v>
      </c>
      <c r="AC5" t="s">
        <v>62</v>
      </c>
    </row>
    <row r="6" spans="1:32" x14ac:dyDescent="0.2">
      <c r="A6">
        <v>43635040</v>
      </c>
      <c r="B6" t="s">
        <v>70</v>
      </c>
      <c r="C6" t="s">
        <v>2181</v>
      </c>
      <c r="D6" t="s">
        <v>32</v>
      </c>
      <c r="E6" s="9">
        <v>45678</v>
      </c>
      <c r="G6" t="s">
        <v>45</v>
      </c>
      <c r="H6" t="s">
        <v>72</v>
      </c>
      <c r="J6" t="s">
        <v>73</v>
      </c>
      <c r="K6" t="s">
        <v>48</v>
      </c>
      <c r="L6" t="s">
        <v>49</v>
      </c>
      <c r="M6" t="s">
        <v>74</v>
      </c>
      <c r="O6" t="s">
        <v>41</v>
      </c>
      <c r="P6" t="s">
        <v>39</v>
      </c>
      <c r="Q6" t="s">
        <v>39</v>
      </c>
      <c r="R6" t="s">
        <v>41</v>
      </c>
      <c r="S6" t="s">
        <v>40</v>
      </c>
      <c r="T6" t="s">
        <v>41</v>
      </c>
      <c r="U6" t="s">
        <v>39</v>
      </c>
      <c r="V6" t="s">
        <v>39</v>
      </c>
      <c r="W6" t="s">
        <v>40</v>
      </c>
      <c r="AB6" t="s">
        <v>75</v>
      </c>
      <c r="AC6" t="s">
        <v>76</v>
      </c>
      <c r="AD6" t="s">
        <v>77</v>
      </c>
      <c r="AE6" t="s">
        <v>2182</v>
      </c>
    </row>
    <row r="7" spans="1:32" x14ac:dyDescent="0.2">
      <c r="A7">
        <v>43830374</v>
      </c>
      <c r="B7" t="s">
        <v>78</v>
      </c>
      <c r="C7" t="s">
        <v>79</v>
      </c>
      <c r="D7" t="s">
        <v>32</v>
      </c>
      <c r="E7" s="9">
        <v>45701</v>
      </c>
      <c r="F7"/>
      <c r="G7" t="s">
        <v>45</v>
      </c>
      <c r="H7" t="s">
        <v>80</v>
      </c>
      <c r="I7" t="s">
        <v>81</v>
      </c>
      <c r="J7" t="s">
        <v>82</v>
      </c>
      <c r="K7" t="s">
        <v>48</v>
      </c>
      <c r="L7" t="s">
        <v>49</v>
      </c>
      <c r="M7" t="s">
        <v>50</v>
      </c>
      <c r="O7" t="s">
        <v>39</v>
      </c>
      <c r="P7" t="s">
        <v>39</v>
      </c>
      <c r="Q7" t="s">
        <v>39</v>
      </c>
      <c r="R7" t="s">
        <v>41</v>
      </c>
      <c r="S7" t="s">
        <v>40</v>
      </c>
      <c r="T7" t="s">
        <v>41</v>
      </c>
      <c r="U7" t="s">
        <v>39</v>
      </c>
      <c r="V7" t="s">
        <v>39</v>
      </c>
      <c r="W7" t="s">
        <v>40</v>
      </c>
      <c r="X7" t="s">
        <v>1411</v>
      </c>
      <c r="AB7" t="s">
        <v>83</v>
      </c>
      <c r="AC7" t="s">
        <v>84</v>
      </c>
      <c r="AD7" t="s">
        <v>85</v>
      </c>
      <c r="AE7" t="s">
        <v>86</v>
      </c>
    </row>
    <row r="8" spans="1:32" hidden="1" x14ac:dyDescent="0.2">
      <c r="A8">
        <v>44324509</v>
      </c>
      <c r="B8" t="s">
        <v>87</v>
      </c>
      <c r="C8" t="s">
        <v>88</v>
      </c>
      <c r="D8" t="s">
        <v>32</v>
      </c>
      <c r="E8" s="9">
        <v>45761</v>
      </c>
      <c r="F8">
        <v>45810</v>
      </c>
      <c r="G8" t="s">
        <v>45</v>
      </c>
      <c r="H8" t="s">
        <v>89</v>
      </c>
      <c r="I8" t="s">
        <v>90</v>
      </c>
      <c r="J8" t="s">
        <v>54</v>
      </c>
      <c r="K8" t="s">
        <v>36</v>
      </c>
      <c r="L8" t="s">
        <v>37</v>
      </c>
      <c r="M8" t="s">
        <v>50</v>
      </c>
      <c r="O8" t="s">
        <v>39</v>
      </c>
      <c r="P8" t="s">
        <v>39</v>
      </c>
      <c r="Q8" t="s">
        <v>39</v>
      </c>
      <c r="R8" t="s">
        <v>41</v>
      </c>
      <c r="S8" t="s">
        <v>40</v>
      </c>
      <c r="T8" t="s">
        <v>41</v>
      </c>
      <c r="U8" t="s">
        <v>39</v>
      </c>
      <c r="V8" t="s">
        <v>39</v>
      </c>
      <c r="W8" t="s">
        <v>40</v>
      </c>
      <c r="X8" t="s">
        <v>1412</v>
      </c>
      <c r="AB8" t="s">
        <v>91</v>
      </c>
      <c r="AC8" t="s">
        <v>92</v>
      </c>
      <c r="AD8" t="s">
        <v>93</v>
      </c>
    </row>
    <row r="9" spans="1:32" x14ac:dyDescent="0.2">
      <c r="A9">
        <v>44475813</v>
      </c>
      <c r="B9" t="s">
        <v>99</v>
      </c>
      <c r="C9" t="s">
        <v>100</v>
      </c>
      <c r="D9" t="s">
        <v>32</v>
      </c>
      <c r="E9" s="9">
        <v>45779</v>
      </c>
      <c r="F9"/>
      <c r="G9" t="s">
        <v>45</v>
      </c>
      <c r="H9" t="s">
        <v>53</v>
      </c>
      <c r="I9" t="s">
        <v>46</v>
      </c>
      <c r="J9" t="s">
        <v>82</v>
      </c>
      <c r="K9" t="s">
        <v>48</v>
      </c>
      <c r="L9" t="s">
        <v>49</v>
      </c>
      <c r="M9" t="s">
        <v>74</v>
      </c>
      <c r="O9" t="s">
        <v>39</v>
      </c>
      <c r="P9" t="s">
        <v>39</v>
      </c>
      <c r="Q9" t="s">
        <v>39</v>
      </c>
      <c r="R9" t="s">
        <v>41</v>
      </c>
      <c r="S9" t="s">
        <v>40</v>
      </c>
      <c r="T9" t="s">
        <v>41</v>
      </c>
      <c r="U9" t="s">
        <v>39</v>
      </c>
      <c r="V9" t="s">
        <v>39</v>
      </c>
      <c r="W9" t="s">
        <v>40</v>
      </c>
      <c r="AB9" t="s">
        <v>101</v>
      </c>
      <c r="AC9" t="s">
        <v>102</v>
      </c>
      <c r="AD9" t="s">
        <v>103</v>
      </c>
    </row>
    <row r="10" spans="1:32" x14ac:dyDescent="0.2">
      <c r="A10">
        <v>44476170</v>
      </c>
      <c r="B10" t="s">
        <v>104</v>
      </c>
      <c r="C10" t="s">
        <v>1085</v>
      </c>
      <c r="D10" t="s">
        <v>32</v>
      </c>
      <c r="E10" s="9">
        <v>45779</v>
      </c>
      <c r="G10" t="s">
        <v>45</v>
      </c>
      <c r="H10" t="s">
        <v>105</v>
      </c>
      <c r="I10" t="s">
        <v>96</v>
      </c>
      <c r="J10" t="s">
        <v>69</v>
      </c>
      <c r="K10" t="s">
        <v>48</v>
      </c>
      <c r="L10" t="s">
        <v>49</v>
      </c>
      <c r="M10" t="s">
        <v>50</v>
      </c>
      <c r="O10" t="s">
        <v>39</v>
      </c>
      <c r="P10" t="s">
        <v>39</v>
      </c>
      <c r="Q10" t="s">
        <v>39</v>
      </c>
      <c r="R10" t="s">
        <v>41</v>
      </c>
      <c r="S10" t="s">
        <v>40</v>
      </c>
      <c r="T10" t="s">
        <v>41</v>
      </c>
      <c r="U10" t="s">
        <v>39</v>
      </c>
      <c r="V10" t="s">
        <v>39</v>
      </c>
      <c r="W10" t="s">
        <v>39</v>
      </c>
      <c r="X10" t="s">
        <v>1413</v>
      </c>
      <c r="AB10" t="s">
        <v>2183</v>
      </c>
      <c r="AC10" t="s">
        <v>106</v>
      </c>
      <c r="AD10" t="s">
        <v>2184</v>
      </c>
      <c r="AE10" t="s">
        <v>2185</v>
      </c>
    </row>
    <row r="11" spans="1:32" hidden="1" x14ac:dyDescent="0.2">
      <c r="A11">
        <v>44523173</v>
      </c>
      <c r="B11">
        <v>58353818</v>
      </c>
      <c r="C11" t="s">
        <v>1221</v>
      </c>
      <c r="D11" t="s">
        <v>32</v>
      </c>
      <c r="E11" s="9">
        <v>45785</v>
      </c>
      <c r="F11"/>
      <c r="G11" t="s">
        <v>33</v>
      </c>
      <c r="H11" t="s">
        <v>34</v>
      </c>
      <c r="J11" t="s">
        <v>107</v>
      </c>
      <c r="K11" t="s">
        <v>48</v>
      </c>
      <c r="L11" t="s">
        <v>49</v>
      </c>
      <c r="N11" t="s">
        <v>38</v>
      </c>
      <c r="O11" t="s">
        <v>40</v>
      </c>
      <c r="P11" t="s">
        <v>39</v>
      </c>
      <c r="Q11" t="s">
        <v>39</v>
      </c>
      <c r="R11" t="s">
        <v>40</v>
      </c>
      <c r="S11" t="s">
        <v>41</v>
      </c>
      <c r="T11" t="s">
        <v>41</v>
      </c>
      <c r="U11" t="s">
        <v>40</v>
      </c>
      <c r="V11" t="s">
        <v>40</v>
      </c>
      <c r="W11" t="s">
        <v>40</v>
      </c>
      <c r="AB11" t="s">
        <v>108</v>
      </c>
    </row>
    <row r="12" spans="1:32" x14ac:dyDescent="0.2">
      <c r="A12">
        <v>44937909</v>
      </c>
      <c r="B12" t="s">
        <v>109</v>
      </c>
      <c r="C12" t="s">
        <v>2186</v>
      </c>
      <c r="D12" t="s">
        <v>32</v>
      </c>
      <c r="E12" s="9">
        <v>45827</v>
      </c>
      <c r="F12"/>
      <c r="G12" t="s">
        <v>45</v>
      </c>
      <c r="H12" t="s">
        <v>111</v>
      </c>
      <c r="J12" t="s">
        <v>112</v>
      </c>
      <c r="K12" t="s">
        <v>48</v>
      </c>
      <c r="L12" t="s">
        <v>49</v>
      </c>
      <c r="M12" t="s">
        <v>74</v>
      </c>
      <c r="O12" t="s">
        <v>39</v>
      </c>
      <c r="P12" t="s">
        <v>39</v>
      </c>
      <c r="Q12" t="s">
        <v>39</v>
      </c>
      <c r="R12" t="s">
        <v>41</v>
      </c>
      <c r="S12" t="s">
        <v>40</v>
      </c>
      <c r="T12" t="s">
        <v>41</v>
      </c>
      <c r="U12" t="s">
        <v>39</v>
      </c>
      <c r="V12" t="s">
        <v>39</v>
      </c>
      <c r="W12" t="s">
        <v>40</v>
      </c>
      <c r="X12" t="s">
        <v>1955</v>
      </c>
      <c r="AB12" t="s">
        <v>2187</v>
      </c>
      <c r="AC12" t="s">
        <v>113</v>
      </c>
      <c r="AD12" t="s">
        <v>114</v>
      </c>
      <c r="AE12" t="s">
        <v>2188</v>
      </c>
    </row>
    <row r="13" spans="1:32" x14ac:dyDescent="0.2">
      <c r="A13">
        <v>44937100</v>
      </c>
      <c r="B13" t="s">
        <v>115</v>
      </c>
      <c r="C13" t="s">
        <v>116</v>
      </c>
      <c r="D13" t="s">
        <v>32</v>
      </c>
      <c r="E13" s="9">
        <v>45827</v>
      </c>
      <c r="F13"/>
      <c r="G13" t="s">
        <v>45</v>
      </c>
      <c r="H13" t="s">
        <v>46</v>
      </c>
      <c r="J13" t="s">
        <v>117</v>
      </c>
      <c r="K13" t="s">
        <v>48</v>
      </c>
      <c r="L13" t="s">
        <v>49</v>
      </c>
      <c r="M13" t="s">
        <v>50</v>
      </c>
      <c r="O13" t="s">
        <v>39</v>
      </c>
      <c r="P13" t="s">
        <v>39</v>
      </c>
      <c r="Q13" t="s">
        <v>39</v>
      </c>
      <c r="R13" t="s">
        <v>39</v>
      </c>
      <c r="S13" t="s">
        <v>40</v>
      </c>
      <c r="T13" t="s">
        <v>41</v>
      </c>
      <c r="U13" t="s">
        <v>39</v>
      </c>
      <c r="V13" t="s">
        <v>39</v>
      </c>
      <c r="W13" t="s">
        <v>39</v>
      </c>
      <c r="X13" t="s">
        <v>1414</v>
      </c>
      <c r="AB13" t="s">
        <v>2189</v>
      </c>
      <c r="AC13" t="s">
        <v>118</v>
      </c>
      <c r="AD13" t="s">
        <v>119</v>
      </c>
      <c r="AE13" t="s">
        <v>2190</v>
      </c>
    </row>
    <row r="14" spans="1:32" x14ac:dyDescent="0.2">
      <c r="A14">
        <v>44936854</v>
      </c>
      <c r="B14" t="s">
        <v>120</v>
      </c>
      <c r="C14" t="s">
        <v>121</v>
      </c>
      <c r="D14" t="s">
        <v>32</v>
      </c>
      <c r="E14" s="9">
        <v>45827</v>
      </c>
      <c r="F14"/>
      <c r="G14" t="s">
        <v>45</v>
      </c>
      <c r="H14" t="s">
        <v>122</v>
      </c>
      <c r="I14" t="s">
        <v>46</v>
      </c>
      <c r="J14" t="s">
        <v>123</v>
      </c>
      <c r="K14" t="s">
        <v>48</v>
      </c>
      <c r="L14" t="s">
        <v>49</v>
      </c>
      <c r="M14" t="s">
        <v>50</v>
      </c>
      <c r="O14" t="s">
        <v>39</v>
      </c>
      <c r="P14" t="s">
        <v>39</v>
      </c>
      <c r="Q14" t="s">
        <v>39</v>
      </c>
      <c r="R14" t="s">
        <v>41</v>
      </c>
      <c r="S14" t="s">
        <v>40</v>
      </c>
      <c r="T14" t="s">
        <v>41</v>
      </c>
      <c r="U14" t="s">
        <v>39</v>
      </c>
      <c r="V14" t="s">
        <v>39</v>
      </c>
      <c r="W14" t="s">
        <v>40</v>
      </c>
      <c r="X14" t="s">
        <v>1415</v>
      </c>
      <c r="AB14" t="s">
        <v>124</v>
      </c>
      <c r="AC14" t="s">
        <v>125</v>
      </c>
      <c r="AD14" t="s">
        <v>126</v>
      </c>
    </row>
    <row r="15" spans="1:32" x14ac:dyDescent="0.2">
      <c r="A15">
        <v>44938981</v>
      </c>
      <c r="B15" t="s">
        <v>131</v>
      </c>
      <c r="C15" t="s">
        <v>1222</v>
      </c>
      <c r="D15" t="s">
        <v>32</v>
      </c>
      <c r="E15" s="9">
        <v>45827</v>
      </c>
      <c r="F15"/>
      <c r="G15" t="s">
        <v>45</v>
      </c>
      <c r="H15" t="s">
        <v>80</v>
      </c>
      <c r="I15" t="s">
        <v>132</v>
      </c>
      <c r="J15" t="s">
        <v>133</v>
      </c>
      <c r="K15" t="s">
        <v>48</v>
      </c>
      <c r="L15" t="s">
        <v>49</v>
      </c>
      <c r="M15" t="s">
        <v>50</v>
      </c>
      <c r="O15" t="s">
        <v>39</v>
      </c>
      <c r="P15" t="s">
        <v>39</v>
      </c>
      <c r="Q15" t="s">
        <v>39</v>
      </c>
      <c r="R15" t="s">
        <v>41</v>
      </c>
      <c r="S15" t="s">
        <v>40</v>
      </c>
      <c r="T15" t="s">
        <v>41</v>
      </c>
      <c r="U15" t="s">
        <v>39</v>
      </c>
      <c r="V15" t="s">
        <v>39</v>
      </c>
      <c r="W15" t="s">
        <v>40</v>
      </c>
      <c r="X15" t="s">
        <v>1416</v>
      </c>
      <c r="AB15" t="s">
        <v>134</v>
      </c>
      <c r="AC15" t="s">
        <v>135</v>
      </c>
      <c r="AD15" t="s">
        <v>136</v>
      </c>
      <c r="AE15" t="s">
        <v>137</v>
      </c>
    </row>
    <row r="16" spans="1:32" x14ac:dyDescent="0.2">
      <c r="A16">
        <v>44941336</v>
      </c>
      <c r="B16" t="s">
        <v>139</v>
      </c>
      <c r="C16" t="s">
        <v>140</v>
      </c>
      <c r="D16" t="s">
        <v>32</v>
      </c>
      <c r="E16" s="9">
        <v>45827</v>
      </c>
      <c r="F16"/>
      <c r="G16" t="s">
        <v>45</v>
      </c>
      <c r="H16" t="s">
        <v>46</v>
      </c>
      <c r="I16" t="s">
        <v>90</v>
      </c>
      <c r="J16" t="s">
        <v>117</v>
      </c>
      <c r="K16" t="s">
        <v>36</v>
      </c>
      <c r="L16" t="s">
        <v>37</v>
      </c>
      <c r="M16" t="s">
        <v>50</v>
      </c>
      <c r="O16" t="s">
        <v>39</v>
      </c>
      <c r="P16" t="s">
        <v>39</v>
      </c>
      <c r="Q16" t="s">
        <v>39</v>
      </c>
      <c r="R16" t="s">
        <v>41</v>
      </c>
      <c r="S16" t="s">
        <v>40</v>
      </c>
      <c r="T16" t="s">
        <v>41</v>
      </c>
      <c r="U16" t="s">
        <v>39</v>
      </c>
      <c r="V16" t="s">
        <v>39</v>
      </c>
      <c r="W16" t="s">
        <v>39</v>
      </c>
      <c r="X16" t="s">
        <v>1417</v>
      </c>
      <c r="AB16" t="s">
        <v>141</v>
      </c>
      <c r="AC16" t="s">
        <v>142</v>
      </c>
      <c r="AD16" t="s">
        <v>143</v>
      </c>
    </row>
    <row r="17" spans="1:31" x14ac:dyDescent="0.2">
      <c r="A17">
        <v>44941030</v>
      </c>
      <c r="B17" t="s">
        <v>144</v>
      </c>
      <c r="C17" t="s">
        <v>145</v>
      </c>
      <c r="D17" t="s">
        <v>32</v>
      </c>
      <c r="E17" s="9">
        <v>45827</v>
      </c>
      <c r="F17"/>
      <c r="G17" t="s">
        <v>45</v>
      </c>
      <c r="H17" t="s">
        <v>90</v>
      </c>
      <c r="I17" t="s">
        <v>46</v>
      </c>
      <c r="J17" t="s">
        <v>146</v>
      </c>
      <c r="K17" t="s">
        <v>48</v>
      </c>
      <c r="L17" t="s">
        <v>49</v>
      </c>
      <c r="M17" t="s">
        <v>50</v>
      </c>
      <c r="O17" t="s">
        <v>39</v>
      </c>
      <c r="P17" t="s">
        <v>39</v>
      </c>
      <c r="Q17" t="s">
        <v>39</v>
      </c>
      <c r="R17" t="s">
        <v>41</v>
      </c>
      <c r="S17" t="s">
        <v>40</v>
      </c>
      <c r="T17" t="s">
        <v>41</v>
      </c>
      <c r="U17" t="s">
        <v>39</v>
      </c>
      <c r="V17" t="s">
        <v>39</v>
      </c>
      <c r="W17" t="s">
        <v>40</v>
      </c>
      <c r="X17" t="s">
        <v>1418</v>
      </c>
      <c r="AB17" t="s">
        <v>147</v>
      </c>
      <c r="AC17" t="s">
        <v>148</v>
      </c>
      <c r="AD17" t="s">
        <v>149</v>
      </c>
      <c r="AE17" t="s">
        <v>150</v>
      </c>
    </row>
    <row r="18" spans="1:31" x14ac:dyDescent="0.2">
      <c r="A18">
        <v>44937929</v>
      </c>
      <c r="B18" t="s">
        <v>156</v>
      </c>
      <c r="C18" t="s">
        <v>157</v>
      </c>
      <c r="D18" t="s">
        <v>32</v>
      </c>
      <c r="E18" s="9">
        <v>45827</v>
      </c>
      <c r="F18"/>
      <c r="G18" t="s">
        <v>45</v>
      </c>
      <c r="H18" t="s">
        <v>53</v>
      </c>
      <c r="I18" t="s">
        <v>46</v>
      </c>
      <c r="J18" t="s">
        <v>154</v>
      </c>
      <c r="K18" t="s">
        <v>36</v>
      </c>
      <c r="L18" t="s">
        <v>49</v>
      </c>
      <c r="M18" t="s">
        <v>50</v>
      </c>
      <c r="O18" t="s">
        <v>39</v>
      </c>
      <c r="P18" t="s">
        <v>39</v>
      </c>
      <c r="Q18" t="s">
        <v>39</v>
      </c>
      <c r="R18" t="s">
        <v>41</v>
      </c>
      <c r="S18" t="s">
        <v>40</v>
      </c>
      <c r="T18" t="s">
        <v>41</v>
      </c>
      <c r="U18" t="s">
        <v>39</v>
      </c>
      <c r="V18" t="s">
        <v>39</v>
      </c>
      <c r="W18" t="s">
        <v>40</v>
      </c>
      <c r="X18" t="s">
        <v>1956</v>
      </c>
      <c r="AB18" t="s">
        <v>158</v>
      </c>
      <c r="AC18" t="s">
        <v>159</v>
      </c>
      <c r="AD18" t="s">
        <v>160</v>
      </c>
      <c r="AE18" t="s">
        <v>161</v>
      </c>
    </row>
    <row r="19" spans="1:31" hidden="1" x14ac:dyDescent="0.2">
      <c r="A19">
        <v>44997584</v>
      </c>
      <c r="B19" t="s">
        <v>162</v>
      </c>
      <c r="C19" t="s">
        <v>163</v>
      </c>
      <c r="D19" t="s">
        <v>32</v>
      </c>
      <c r="E19" s="9">
        <v>45833</v>
      </c>
      <c r="F19"/>
      <c r="G19" t="s">
        <v>33</v>
      </c>
      <c r="H19" t="s">
        <v>34</v>
      </c>
      <c r="J19" t="s">
        <v>35</v>
      </c>
      <c r="K19" t="s">
        <v>36</v>
      </c>
      <c r="L19" t="s">
        <v>164</v>
      </c>
      <c r="N19" t="s">
        <v>38</v>
      </c>
      <c r="O19" t="s">
        <v>40</v>
      </c>
      <c r="P19" t="s">
        <v>39</v>
      </c>
      <c r="Q19" t="s">
        <v>39</v>
      </c>
      <c r="R19" t="s">
        <v>40</v>
      </c>
      <c r="S19" t="s">
        <v>41</v>
      </c>
      <c r="T19" t="s">
        <v>41</v>
      </c>
      <c r="U19" t="s">
        <v>39</v>
      </c>
      <c r="V19" t="s">
        <v>39</v>
      </c>
      <c r="W19" t="s">
        <v>39</v>
      </c>
      <c r="AB19" t="s">
        <v>165</v>
      </c>
      <c r="AC19" t="s">
        <v>166</v>
      </c>
    </row>
    <row r="20" spans="1:31" hidden="1" x14ac:dyDescent="0.2">
      <c r="A20">
        <v>44997578</v>
      </c>
      <c r="B20" t="s">
        <v>167</v>
      </c>
      <c r="C20" t="s">
        <v>168</v>
      </c>
      <c r="D20" t="s">
        <v>32</v>
      </c>
      <c r="E20" s="9">
        <v>45833</v>
      </c>
      <c r="F20"/>
      <c r="G20" t="s">
        <v>33</v>
      </c>
      <c r="H20" t="s">
        <v>34</v>
      </c>
      <c r="J20" t="s">
        <v>107</v>
      </c>
      <c r="K20" t="s">
        <v>48</v>
      </c>
      <c r="L20" t="s">
        <v>164</v>
      </c>
      <c r="N20" t="s">
        <v>38</v>
      </c>
      <c r="O20" t="s">
        <v>40</v>
      </c>
      <c r="P20" t="s">
        <v>39</v>
      </c>
      <c r="Q20" t="s">
        <v>39</v>
      </c>
      <c r="R20" t="s">
        <v>40</v>
      </c>
      <c r="S20" t="s">
        <v>41</v>
      </c>
      <c r="T20" t="s">
        <v>41</v>
      </c>
      <c r="U20" t="s">
        <v>39</v>
      </c>
      <c r="V20" t="s">
        <v>39</v>
      </c>
      <c r="W20" t="s">
        <v>39</v>
      </c>
      <c r="AB20" t="s">
        <v>169</v>
      </c>
      <c r="AC20" t="s">
        <v>170</v>
      </c>
    </row>
    <row r="21" spans="1:31" x14ac:dyDescent="0.2">
      <c r="A21">
        <v>45190855</v>
      </c>
      <c r="B21" t="s">
        <v>171</v>
      </c>
      <c r="C21" t="s">
        <v>2191</v>
      </c>
      <c r="D21" t="s">
        <v>32</v>
      </c>
      <c r="E21" s="9">
        <v>45851</v>
      </c>
      <c r="F21"/>
      <c r="G21" t="s">
        <v>45</v>
      </c>
      <c r="H21" t="s">
        <v>53</v>
      </c>
      <c r="I21" t="s">
        <v>173</v>
      </c>
      <c r="J21" t="s">
        <v>69</v>
      </c>
      <c r="K21" t="s">
        <v>36</v>
      </c>
      <c r="L21" t="s">
        <v>49</v>
      </c>
      <c r="M21" t="s">
        <v>74</v>
      </c>
      <c r="O21" t="s">
        <v>39</v>
      </c>
      <c r="P21" t="s">
        <v>39</v>
      </c>
      <c r="Q21" t="s">
        <v>39</v>
      </c>
      <c r="R21" t="s">
        <v>41</v>
      </c>
      <c r="S21" t="s">
        <v>40</v>
      </c>
      <c r="T21" t="s">
        <v>41</v>
      </c>
      <c r="U21" t="s">
        <v>39</v>
      </c>
      <c r="V21" t="s">
        <v>39</v>
      </c>
      <c r="W21" t="s">
        <v>40</v>
      </c>
      <c r="AB21" t="s">
        <v>174</v>
      </c>
      <c r="AC21" t="s">
        <v>175</v>
      </c>
      <c r="AD21" t="s">
        <v>176</v>
      </c>
      <c r="AE21" t="s">
        <v>177</v>
      </c>
    </row>
    <row r="22" spans="1:31" x14ac:dyDescent="0.2">
      <c r="A22">
        <v>45190845</v>
      </c>
      <c r="B22" t="s">
        <v>178</v>
      </c>
      <c r="C22" t="s">
        <v>179</v>
      </c>
      <c r="D22" t="s">
        <v>32</v>
      </c>
      <c r="E22" s="9">
        <v>45851</v>
      </c>
      <c r="F22"/>
      <c r="G22" t="s">
        <v>45</v>
      </c>
      <c r="H22" t="s">
        <v>90</v>
      </c>
      <c r="I22" t="s">
        <v>96</v>
      </c>
      <c r="J22" t="s">
        <v>138</v>
      </c>
      <c r="K22" t="s">
        <v>48</v>
      </c>
      <c r="L22" t="s">
        <v>37</v>
      </c>
      <c r="M22" t="s">
        <v>50</v>
      </c>
      <c r="O22" t="s">
        <v>39</v>
      </c>
      <c r="P22" t="s">
        <v>39</v>
      </c>
      <c r="Q22" t="s">
        <v>39</v>
      </c>
      <c r="R22" t="s">
        <v>41</v>
      </c>
      <c r="S22" t="s">
        <v>40</v>
      </c>
      <c r="T22" t="s">
        <v>41</v>
      </c>
      <c r="U22" t="s">
        <v>39</v>
      </c>
      <c r="V22" t="s">
        <v>39</v>
      </c>
      <c r="W22" t="s">
        <v>39</v>
      </c>
      <c r="X22" t="s">
        <v>1957</v>
      </c>
      <c r="AB22" t="s">
        <v>180</v>
      </c>
      <c r="AC22" t="s">
        <v>181</v>
      </c>
      <c r="AD22" t="s">
        <v>182</v>
      </c>
    </row>
    <row r="23" spans="1:31" x14ac:dyDescent="0.2">
      <c r="A23">
        <v>45190824</v>
      </c>
      <c r="B23" t="s">
        <v>185</v>
      </c>
      <c r="C23" t="s">
        <v>186</v>
      </c>
      <c r="D23" t="s">
        <v>32</v>
      </c>
      <c r="E23" s="9">
        <v>45851</v>
      </c>
      <c r="F23"/>
      <c r="G23" t="s">
        <v>45</v>
      </c>
      <c r="H23" t="s">
        <v>80</v>
      </c>
      <c r="I23" t="s">
        <v>105</v>
      </c>
      <c r="J23" t="s">
        <v>112</v>
      </c>
      <c r="K23" t="s">
        <v>48</v>
      </c>
      <c r="L23" t="s">
        <v>49</v>
      </c>
      <c r="M23" t="s">
        <v>50</v>
      </c>
      <c r="O23" t="s">
        <v>39</v>
      </c>
      <c r="P23" t="s">
        <v>39</v>
      </c>
      <c r="Q23" t="s">
        <v>39</v>
      </c>
      <c r="R23" t="s">
        <v>41</v>
      </c>
      <c r="S23" t="s">
        <v>40</v>
      </c>
      <c r="T23" t="s">
        <v>41</v>
      </c>
      <c r="U23" t="s">
        <v>39</v>
      </c>
      <c r="V23" t="s">
        <v>39</v>
      </c>
      <c r="W23" t="s">
        <v>39</v>
      </c>
      <c r="X23" t="s">
        <v>1419</v>
      </c>
      <c r="AB23" t="s">
        <v>187</v>
      </c>
      <c r="AC23" t="s">
        <v>188</v>
      </c>
      <c r="AD23" t="s">
        <v>189</v>
      </c>
    </row>
    <row r="24" spans="1:31" x14ac:dyDescent="0.2">
      <c r="A24">
        <v>45190901</v>
      </c>
      <c r="B24" t="s">
        <v>192</v>
      </c>
      <c r="C24" t="s">
        <v>193</v>
      </c>
      <c r="D24" t="s">
        <v>32</v>
      </c>
      <c r="E24" s="9">
        <v>45851</v>
      </c>
      <c r="F24"/>
      <c r="G24" t="s">
        <v>45</v>
      </c>
      <c r="H24" t="s">
        <v>90</v>
      </c>
      <c r="I24" t="s">
        <v>46</v>
      </c>
      <c r="J24" t="s">
        <v>138</v>
      </c>
      <c r="K24" t="s">
        <v>36</v>
      </c>
      <c r="L24" t="s">
        <v>49</v>
      </c>
      <c r="M24" t="s">
        <v>50</v>
      </c>
      <c r="O24" t="s">
        <v>39</v>
      </c>
      <c r="P24" t="s">
        <v>39</v>
      </c>
      <c r="Q24" t="s">
        <v>39</v>
      </c>
      <c r="R24" t="s">
        <v>41</v>
      </c>
      <c r="S24" t="s">
        <v>40</v>
      </c>
      <c r="T24" t="s">
        <v>41</v>
      </c>
      <c r="U24" t="s">
        <v>39</v>
      </c>
      <c r="V24" t="s">
        <v>39</v>
      </c>
      <c r="W24" t="s">
        <v>40</v>
      </c>
      <c r="X24" t="s">
        <v>1958</v>
      </c>
      <c r="AB24" t="s">
        <v>194</v>
      </c>
      <c r="AC24" t="s">
        <v>195</v>
      </c>
      <c r="AD24" t="s">
        <v>196</v>
      </c>
      <c r="AE24" t="s">
        <v>197</v>
      </c>
    </row>
    <row r="25" spans="1:31" x14ac:dyDescent="0.2">
      <c r="A25">
        <v>45204856</v>
      </c>
      <c r="B25" t="s">
        <v>201</v>
      </c>
      <c r="C25" t="s">
        <v>202</v>
      </c>
      <c r="D25" t="s">
        <v>32</v>
      </c>
      <c r="E25" s="9">
        <v>45853</v>
      </c>
      <c r="F25"/>
      <c r="G25" t="s">
        <v>45</v>
      </c>
      <c r="H25" t="s">
        <v>96</v>
      </c>
      <c r="J25" t="s">
        <v>203</v>
      </c>
      <c r="K25" t="s">
        <v>48</v>
      </c>
      <c r="L25" t="s">
        <v>49</v>
      </c>
      <c r="M25" t="s">
        <v>50</v>
      </c>
      <c r="O25" t="s">
        <v>39</v>
      </c>
      <c r="P25" t="s">
        <v>39</v>
      </c>
      <c r="Q25" t="s">
        <v>39</v>
      </c>
      <c r="R25" t="s">
        <v>39</v>
      </c>
      <c r="S25" t="s">
        <v>40</v>
      </c>
      <c r="T25" t="s">
        <v>41</v>
      </c>
      <c r="U25" t="s">
        <v>39</v>
      </c>
      <c r="V25" t="s">
        <v>39</v>
      </c>
      <c r="W25" t="s">
        <v>40</v>
      </c>
      <c r="X25" t="s">
        <v>1420</v>
      </c>
      <c r="AB25" t="s">
        <v>204</v>
      </c>
      <c r="AC25" t="s">
        <v>205</v>
      </c>
      <c r="AD25" t="s">
        <v>206</v>
      </c>
      <c r="AE25" t="s">
        <v>207</v>
      </c>
    </row>
    <row r="26" spans="1:31" hidden="1" x14ac:dyDescent="0.2">
      <c r="A26">
        <v>45310837</v>
      </c>
      <c r="B26" t="s">
        <v>208</v>
      </c>
      <c r="C26" t="s">
        <v>209</v>
      </c>
      <c r="D26" t="s">
        <v>32</v>
      </c>
      <c r="E26" s="9">
        <v>45862</v>
      </c>
      <c r="F26"/>
      <c r="G26" t="s">
        <v>33</v>
      </c>
      <c r="H26" t="s">
        <v>210</v>
      </c>
      <c r="J26" t="s">
        <v>211</v>
      </c>
      <c r="K26" t="s">
        <v>48</v>
      </c>
      <c r="L26" t="s">
        <v>164</v>
      </c>
      <c r="N26" t="s">
        <v>38</v>
      </c>
      <c r="O26" t="s">
        <v>40</v>
      </c>
      <c r="P26" t="s">
        <v>39</v>
      </c>
      <c r="Q26" t="s">
        <v>39</v>
      </c>
      <c r="R26" t="s">
        <v>40</v>
      </c>
      <c r="S26" t="s">
        <v>41</v>
      </c>
      <c r="T26" t="s">
        <v>41</v>
      </c>
      <c r="U26" t="s">
        <v>39</v>
      </c>
      <c r="V26" t="s">
        <v>40</v>
      </c>
      <c r="W26" t="s">
        <v>39</v>
      </c>
      <c r="X26" t="s">
        <v>1224</v>
      </c>
      <c r="AB26" t="s">
        <v>212</v>
      </c>
      <c r="AC26" t="s">
        <v>1225</v>
      </c>
      <c r="AD26" t="s">
        <v>1226</v>
      </c>
    </row>
    <row r="27" spans="1:31" x14ac:dyDescent="0.2">
      <c r="A27">
        <v>45345832</v>
      </c>
      <c r="B27" t="s">
        <v>213</v>
      </c>
      <c r="C27" t="s">
        <v>214</v>
      </c>
      <c r="D27" t="s">
        <v>32</v>
      </c>
      <c r="E27" s="9">
        <v>45866</v>
      </c>
      <c r="F27"/>
      <c r="G27" t="s">
        <v>45</v>
      </c>
      <c r="H27" t="s">
        <v>46</v>
      </c>
      <c r="I27" t="s">
        <v>90</v>
      </c>
      <c r="J27" t="s">
        <v>60</v>
      </c>
      <c r="K27" t="s">
        <v>36</v>
      </c>
      <c r="L27" t="s">
        <v>37</v>
      </c>
      <c r="M27" t="s">
        <v>50</v>
      </c>
      <c r="O27" t="s">
        <v>39</v>
      </c>
      <c r="P27" t="s">
        <v>39</v>
      </c>
      <c r="Q27" t="s">
        <v>39</v>
      </c>
      <c r="R27" t="s">
        <v>41</v>
      </c>
      <c r="S27" t="s">
        <v>40</v>
      </c>
      <c r="T27" t="s">
        <v>41</v>
      </c>
      <c r="U27" t="s">
        <v>39</v>
      </c>
      <c r="V27" t="s">
        <v>39</v>
      </c>
      <c r="W27" t="s">
        <v>40</v>
      </c>
      <c r="X27" t="s">
        <v>215</v>
      </c>
      <c r="AB27" t="s">
        <v>216</v>
      </c>
      <c r="AC27" t="s">
        <v>217</v>
      </c>
      <c r="AD27" t="s">
        <v>218</v>
      </c>
      <c r="AE27" t="s">
        <v>219</v>
      </c>
    </row>
    <row r="28" spans="1:31" hidden="1" x14ac:dyDescent="0.2">
      <c r="A28">
        <v>45346652</v>
      </c>
      <c r="B28" t="s">
        <v>223</v>
      </c>
      <c r="C28" t="s">
        <v>224</v>
      </c>
      <c r="D28" t="s">
        <v>32</v>
      </c>
      <c r="E28" s="9">
        <v>45866</v>
      </c>
      <c r="F28"/>
      <c r="G28" t="s">
        <v>33</v>
      </c>
      <c r="H28" t="s">
        <v>34</v>
      </c>
      <c r="J28" t="s">
        <v>225</v>
      </c>
      <c r="K28" t="s">
        <v>48</v>
      </c>
      <c r="L28" t="s">
        <v>164</v>
      </c>
      <c r="N28" t="s">
        <v>38</v>
      </c>
      <c r="O28" t="s">
        <v>40</v>
      </c>
      <c r="P28" t="s">
        <v>39</v>
      </c>
      <c r="Q28" t="s">
        <v>39</v>
      </c>
      <c r="R28" t="s">
        <v>40</v>
      </c>
      <c r="S28" t="s">
        <v>41</v>
      </c>
      <c r="T28" t="s">
        <v>41</v>
      </c>
      <c r="U28" t="s">
        <v>39</v>
      </c>
      <c r="V28" t="s">
        <v>40</v>
      </c>
      <c r="W28" t="s">
        <v>39</v>
      </c>
      <c r="X28" t="s">
        <v>1227</v>
      </c>
      <c r="AB28" t="s">
        <v>226</v>
      </c>
      <c r="AC28" t="s">
        <v>227</v>
      </c>
      <c r="AD28" t="s">
        <v>1228</v>
      </c>
      <c r="AE28" t="s">
        <v>1229</v>
      </c>
    </row>
    <row r="29" spans="1:31" x14ac:dyDescent="0.2">
      <c r="A29">
        <v>45346221</v>
      </c>
      <c r="B29" t="s">
        <v>228</v>
      </c>
      <c r="C29" t="s">
        <v>229</v>
      </c>
      <c r="D29" t="s">
        <v>32</v>
      </c>
      <c r="E29" s="9">
        <v>45866</v>
      </c>
      <c r="F29"/>
      <c r="G29" t="s">
        <v>45</v>
      </c>
      <c r="H29" t="s">
        <v>80</v>
      </c>
      <c r="I29" t="s">
        <v>90</v>
      </c>
      <c r="J29" t="s">
        <v>98</v>
      </c>
      <c r="K29" t="s">
        <v>36</v>
      </c>
      <c r="L29" t="s">
        <v>230</v>
      </c>
      <c r="M29" t="s">
        <v>50</v>
      </c>
      <c r="O29" t="s">
        <v>39</v>
      </c>
      <c r="P29" t="s">
        <v>39</v>
      </c>
      <c r="Q29" t="s">
        <v>39</v>
      </c>
      <c r="R29" t="s">
        <v>41</v>
      </c>
      <c r="S29" t="s">
        <v>40</v>
      </c>
      <c r="T29" t="s">
        <v>41</v>
      </c>
      <c r="U29" t="s">
        <v>39</v>
      </c>
      <c r="V29" t="s">
        <v>39</v>
      </c>
      <c r="W29" t="s">
        <v>40</v>
      </c>
      <c r="AB29" t="s">
        <v>231</v>
      </c>
      <c r="AC29" t="s">
        <v>232</v>
      </c>
      <c r="AD29" t="s">
        <v>233</v>
      </c>
    </row>
    <row r="30" spans="1:31" hidden="1" x14ac:dyDescent="0.2">
      <c r="A30">
        <v>45376835</v>
      </c>
      <c r="B30" t="s">
        <v>237</v>
      </c>
      <c r="C30" t="s">
        <v>238</v>
      </c>
      <c r="D30" t="s">
        <v>32</v>
      </c>
      <c r="E30" s="9">
        <v>45869</v>
      </c>
      <c r="F30"/>
      <c r="G30" t="s">
        <v>33</v>
      </c>
      <c r="H30" t="s">
        <v>34</v>
      </c>
      <c r="J30" t="s">
        <v>211</v>
      </c>
      <c r="K30" t="s">
        <v>48</v>
      </c>
      <c r="L30" t="s">
        <v>49</v>
      </c>
      <c r="N30" t="s">
        <v>38</v>
      </c>
      <c r="O30" t="s">
        <v>40</v>
      </c>
      <c r="P30" t="s">
        <v>39</v>
      </c>
      <c r="Q30" t="s">
        <v>39</v>
      </c>
      <c r="R30" t="s">
        <v>40</v>
      </c>
      <c r="S30" t="s">
        <v>41</v>
      </c>
      <c r="T30" t="s">
        <v>41</v>
      </c>
      <c r="U30" t="s">
        <v>40</v>
      </c>
      <c r="V30" t="s">
        <v>40</v>
      </c>
      <c r="W30" t="s">
        <v>39</v>
      </c>
      <c r="AB30" t="s">
        <v>239</v>
      </c>
    </row>
    <row r="31" spans="1:31" hidden="1" x14ac:dyDescent="0.2">
      <c r="A31">
        <v>45376820</v>
      </c>
      <c r="B31" t="s">
        <v>240</v>
      </c>
      <c r="C31" t="s">
        <v>241</v>
      </c>
      <c r="D31" t="s">
        <v>32</v>
      </c>
      <c r="E31" s="9">
        <v>45869</v>
      </c>
      <c r="F31"/>
      <c r="G31" t="s">
        <v>33</v>
      </c>
      <c r="H31" t="s">
        <v>242</v>
      </c>
      <c r="J31" t="s">
        <v>234</v>
      </c>
      <c r="K31" t="s">
        <v>48</v>
      </c>
      <c r="L31" t="s">
        <v>37</v>
      </c>
      <c r="N31" t="s">
        <v>235</v>
      </c>
      <c r="O31" t="s">
        <v>40</v>
      </c>
      <c r="P31" t="s">
        <v>39</v>
      </c>
      <c r="Q31" t="s">
        <v>39</v>
      </c>
      <c r="R31" t="s">
        <v>40</v>
      </c>
      <c r="S31" t="s">
        <v>41</v>
      </c>
      <c r="T31" t="s">
        <v>41</v>
      </c>
      <c r="U31" t="s">
        <v>40</v>
      </c>
      <c r="V31" t="s">
        <v>40</v>
      </c>
      <c r="W31" t="s">
        <v>39</v>
      </c>
      <c r="AB31" t="s">
        <v>243</v>
      </c>
    </row>
    <row r="32" spans="1:31" x14ac:dyDescent="0.2">
      <c r="A32">
        <v>45472786</v>
      </c>
      <c r="B32" t="s">
        <v>245</v>
      </c>
      <c r="C32" t="s">
        <v>666</v>
      </c>
      <c r="D32" t="s">
        <v>32</v>
      </c>
      <c r="E32" s="9">
        <v>45877</v>
      </c>
      <c r="F32"/>
      <c r="G32" t="s">
        <v>45</v>
      </c>
      <c r="H32" t="s">
        <v>46</v>
      </c>
      <c r="I32" t="s">
        <v>53</v>
      </c>
      <c r="J32" t="s">
        <v>82</v>
      </c>
      <c r="K32" t="s">
        <v>36</v>
      </c>
      <c r="L32" t="s">
        <v>37</v>
      </c>
      <c r="M32" t="s">
        <v>50</v>
      </c>
      <c r="O32" t="s">
        <v>39</v>
      </c>
      <c r="P32" t="s">
        <v>39</v>
      </c>
      <c r="Q32" t="s">
        <v>39</v>
      </c>
      <c r="R32" t="s">
        <v>41</v>
      </c>
      <c r="S32" t="s">
        <v>40</v>
      </c>
      <c r="T32" t="s">
        <v>41</v>
      </c>
      <c r="U32" t="s">
        <v>39</v>
      </c>
      <c r="V32" t="s">
        <v>39</v>
      </c>
      <c r="W32" t="s">
        <v>40</v>
      </c>
      <c r="AB32" t="s">
        <v>246</v>
      </c>
      <c r="AC32" t="s">
        <v>247</v>
      </c>
      <c r="AD32" t="s">
        <v>248</v>
      </c>
      <c r="AE32" t="s">
        <v>249</v>
      </c>
    </row>
    <row r="33" spans="1:31" x14ac:dyDescent="0.2">
      <c r="A33">
        <v>45472762</v>
      </c>
      <c r="B33" t="s">
        <v>250</v>
      </c>
      <c r="C33" t="s">
        <v>251</v>
      </c>
      <c r="D33" t="s">
        <v>32</v>
      </c>
      <c r="E33" s="9">
        <v>45877</v>
      </c>
      <c r="F33"/>
      <c r="G33" t="s">
        <v>45</v>
      </c>
      <c r="H33" t="s">
        <v>252</v>
      </c>
      <c r="I33" t="s">
        <v>253</v>
      </c>
      <c r="J33" t="s">
        <v>254</v>
      </c>
      <c r="K33" t="s">
        <v>48</v>
      </c>
      <c r="L33" t="s">
        <v>49</v>
      </c>
      <c r="M33" t="s">
        <v>74</v>
      </c>
      <c r="O33" t="s">
        <v>39</v>
      </c>
      <c r="P33" t="s">
        <v>39</v>
      </c>
      <c r="Q33" t="s">
        <v>39</v>
      </c>
      <c r="R33" t="s">
        <v>41</v>
      </c>
      <c r="S33" t="s">
        <v>40</v>
      </c>
      <c r="T33" t="s">
        <v>41</v>
      </c>
      <c r="U33" t="s">
        <v>39</v>
      </c>
      <c r="V33" t="s">
        <v>39</v>
      </c>
      <c r="W33" t="s">
        <v>39</v>
      </c>
      <c r="AB33" t="s">
        <v>255</v>
      </c>
      <c r="AC33" t="s">
        <v>256</v>
      </c>
      <c r="AD33" t="s">
        <v>257</v>
      </c>
    </row>
    <row r="34" spans="1:31" x14ac:dyDescent="0.2">
      <c r="A34">
        <v>45472546</v>
      </c>
      <c r="B34" t="s">
        <v>258</v>
      </c>
      <c r="C34" t="s">
        <v>259</v>
      </c>
      <c r="D34" t="s">
        <v>32</v>
      </c>
      <c r="E34" s="9">
        <v>45877</v>
      </c>
      <c r="F34"/>
      <c r="G34" t="s">
        <v>45</v>
      </c>
      <c r="H34" t="s">
        <v>72</v>
      </c>
      <c r="I34" t="s">
        <v>173</v>
      </c>
      <c r="J34" t="s">
        <v>54</v>
      </c>
      <c r="K34" t="s">
        <v>48</v>
      </c>
      <c r="L34" t="s">
        <v>49</v>
      </c>
      <c r="M34" t="s">
        <v>74</v>
      </c>
      <c r="O34" t="s">
        <v>39</v>
      </c>
      <c r="P34" t="s">
        <v>39</v>
      </c>
      <c r="Q34" t="s">
        <v>39</v>
      </c>
      <c r="R34" t="s">
        <v>41</v>
      </c>
      <c r="S34" t="s">
        <v>40</v>
      </c>
      <c r="T34" t="s">
        <v>41</v>
      </c>
      <c r="U34" t="s">
        <v>39</v>
      </c>
      <c r="V34" t="s">
        <v>39</v>
      </c>
      <c r="W34" t="s">
        <v>40</v>
      </c>
      <c r="X34" t="s">
        <v>1959</v>
      </c>
      <c r="AB34" t="s">
        <v>260</v>
      </c>
      <c r="AC34" t="s">
        <v>261</v>
      </c>
      <c r="AD34" t="s">
        <v>262</v>
      </c>
    </row>
    <row r="35" spans="1:31" x14ac:dyDescent="0.2">
      <c r="A35">
        <v>45472971</v>
      </c>
      <c r="B35" t="s">
        <v>263</v>
      </c>
      <c r="C35" t="s">
        <v>264</v>
      </c>
      <c r="D35" t="s">
        <v>32</v>
      </c>
      <c r="E35" s="9">
        <v>45877</v>
      </c>
      <c r="F35"/>
      <c r="G35" t="s">
        <v>45</v>
      </c>
      <c r="H35" t="s">
        <v>68</v>
      </c>
      <c r="I35" t="s">
        <v>46</v>
      </c>
      <c r="J35" t="s">
        <v>60</v>
      </c>
      <c r="K35" t="s">
        <v>48</v>
      </c>
      <c r="L35" t="s">
        <v>49</v>
      </c>
      <c r="M35" t="s">
        <v>50</v>
      </c>
      <c r="O35" t="s">
        <v>39</v>
      </c>
      <c r="P35" t="s">
        <v>39</v>
      </c>
      <c r="Q35" t="s">
        <v>39</v>
      </c>
      <c r="R35" t="s">
        <v>41</v>
      </c>
      <c r="S35" t="s">
        <v>40</v>
      </c>
      <c r="T35" t="s">
        <v>41</v>
      </c>
      <c r="U35" t="s">
        <v>39</v>
      </c>
      <c r="V35" t="s">
        <v>39</v>
      </c>
      <c r="W35" t="s">
        <v>40</v>
      </c>
      <c r="AB35" t="s">
        <v>265</v>
      </c>
      <c r="AC35" t="s">
        <v>266</v>
      </c>
      <c r="AD35" t="s">
        <v>267</v>
      </c>
      <c r="AE35" t="s">
        <v>268</v>
      </c>
    </row>
    <row r="36" spans="1:31" x14ac:dyDescent="0.2">
      <c r="A36">
        <v>45472654</v>
      </c>
      <c r="B36" t="s">
        <v>272</v>
      </c>
      <c r="C36" t="s">
        <v>273</v>
      </c>
      <c r="D36" t="s">
        <v>32</v>
      </c>
      <c r="E36" s="9">
        <v>45877</v>
      </c>
      <c r="F36"/>
      <c r="G36" t="s">
        <v>45</v>
      </c>
      <c r="H36" t="s">
        <v>90</v>
      </c>
      <c r="J36" t="s">
        <v>138</v>
      </c>
      <c r="K36" t="s">
        <v>48</v>
      </c>
      <c r="L36" t="s">
        <v>49</v>
      </c>
      <c r="M36" t="s">
        <v>74</v>
      </c>
      <c r="O36" t="s">
        <v>39</v>
      </c>
      <c r="P36" t="s">
        <v>39</v>
      </c>
      <c r="Q36" t="s">
        <v>39</v>
      </c>
      <c r="R36" t="s">
        <v>41</v>
      </c>
      <c r="S36" t="s">
        <v>40</v>
      </c>
      <c r="T36" t="s">
        <v>41</v>
      </c>
      <c r="U36" t="s">
        <v>39</v>
      </c>
      <c r="V36" t="s">
        <v>39</v>
      </c>
      <c r="W36" t="s">
        <v>40</v>
      </c>
      <c r="X36" t="s">
        <v>1961</v>
      </c>
      <c r="AB36" t="s">
        <v>274</v>
      </c>
      <c r="AC36" t="s">
        <v>275</v>
      </c>
      <c r="AD36" t="s">
        <v>276</v>
      </c>
      <c r="AE36" t="s">
        <v>277</v>
      </c>
    </row>
    <row r="37" spans="1:31" x14ac:dyDescent="0.2">
      <c r="A37">
        <v>45472979</v>
      </c>
      <c r="B37" t="s">
        <v>278</v>
      </c>
      <c r="C37" t="s">
        <v>279</v>
      </c>
      <c r="D37" t="s">
        <v>32</v>
      </c>
      <c r="E37" s="9">
        <v>45877</v>
      </c>
      <c r="F37"/>
      <c r="G37" t="s">
        <v>45</v>
      </c>
      <c r="H37" t="s">
        <v>72</v>
      </c>
      <c r="I37" t="s">
        <v>90</v>
      </c>
      <c r="J37" t="s">
        <v>203</v>
      </c>
      <c r="K37" t="s">
        <v>36</v>
      </c>
      <c r="L37" t="s">
        <v>37</v>
      </c>
      <c r="M37" t="s">
        <v>50</v>
      </c>
      <c r="O37" t="s">
        <v>39</v>
      </c>
      <c r="P37" t="s">
        <v>39</v>
      </c>
      <c r="Q37" t="s">
        <v>39</v>
      </c>
      <c r="R37" t="s">
        <v>41</v>
      </c>
      <c r="S37" t="s">
        <v>40</v>
      </c>
      <c r="T37" t="s">
        <v>41</v>
      </c>
      <c r="U37" t="s">
        <v>39</v>
      </c>
      <c r="V37" t="s">
        <v>39</v>
      </c>
      <c r="W37" t="s">
        <v>40</v>
      </c>
      <c r="AB37" t="s">
        <v>280</v>
      </c>
      <c r="AC37" t="s">
        <v>281</v>
      </c>
      <c r="AD37" t="s">
        <v>282</v>
      </c>
    </row>
    <row r="38" spans="1:31" x14ac:dyDescent="0.2">
      <c r="A38">
        <v>45606729</v>
      </c>
      <c r="B38" t="s">
        <v>292</v>
      </c>
      <c r="C38" t="s">
        <v>1230</v>
      </c>
      <c r="D38" t="s">
        <v>32</v>
      </c>
      <c r="E38" s="9">
        <v>45890</v>
      </c>
      <c r="F38"/>
      <c r="G38" t="s">
        <v>45</v>
      </c>
      <c r="H38" t="s">
        <v>53</v>
      </c>
      <c r="J38" t="s">
        <v>146</v>
      </c>
      <c r="K38" t="s">
        <v>36</v>
      </c>
      <c r="L38" t="s">
        <v>37</v>
      </c>
      <c r="M38" t="s">
        <v>50</v>
      </c>
      <c r="O38" t="s">
        <v>39</v>
      </c>
      <c r="P38" t="s">
        <v>39</v>
      </c>
      <c r="Q38" t="s">
        <v>39</v>
      </c>
      <c r="R38" t="s">
        <v>41</v>
      </c>
      <c r="S38" t="s">
        <v>40</v>
      </c>
      <c r="T38" t="s">
        <v>41</v>
      </c>
      <c r="U38" t="s">
        <v>39</v>
      </c>
      <c r="V38" t="s">
        <v>39</v>
      </c>
      <c r="W38" t="s">
        <v>40</v>
      </c>
      <c r="X38" t="s">
        <v>1962</v>
      </c>
      <c r="AB38" t="s">
        <v>294</v>
      </c>
      <c r="AC38" t="s">
        <v>295</v>
      </c>
      <c r="AD38" t="s">
        <v>296</v>
      </c>
      <c r="AE38" t="s">
        <v>297</v>
      </c>
    </row>
    <row r="39" spans="1:31" hidden="1" x14ac:dyDescent="0.2">
      <c r="A39">
        <v>45619106</v>
      </c>
      <c r="B39" t="s">
        <v>298</v>
      </c>
      <c r="C39" t="s">
        <v>299</v>
      </c>
      <c r="D39" t="s">
        <v>32</v>
      </c>
      <c r="E39" s="9">
        <v>45891</v>
      </c>
      <c r="F39"/>
      <c r="G39" t="s">
        <v>33</v>
      </c>
      <c r="H39" t="s">
        <v>210</v>
      </c>
      <c r="J39" t="s">
        <v>222</v>
      </c>
      <c r="K39" t="s">
        <v>36</v>
      </c>
      <c r="L39" t="s">
        <v>164</v>
      </c>
      <c r="N39" t="s">
        <v>38</v>
      </c>
      <c r="O39" t="s">
        <v>40</v>
      </c>
      <c r="P39" t="s">
        <v>39</v>
      </c>
      <c r="Q39" t="s">
        <v>39</v>
      </c>
      <c r="R39" t="s">
        <v>40</v>
      </c>
      <c r="S39" t="s">
        <v>41</v>
      </c>
      <c r="T39" t="s">
        <v>41</v>
      </c>
      <c r="U39" t="s">
        <v>39</v>
      </c>
      <c r="V39" t="s">
        <v>39</v>
      </c>
      <c r="W39" t="s">
        <v>39</v>
      </c>
      <c r="X39" t="s">
        <v>1421</v>
      </c>
      <c r="AB39" t="s">
        <v>300</v>
      </c>
      <c r="AC39" t="s">
        <v>1231</v>
      </c>
    </row>
    <row r="40" spans="1:31" hidden="1" x14ac:dyDescent="0.2">
      <c r="A40">
        <v>45619099</v>
      </c>
      <c r="B40" t="s">
        <v>301</v>
      </c>
      <c r="C40" t="s">
        <v>302</v>
      </c>
      <c r="D40" t="s">
        <v>32</v>
      </c>
      <c r="E40" s="9">
        <v>45891</v>
      </c>
      <c r="F40"/>
      <c r="G40" t="s">
        <v>33</v>
      </c>
      <c r="H40" t="s">
        <v>34</v>
      </c>
      <c r="J40" t="s">
        <v>303</v>
      </c>
      <c r="K40" t="s">
        <v>48</v>
      </c>
      <c r="L40" t="s">
        <v>164</v>
      </c>
      <c r="N40" t="s">
        <v>38</v>
      </c>
      <c r="O40" t="s">
        <v>40</v>
      </c>
      <c r="P40" t="s">
        <v>39</v>
      </c>
      <c r="Q40" t="s">
        <v>39</v>
      </c>
      <c r="R40" t="s">
        <v>40</v>
      </c>
      <c r="S40" t="s">
        <v>41</v>
      </c>
      <c r="T40" t="s">
        <v>41</v>
      </c>
      <c r="U40" t="s">
        <v>39</v>
      </c>
      <c r="V40" t="s">
        <v>39</v>
      </c>
      <c r="W40" t="s">
        <v>39</v>
      </c>
      <c r="X40" t="s">
        <v>1422</v>
      </c>
      <c r="AB40" t="s">
        <v>304</v>
      </c>
      <c r="AC40" t="s">
        <v>1232</v>
      </c>
    </row>
    <row r="41" spans="1:31" x14ac:dyDescent="0.2">
      <c r="A41">
        <v>45763878</v>
      </c>
      <c r="B41" t="s">
        <v>305</v>
      </c>
      <c r="C41" t="s">
        <v>306</v>
      </c>
      <c r="D41" t="s">
        <v>32</v>
      </c>
      <c r="E41" s="9">
        <v>45905</v>
      </c>
      <c r="F41"/>
      <c r="G41" t="s">
        <v>45</v>
      </c>
      <c r="H41" t="s">
        <v>53</v>
      </c>
      <c r="I41" t="s">
        <v>59</v>
      </c>
      <c r="J41" t="s">
        <v>307</v>
      </c>
      <c r="K41" t="s">
        <v>36</v>
      </c>
      <c r="L41" t="s">
        <v>49</v>
      </c>
      <c r="M41" t="s">
        <v>74</v>
      </c>
      <c r="O41" t="s">
        <v>39</v>
      </c>
      <c r="P41" t="s">
        <v>39</v>
      </c>
      <c r="Q41" t="s">
        <v>39</v>
      </c>
      <c r="R41" t="s">
        <v>39</v>
      </c>
      <c r="S41" t="s">
        <v>40</v>
      </c>
      <c r="T41" t="s">
        <v>41</v>
      </c>
      <c r="U41" t="s">
        <v>39</v>
      </c>
      <c r="V41" t="s">
        <v>39</v>
      </c>
      <c r="W41" t="s">
        <v>39</v>
      </c>
      <c r="X41" t="s">
        <v>1423</v>
      </c>
      <c r="AB41" t="s">
        <v>308</v>
      </c>
      <c r="AC41" t="s">
        <v>309</v>
      </c>
      <c r="AD41" t="s">
        <v>310</v>
      </c>
    </row>
    <row r="42" spans="1:31" x14ac:dyDescent="0.2">
      <c r="A42">
        <v>45763896</v>
      </c>
      <c r="B42" t="s">
        <v>311</v>
      </c>
      <c r="C42" t="s">
        <v>312</v>
      </c>
      <c r="D42" t="s">
        <v>32</v>
      </c>
      <c r="E42" s="9">
        <v>45905</v>
      </c>
      <c r="F42"/>
      <c r="G42" t="s">
        <v>45</v>
      </c>
      <c r="H42" t="s">
        <v>68</v>
      </c>
      <c r="I42" t="s">
        <v>59</v>
      </c>
      <c r="J42" t="s">
        <v>138</v>
      </c>
      <c r="K42" t="s">
        <v>48</v>
      </c>
      <c r="L42" t="s">
        <v>49</v>
      </c>
      <c r="M42" t="s">
        <v>50</v>
      </c>
      <c r="O42" t="s">
        <v>39</v>
      </c>
      <c r="P42" t="s">
        <v>39</v>
      </c>
      <c r="Q42" t="s">
        <v>39</v>
      </c>
      <c r="R42" t="s">
        <v>41</v>
      </c>
      <c r="S42" t="s">
        <v>40</v>
      </c>
      <c r="T42" t="s">
        <v>41</v>
      </c>
      <c r="U42" t="s">
        <v>39</v>
      </c>
      <c r="V42" t="s">
        <v>39</v>
      </c>
      <c r="W42" t="s">
        <v>40</v>
      </c>
      <c r="AB42" t="s">
        <v>313</v>
      </c>
      <c r="AC42" t="s">
        <v>314</v>
      </c>
      <c r="AD42" t="s">
        <v>315</v>
      </c>
    </row>
    <row r="43" spans="1:31" x14ac:dyDescent="0.2">
      <c r="A43">
        <v>45763997</v>
      </c>
      <c r="B43" t="s">
        <v>316</v>
      </c>
      <c r="C43" t="s">
        <v>317</v>
      </c>
      <c r="D43" t="s">
        <v>32</v>
      </c>
      <c r="E43" s="9">
        <v>45905</v>
      </c>
      <c r="F43"/>
      <c r="G43" t="s">
        <v>45</v>
      </c>
      <c r="H43" t="s">
        <v>96</v>
      </c>
      <c r="I43" t="s">
        <v>122</v>
      </c>
      <c r="J43" t="s">
        <v>123</v>
      </c>
      <c r="K43" t="s">
        <v>48</v>
      </c>
      <c r="L43" t="s">
        <v>37</v>
      </c>
      <c r="M43" t="s">
        <v>50</v>
      </c>
      <c r="O43" t="s">
        <v>39</v>
      </c>
      <c r="P43" t="s">
        <v>39</v>
      </c>
      <c r="Q43" t="s">
        <v>39</v>
      </c>
      <c r="R43" t="s">
        <v>41</v>
      </c>
      <c r="S43" t="s">
        <v>40</v>
      </c>
      <c r="T43" t="s">
        <v>41</v>
      </c>
      <c r="U43" t="s">
        <v>39</v>
      </c>
      <c r="V43" t="s">
        <v>39</v>
      </c>
      <c r="W43" t="s">
        <v>40</v>
      </c>
      <c r="X43" t="s">
        <v>2192</v>
      </c>
      <c r="AB43" t="s">
        <v>318</v>
      </c>
      <c r="AC43" t="s">
        <v>319</v>
      </c>
      <c r="AD43" t="s">
        <v>320</v>
      </c>
    </row>
    <row r="44" spans="1:31" x14ac:dyDescent="0.2">
      <c r="A44">
        <v>45764004</v>
      </c>
      <c r="B44" t="s">
        <v>321</v>
      </c>
      <c r="C44" t="s">
        <v>322</v>
      </c>
      <c r="D44" t="s">
        <v>32</v>
      </c>
      <c r="E44" s="9">
        <v>45905</v>
      </c>
      <c r="F44"/>
      <c r="G44" t="s">
        <v>45</v>
      </c>
      <c r="H44" t="s">
        <v>53</v>
      </c>
      <c r="I44" t="s">
        <v>46</v>
      </c>
      <c r="J44" t="s">
        <v>60</v>
      </c>
      <c r="K44" t="s">
        <v>48</v>
      </c>
      <c r="L44" t="s">
        <v>49</v>
      </c>
      <c r="M44" t="s">
        <v>50</v>
      </c>
      <c r="O44" t="s">
        <v>39</v>
      </c>
      <c r="P44" t="s">
        <v>39</v>
      </c>
      <c r="Q44" t="s">
        <v>39</v>
      </c>
      <c r="R44" t="s">
        <v>41</v>
      </c>
      <c r="S44" t="s">
        <v>40</v>
      </c>
      <c r="T44" t="s">
        <v>41</v>
      </c>
      <c r="U44" t="s">
        <v>39</v>
      </c>
      <c r="V44" t="s">
        <v>39</v>
      </c>
      <c r="W44" t="s">
        <v>39</v>
      </c>
      <c r="AB44" t="s">
        <v>323</v>
      </c>
      <c r="AC44" t="s">
        <v>324</v>
      </c>
      <c r="AD44" t="s">
        <v>325</v>
      </c>
      <c r="AE44" t="s">
        <v>326</v>
      </c>
    </row>
    <row r="45" spans="1:31" x14ac:dyDescent="0.2">
      <c r="A45">
        <v>45764020</v>
      </c>
      <c r="B45" t="s">
        <v>327</v>
      </c>
      <c r="C45" t="s">
        <v>2193</v>
      </c>
      <c r="D45" t="s">
        <v>32</v>
      </c>
      <c r="E45" s="9">
        <v>45905</v>
      </c>
      <c r="F45"/>
      <c r="G45" t="s">
        <v>45</v>
      </c>
      <c r="H45" t="s">
        <v>253</v>
      </c>
      <c r="I45" t="s">
        <v>252</v>
      </c>
      <c r="J45" t="s">
        <v>254</v>
      </c>
      <c r="K45" t="s">
        <v>48</v>
      </c>
      <c r="L45" t="s">
        <v>49</v>
      </c>
      <c r="M45" t="s">
        <v>50</v>
      </c>
      <c r="O45" t="s">
        <v>39</v>
      </c>
      <c r="P45" t="s">
        <v>39</v>
      </c>
      <c r="Q45" t="s">
        <v>39</v>
      </c>
      <c r="R45" t="s">
        <v>41</v>
      </c>
      <c r="S45" t="s">
        <v>40</v>
      </c>
      <c r="T45" t="s">
        <v>41</v>
      </c>
      <c r="U45" t="s">
        <v>39</v>
      </c>
      <c r="V45" t="s">
        <v>39</v>
      </c>
      <c r="W45" t="s">
        <v>40</v>
      </c>
      <c r="AB45" t="s">
        <v>329</v>
      </c>
      <c r="AC45" t="s">
        <v>330</v>
      </c>
      <c r="AD45" t="s">
        <v>331</v>
      </c>
      <c r="AE45" t="s">
        <v>332</v>
      </c>
    </row>
    <row r="46" spans="1:31" x14ac:dyDescent="0.2">
      <c r="A46">
        <v>45764028</v>
      </c>
      <c r="B46" t="s">
        <v>333</v>
      </c>
      <c r="C46" t="s">
        <v>334</v>
      </c>
      <c r="D46" t="s">
        <v>32</v>
      </c>
      <c r="E46" s="9">
        <v>45905</v>
      </c>
      <c r="F46"/>
      <c r="G46" t="s">
        <v>45</v>
      </c>
      <c r="H46" t="s">
        <v>335</v>
      </c>
      <c r="I46" t="s">
        <v>336</v>
      </c>
      <c r="J46" t="s">
        <v>117</v>
      </c>
      <c r="K46" t="s">
        <v>48</v>
      </c>
      <c r="L46" t="s">
        <v>49</v>
      </c>
      <c r="M46" t="s">
        <v>50</v>
      </c>
      <c r="O46" t="s">
        <v>39</v>
      </c>
      <c r="P46" t="s">
        <v>39</v>
      </c>
      <c r="Q46" t="s">
        <v>39</v>
      </c>
      <c r="R46" t="s">
        <v>41</v>
      </c>
      <c r="S46" t="s">
        <v>40</v>
      </c>
      <c r="T46" t="s">
        <v>41</v>
      </c>
      <c r="U46" t="s">
        <v>39</v>
      </c>
      <c r="V46" t="s">
        <v>39</v>
      </c>
      <c r="W46" t="s">
        <v>40</v>
      </c>
      <c r="AB46" t="s">
        <v>337</v>
      </c>
      <c r="AC46" t="s">
        <v>338</v>
      </c>
      <c r="AD46" t="s">
        <v>339</v>
      </c>
      <c r="AE46" t="s">
        <v>340</v>
      </c>
    </row>
    <row r="47" spans="1:31" hidden="1" x14ac:dyDescent="0.2">
      <c r="A47">
        <v>45767897</v>
      </c>
      <c r="B47" t="s">
        <v>343</v>
      </c>
      <c r="C47" t="s">
        <v>344</v>
      </c>
      <c r="D47" t="s">
        <v>32</v>
      </c>
      <c r="E47" s="9">
        <v>45906</v>
      </c>
      <c r="F47"/>
      <c r="G47" t="s">
        <v>33</v>
      </c>
      <c r="H47" t="s">
        <v>34</v>
      </c>
      <c r="J47" t="s">
        <v>234</v>
      </c>
      <c r="K47" t="s">
        <v>48</v>
      </c>
      <c r="L47" t="s">
        <v>37</v>
      </c>
      <c r="N47" t="s">
        <v>38</v>
      </c>
      <c r="O47" t="s">
        <v>40</v>
      </c>
      <c r="P47" t="s">
        <v>39</v>
      </c>
      <c r="Q47" t="s">
        <v>39</v>
      </c>
      <c r="R47" t="s">
        <v>40</v>
      </c>
      <c r="S47" t="s">
        <v>41</v>
      </c>
      <c r="T47" t="s">
        <v>41</v>
      </c>
      <c r="U47" t="s">
        <v>39</v>
      </c>
      <c r="V47" t="s">
        <v>39</v>
      </c>
      <c r="W47" t="s">
        <v>39</v>
      </c>
      <c r="X47" t="s">
        <v>345</v>
      </c>
      <c r="AB47" t="s">
        <v>346</v>
      </c>
      <c r="AC47" t="s">
        <v>347</v>
      </c>
      <c r="AD47" t="s">
        <v>348</v>
      </c>
      <c r="AE47" t="s">
        <v>349</v>
      </c>
    </row>
    <row r="48" spans="1:31" x14ac:dyDescent="0.2">
      <c r="A48">
        <v>45764080</v>
      </c>
      <c r="B48" t="s">
        <v>355</v>
      </c>
      <c r="C48" t="s">
        <v>356</v>
      </c>
      <c r="D48" t="s">
        <v>32</v>
      </c>
      <c r="E48" s="9">
        <v>45906</v>
      </c>
      <c r="F48"/>
      <c r="G48" t="s">
        <v>45</v>
      </c>
      <c r="H48" t="s">
        <v>46</v>
      </c>
      <c r="I48" t="s">
        <v>53</v>
      </c>
      <c r="J48" t="s">
        <v>133</v>
      </c>
      <c r="K48" t="s">
        <v>36</v>
      </c>
      <c r="L48" t="s">
        <v>49</v>
      </c>
      <c r="M48" t="s">
        <v>50</v>
      </c>
      <c r="O48" t="s">
        <v>39</v>
      </c>
      <c r="P48" t="s">
        <v>39</v>
      </c>
      <c r="Q48" t="s">
        <v>39</v>
      </c>
      <c r="R48" t="s">
        <v>41</v>
      </c>
      <c r="S48" t="s">
        <v>40</v>
      </c>
      <c r="T48" t="s">
        <v>41</v>
      </c>
      <c r="U48" t="s">
        <v>39</v>
      </c>
      <c r="V48" t="s">
        <v>39</v>
      </c>
      <c r="W48" t="s">
        <v>40</v>
      </c>
      <c r="AB48" t="s">
        <v>357</v>
      </c>
      <c r="AC48" t="s">
        <v>358</v>
      </c>
      <c r="AD48" t="s">
        <v>359</v>
      </c>
      <c r="AE48" t="s">
        <v>360</v>
      </c>
    </row>
    <row r="49" spans="1:31" x14ac:dyDescent="0.2">
      <c r="A49">
        <v>45970439</v>
      </c>
      <c r="B49" t="s">
        <v>370</v>
      </c>
      <c r="C49" t="s">
        <v>1963</v>
      </c>
      <c r="D49" t="s">
        <v>32</v>
      </c>
      <c r="E49" s="9">
        <v>45927</v>
      </c>
      <c r="F49"/>
      <c r="G49" t="s">
        <v>45</v>
      </c>
      <c r="H49" t="s">
        <v>372</v>
      </c>
      <c r="I49" t="s">
        <v>53</v>
      </c>
      <c r="J49" t="s">
        <v>98</v>
      </c>
      <c r="K49" t="s">
        <v>48</v>
      </c>
      <c r="L49" t="s">
        <v>37</v>
      </c>
      <c r="M49" t="s">
        <v>50</v>
      </c>
      <c r="O49" t="s">
        <v>39</v>
      </c>
      <c r="P49" t="s">
        <v>39</v>
      </c>
      <c r="Q49" t="s">
        <v>39</v>
      </c>
      <c r="R49" t="s">
        <v>41</v>
      </c>
      <c r="S49" t="s">
        <v>40</v>
      </c>
      <c r="T49" t="s">
        <v>41</v>
      </c>
      <c r="U49" t="s">
        <v>39</v>
      </c>
      <c r="V49" t="s">
        <v>39</v>
      </c>
      <c r="W49" t="s">
        <v>40</v>
      </c>
      <c r="X49" t="s">
        <v>1964</v>
      </c>
      <c r="AB49" t="s">
        <v>373</v>
      </c>
      <c r="AC49" t="s">
        <v>374</v>
      </c>
      <c r="AD49" t="s">
        <v>375</v>
      </c>
      <c r="AE49" t="s">
        <v>376</v>
      </c>
    </row>
    <row r="50" spans="1:31" x14ac:dyDescent="0.2">
      <c r="A50">
        <v>45968065</v>
      </c>
      <c r="B50" t="s">
        <v>377</v>
      </c>
      <c r="C50" t="s">
        <v>1965</v>
      </c>
      <c r="D50" t="s">
        <v>32</v>
      </c>
      <c r="E50" s="9">
        <v>45927</v>
      </c>
      <c r="F50"/>
      <c r="G50" t="s">
        <v>45</v>
      </c>
      <c r="H50" t="s">
        <v>46</v>
      </c>
      <c r="I50" t="s">
        <v>90</v>
      </c>
      <c r="J50" t="s">
        <v>117</v>
      </c>
      <c r="K50" t="s">
        <v>36</v>
      </c>
      <c r="L50" t="s">
        <v>37</v>
      </c>
      <c r="M50" t="s">
        <v>50</v>
      </c>
      <c r="O50" t="s">
        <v>39</v>
      </c>
      <c r="P50" t="s">
        <v>39</v>
      </c>
      <c r="Q50" t="s">
        <v>39</v>
      </c>
      <c r="R50" t="s">
        <v>41</v>
      </c>
      <c r="S50" t="s">
        <v>40</v>
      </c>
      <c r="T50" t="s">
        <v>41</v>
      </c>
      <c r="U50" t="s">
        <v>39</v>
      </c>
      <c r="V50" t="s">
        <v>39</v>
      </c>
      <c r="W50" t="s">
        <v>40</v>
      </c>
      <c r="X50" t="s">
        <v>1966</v>
      </c>
      <c r="AB50" t="s">
        <v>379</v>
      </c>
      <c r="AC50" t="s">
        <v>380</v>
      </c>
      <c r="AD50" t="s">
        <v>381</v>
      </c>
      <c r="AE50" t="s">
        <v>382</v>
      </c>
    </row>
    <row r="51" spans="1:31" x14ac:dyDescent="0.2">
      <c r="A51">
        <v>45968028</v>
      </c>
      <c r="B51" t="s">
        <v>387</v>
      </c>
      <c r="C51" t="s">
        <v>388</v>
      </c>
      <c r="D51" t="s">
        <v>32</v>
      </c>
      <c r="E51" s="9">
        <v>45927</v>
      </c>
      <c r="F51"/>
      <c r="G51" t="s">
        <v>45</v>
      </c>
      <c r="H51" t="s">
        <v>80</v>
      </c>
      <c r="J51" t="s">
        <v>203</v>
      </c>
      <c r="K51" t="s">
        <v>36</v>
      </c>
      <c r="L51" t="s">
        <v>49</v>
      </c>
      <c r="M51" t="s">
        <v>50</v>
      </c>
      <c r="O51" t="s">
        <v>39</v>
      </c>
      <c r="P51" t="s">
        <v>41</v>
      </c>
      <c r="Q51" t="s">
        <v>39</v>
      </c>
      <c r="R51" t="s">
        <v>41</v>
      </c>
      <c r="S51" t="s">
        <v>40</v>
      </c>
      <c r="T51" t="s">
        <v>41</v>
      </c>
      <c r="U51" t="s">
        <v>39</v>
      </c>
      <c r="V51" t="s">
        <v>39</v>
      </c>
      <c r="W51" t="s">
        <v>40</v>
      </c>
      <c r="AB51" t="s">
        <v>389</v>
      </c>
      <c r="AC51" t="s">
        <v>390</v>
      </c>
      <c r="AD51" t="s">
        <v>391</v>
      </c>
      <c r="AE51" t="s">
        <v>392</v>
      </c>
    </row>
    <row r="52" spans="1:31" x14ac:dyDescent="0.2">
      <c r="A52">
        <v>45969286</v>
      </c>
      <c r="B52" t="s">
        <v>395</v>
      </c>
      <c r="C52" t="s">
        <v>396</v>
      </c>
      <c r="D52" t="s">
        <v>32</v>
      </c>
      <c r="E52" s="9">
        <v>45927</v>
      </c>
      <c r="F52"/>
      <c r="G52" t="s">
        <v>45</v>
      </c>
      <c r="H52" t="s">
        <v>397</v>
      </c>
      <c r="I52" t="s">
        <v>398</v>
      </c>
      <c r="J52" t="s">
        <v>133</v>
      </c>
      <c r="K52" t="s">
        <v>48</v>
      </c>
      <c r="L52" t="s">
        <v>49</v>
      </c>
      <c r="M52" t="s">
        <v>50</v>
      </c>
      <c r="O52" t="s">
        <v>39</v>
      </c>
      <c r="P52" t="s">
        <v>39</v>
      </c>
      <c r="Q52" t="s">
        <v>39</v>
      </c>
      <c r="R52" t="s">
        <v>41</v>
      </c>
      <c r="S52" t="s">
        <v>40</v>
      </c>
      <c r="T52" t="s">
        <v>41</v>
      </c>
      <c r="U52" t="s">
        <v>39</v>
      </c>
      <c r="V52" t="s">
        <v>39</v>
      </c>
      <c r="W52" t="s">
        <v>40</v>
      </c>
      <c r="AB52" t="s">
        <v>2194</v>
      </c>
      <c r="AC52" t="s">
        <v>399</v>
      </c>
      <c r="AD52" t="s">
        <v>2195</v>
      </c>
      <c r="AE52" t="s">
        <v>2196</v>
      </c>
    </row>
    <row r="53" spans="1:31" x14ac:dyDescent="0.2">
      <c r="A53">
        <v>45969485</v>
      </c>
      <c r="B53" t="s">
        <v>403</v>
      </c>
      <c r="C53" t="s">
        <v>1234</v>
      </c>
      <c r="D53" t="s">
        <v>32</v>
      </c>
      <c r="E53" s="9">
        <v>45927</v>
      </c>
      <c r="F53"/>
      <c r="G53" t="s">
        <v>45</v>
      </c>
      <c r="H53" t="s">
        <v>46</v>
      </c>
      <c r="I53" t="s">
        <v>53</v>
      </c>
      <c r="J53" t="s">
        <v>286</v>
      </c>
      <c r="K53" t="s">
        <v>36</v>
      </c>
      <c r="L53" t="s">
        <v>37</v>
      </c>
      <c r="M53" t="s">
        <v>50</v>
      </c>
      <c r="O53" t="s">
        <v>39</v>
      </c>
      <c r="P53" t="s">
        <v>39</v>
      </c>
      <c r="Q53" t="s">
        <v>39</v>
      </c>
      <c r="R53" t="s">
        <v>41</v>
      </c>
      <c r="S53" t="s">
        <v>40</v>
      </c>
      <c r="T53" t="s">
        <v>41</v>
      </c>
      <c r="U53" t="s">
        <v>39</v>
      </c>
      <c r="V53" t="s">
        <v>39</v>
      </c>
      <c r="W53" t="s">
        <v>39</v>
      </c>
      <c r="AB53" t="s">
        <v>2197</v>
      </c>
      <c r="AC53" t="s">
        <v>405</v>
      </c>
      <c r="AD53" t="s">
        <v>2198</v>
      </c>
      <c r="AE53" t="s">
        <v>2199</v>
      </c>
    </row>
    <row r="54" spans="1:31" x14ac:dyDescent="0.2">
      <c r="A54">
        <v>45968036</v>
      </c>
      <c r="B54" t="s">
        <v>406</v>
      </c>
      <c r="C54" t="s">
        <v>407</v>
      </c>
      <c r="D54" t="s">
        <v>32</v>
      </c>
      <c r="E54" s="9">
        <v>45927</v>
      </c>
      <c r="F54"/>
      <c r="G54" t="s">
        <v>45</v>
      </c>
      <c r="H54" t="s">
        <v>80</v>
      </c>
      <c r="I54" t="s">
        <v>72</v>
      </c>
      <c r="J54" t="s">
        <v>203</v>
      </c>
      <c r="K54" t="s">
        <v>48</v>
      </c>
      <c r="L54" t="s">
        <v>49</v>
      </c>
      <c r="M54" t="s">
        <v>74</v>
      </c>
      <c r="O54" t="s">
        <v>39</v>
      </c>
      <c r="P54" t="s">
        <v>39</v>
      </c>
      <c r="Q54" t="s">
        <v>39</v>
      </c>
      <c r="R54" t="s">
        <v>41</v>
      </c>
      <c r="S54" t="s">
        <v>40</v>
      </c>
      <c r="T54" t="s">
        <v>41</v>
      </c>
      <c r="U54" t="s">
        <v>39</v>
      </c>
      <c r="V54" t="s">
        <v>39</v>
      </c>
      <c r="W54" t="s">
        <v>40</v>
      </c>
      <c r="AB54" t="s">
        <v>408</v>
      </c>
      <c r="AC54" t="s">
        <v>409</v>
      </c>
      <c r="AD54" t="s">
        <v>410</v>
      </c>
      <c r="AE54" t="s">
        <v>411</v>
      </c>
    </row>
    <row r="55" spans="1:31" x14ac:dyDescent="0.2">
      <c r="A55">
        <v>45970198</v>
      </c>
      <c r="B55" t="s">
        <v>414</v>
      </c>
      <c r="C55" t="s">
        <v>1967</v>
      </c>
      <c r="D55" t="s">
        <v>32</v>
      </c>
      <c r="E55" s="9">
        <v>45927</v>
      </c>
      <c r="F55"/>
      <c r="G55" t="s">
        <v>45</v>
      </c>
      <c r="H55" t="s">
        <v>252</v>
      </c>
      <c r="I55" t="s">
        <v>200</v>
      </c>
      <c r="J55" t="s">
        <v>203</v>
      </c>
      <c r="K55" t="s">
        <v>48</v>
      </c>
      <c r="L55" t="s">
        <v>49</v>
      </c>
      <c r="M55" t="s">
        <v>50</v>
      </c>
      <c r="O55" t="s">
        <v>39</v>
      </c>
      <c r="P55" t="s">
        <v>39</v>
      </c>
      <c r="Q55" t="s">
        <v>39</v>
      </c>
      <c r="R55" t="s">
        <v>41</v>
      </c>
      <c r="S55" t="s">
        <v>40</v>
      </c>
      <c r="T55" t="s">
        <v>41</v>
      </c>
      <c r="U55" t="s">
        <v>39</v>
      </c>
      <c r="V55" t="s">
        <v>39</v>
      </c>
      <c r="W55" t="s">
        <v>40</v>
      </c>
      <c r="AB55" t="s">
        <v>416</v>
      </c>
      <c r="AC55" t="s">
        <v>417</v>
      </c>
      <c r="AD55" t="s">
        <v>418</v>
      </c>
      <c r="AE55" t="s">
        <v>419</v>
      </c>
    </row>
    <row r="56" spans="1:31" x14ac:dyDescent="0.2">
      <c r="A56">
        <v>45969530</v>
      </c>
      <c r="B56" t="s">
        <v>422</v>
      </c>
      <c r="C56" t="s">
        <v>1082</v>
      </c>
      <c r="D56" t="s">
        <v>32</v>
      </c>
      <c r="E56" s="9">
        <v>45927</v>
      </c>
      <c r="F56"/>
      <c r="G56" t="s">
        <v>45</v>
      </c>
      <c r="H56" t="s">
        <v>53</v>
      </c>
      <c r="J56" t="s">
        <v>47</v>
      </c>
      <c r="K56" t="s">
        <v>36</v>
      </c>
      <c r="L56" t="s">
        <v>49</v>
      </c>
      <c r="M56" t="s">
        <v>50</v>
      </c>
      <c r="O56" t="s">
        <v>39</v>
      </c>
      <c r="P56" t="s">
        <v>39</v>
      </c>
      <c r="Q56" t="s">
        <v>39</v>
      </c>
      <c r="R56" t="s">
        <v>39</v>
      </c>
      <c r="S56" t="s">
        <v>40</v>
      </c>
      <c r="T56" t="s">
        <v>41</v>
      </c>
      <c r="U56" t="s">
        <v>39</v>
      </c>
      <c r="V56" t="s">
        <v>39</v>
      </c>
      <c r="W56" t="s">
        <v>40</v>
      </c>
      <c r="X56" t="s">
        <v>1968</v>
      </c>
      <c r="AB56" t="s">
        <v>423</v>
      </c>
      <c r="AC56" t="s">
        <v>424</v>
      </c>
      <c r="AD56" t="s">
        <v>425</v>
      </c>
      <c r="AE56" t="s">
        <v>426</v>
      </c>
    </row>
    <row r="57" spans="1:31" x14ac:dyDescent="0.2">
      <c r="A57">
        <v>45968103</v>
      </c>
      <c r="B57" t="s">
        <v>430</v>
      </c>
      <c r="C57" t="s">
        <v>431</v>
      </c>
      <c r="D57" t="s">
        <v>32</v>
      </c>
      <c r="E57" s="9">
        <v>45927</v>
      </c>
      <c r="F57"/>
      <c r="G57" t="s">
        <v>45</v>
      </c>
      <c r="H57" t="s">
        <v>46</v>
      </c>
      <c r="J57" t="s">
        <v>138</v>
      </c>
      <c r="K57" t="s">
        <v>48</v>
      </c>
      <c r="L57" t="s">
        <v>49</v>
      </c>
      <c r="M57" t="s">
        <v>50</v>
      </c>
      <c r="O57" t="s">
        <v>39</v>
      </c>
      <c r="P57" t="s">
        <v>39</v>
      </c>
      <c r="Q57" t="s">
        <v>39</v>
      </c>
      <c r="R57" t="s">
        <v>41</v>
      </c>
      <c r="S57" t="s">
        <v>40</v>
      </c>
      <c r="T57" t="s">
        <v>41</v>
      </c>
      <c r="U57" t="s">
        <v>39</v>
      </c>
      <c r="V57" t="s">
        <v>39</v>
      </c>
      <c r="W57" t="s">
        <v>40</v>
      </c>
      <c r="AB57" t="s">
        <v>432</v>
      </c>
      <c r="AC57" t="s">
        <v>433</v>
      </c>
      <c r="AD57" t="s">
        <v>434</v>
      </c>
    </row>
    <row r="58" spans="1:31" x14ac:dyDescent="0.2">
      <c r="A58">
        <v>45968075</v>
      </c>
      <c r="B58" t="s">
        <v>435</v>
      </c>
      <c r="C58" t="s">
        <v>436</v>
      </c>
      <c r="D58" t="s">
        <v>32</v>
      </c>
      <c r="E58" s="9">
        <v>45927</v>
      </c>
      <c r="F58"/>
      <c r="G58" t="s">
        <v>45</v>
      </c>
      <c r="H58" t="s">
        <v>437</v>
      </c>
      <c r="I58" t="s">
        <v>350</v>
      </c>
      <c r="J58" t="s">
        <v>286</v>
      </c>
      <c r="K58" t="s">
        <v>36</v>
      </c>
      <c r="L58" t="s">
        <v>37</v>
      </c>
      <c r="M58" t="s">
        <v>50</v>
      </c>
      <c r="O58" t="s">
        <v>39</v>
      </c>
      <c r="P58" t="s">
        <v>39</v>
      </c>
      <c r="Q58" t="s">
        <v>39</v>
      </c>
      <c r="R58" t="s">
        <v>41</v>
      </c>
      <c r="S58" t="s">
        <v>40</v>
      </c>
      <c r="T58" t="s">
        <v>41</v>
      </c>
      <c r="U58" t="s">
        <v>39</v>
      </c>
      <c r="V58" t="s">
        <v>39</v>
      </c>
      <c r="W58" t="s">
        <v>40</v>
      </c>
      <c r="AB58" t="s">
        <v>438</v>
      </c>
      <c r="AC58" t="s">
        <v>439</v>
      </c>
      <c r="AD58" t="s">
        <v>440</v>
      </c>
      <c r="AE58" t="s">
        <v>441</v>
      </c>
    </row>
    <row r="59" spans="1:31" hidden="1" x14ac:dyDescent="0.2">
      <c r="A59">
        <v>46105050</v>
      </c>
      <c r="B59" t="s">
        <v>560</v>
      </c>
      <c r="C59" t="s">
        <v>559</v>
      </c>
      <c r="D59" t="s">
        <v>32</v>
      </c>
      <c r="E59" s="9">
        <v>45941</v>
      </c>
      <c r="F59"/>
      <c r="G59" t="s">
        <v>33</v>
      </c>
      <c r="H59" t="s">
        <v>1236</v>
      </c>
      <c r="J59" t="s">
        <v>234</v>
      </c>
      <c r="K59" t="s">
        <v>36</v>
      </c>
      <c r="L59" t="s">
        <v>49</v>
      </c>
      <c r="N59" t="s">
        <v>1237</v>
      </c>
      <c r="O59" t="s">
        <v>40</v>
      </c>
      <c r="P59" t="s">
        <v>39</v>
      </c>
      <c r="Q59" t="s">
        <v>39</v>
      </c>
      <c r="R59" t="s">
        <v>40</v>
      </c>
      <c r="S59" t="s">
        <v>41</v>
      </c>
      <c r="T59" t="s">
        <v>41</v>
      </c>
      <c r="U59" t="s">
        <v>40</v>
      </c>
      <c r="V59" t="s">
        <v>40</v>
      </c>
      <c r="W59" t="s">
        <v>39</v>
      </c>
      <c r="AB59" t="s">
        <v>1238</v>
      </c>
    </row>
    <row r="60" spans="1:31" hidden="1" x14ac:dyDescent="0.2">
      <c r="A60">
        <v>46106152</v>
      </c>
      <c r="B60" t="s">
        <v>613</v>
      </c>
      <c r="C60" t="s">
        <v>612</v>
      </c>
      <c r="D60" t="s">
        <v>32</v>
      </c>
      <c r="E60" s="9">
        <v>45941</v>
      </c>
      <c r="F60"/>
      <c r="G60" t="s">
        <v>33</v>
      </c>
      <c r="H60" t="s">
        <v>34</v>
      </c>
      <c r="J60" t="s">
        <v>225</v>
      </c>
      <c r="K60" t="s">
        <v>36</v>
      </c>
      <c r="L60" t="s">
        <v>49</v>
      </c>
      <c r="N60" t="s">
        <v>38</v>
      </c>
      <c r="O60" t="s">
        <v>40</v>
      </c>
      <c r="P60" t="s">
        <v>39</v>
      </c>
      <c r="Q60" t="s">
        <v>39</v>
      </c>
      <c r="R60" t="s">
        <v>40</v>
      </c>
      <c r="S60" t="s">
        <v>41</v>
      </c>
      <c r="T60" t="s">
        <v>41</v>
      </c>
      <c r="U60" t="s">
        <v>39</v>
      </c>
      <c r="V60" t="s">
        <v>40</v>
      </c>
      <c r="W60" t="s">
        <v>39</v>
      </c>
      <c r="AB60" t="s">
        <v>1239</v>
      </c>
    </row>
    <row r="61" spans="1:31" hidden="1" x14ac:dyDescent="0.2">
      <c r="A61">
        <v>46105251</v>
      </c>
      <c r="B61" t="s">
        <v>592</v>
      </c>
      <c r="C61" t="s">
        <v>591</v>
      </c>
      <c r="D61" t="s">
        <v>32</v>
      </c>
      <c r="E61" s="9">
        <v>45941</v>
      </c>
      <c r="F61"/>
      <c r="G61" t="s">
        <v>33</v>
      </c>
      <c r="H61" t="s">
        <v>210</v>
      </c>
      <c r="J61" t="s">
        <v>236</v>
      </c>
      <c r="K61" t="s">
        <v>48</v>
      </c>
      <c r="L61" t="s">
        <v>37</v>
      </c>
      <c r="N61" t="s">
        <v>38</v>
      </c>
      <c r="O61" t="s">
        <v>40</v>
      </c>
      <c r="P61" t="s">
        <v>39</v>
      </c>
      <c r="Q61" t="s">
        <v>39</v>
      </c>
      <c r="R61" t="s">
        <v>40</v>
      </c>
      <c r="S61" t="s">
        <v>41</v>
      </c>
      <c r="T61" t="s">
        <v>41</v>
      </c>
      <c r="U61" t="s">
        <v>39</v>
      </c>
      <c r="V61" t="s">
        <v>40</v>
      </c>
      <c r="W61" t="s">
        <v>39</v>
      </c>
      <c r="AB61" t="s">
        <v>1240</v>
      </c>
      <c r="AC61" t="s">
        <v>1241</v>
      </c>
      <c r="AD61" t="s">
        <v>1242</v>
      </c>
      <c r="AE61" t="s">
        <v>1243</v>
      </c>
    </row>
    <row r="62" spans="1:31" hidden="1" x14ac:dyDescent="0.2">
      <c r="A62">
        <v>46105343</v>
      </c>
      <c r="B62" t="s">
        <v>554</v>
      </c>
      <c r="C62" t="s">
        <v>553</v>
      </c>
      <c r="D62" t="s">
        <v>32</v>
      </c>
      <c r="E62" s="9">
        <v>45941</v>
      </c>
      <c r="F62"/>
      <c r="G62" t="s">
        <v>33</v>
      </c>
      <c r="H62" t="s">
        <v>242</v>
      </c>
      <c r="J62" t="s">
        <v>234</v>
      </c>
      <c r="K62" t="s">
        <v>36</v>
      </c>
      <c r="L62" t="s">
        <v>49</v>
      </c>
      <c r="N62" t="s">
        <v>235</v>
      </c>
      <c r="O62" t="s">
        <v>40</v>
      </c>
      <c r="P62" t="s">
        <v>39</v>
      </c>
      <c r="Q62" t="s">
        <v>39</v>
      </c>
      <c r="R62" t="s">
        <v>40</v>
      </c>
      <c r="S62" t="s">
        <v>41</v>
      </c>
      <c r="T62" t="s">
        <v>41</v>
      </c>
      <c r="U62" t="s">
        <v>40</v>
      </c>
      <c r="V62" t="s">
        <v>40</v>
      </c>
      <c r="W62" t="s">
        <v>39</v>
      </c>
      <c r="AB62" t="s">
        <v>1244</v>
      </c>
    </row>
    <row r="63" spans="1:31" hidden="1" x14ac:dyDescent="0.2">
      <c r="A63">
        <v>46105322</v>
      </c>
      <c r="B63" t="s">
        <v>488</v>
      </c>
      <c r="C63" t="s">
        <v>487</v>
      </c>
      <c r="D63" t="s">
        <v>32</v>
      </c>
      <c r="E63" s="9">
        <v>45941</v>
      </c>
      <c r="F63"/>
      <c r="G63" t="s">
        <v>33</v>
      </c>
      <c r="H63" t="s">
        <v>34</v>
      </c>
      <c r="J63" t="s">
        <v>1245</v>
      </c>
      <c r="K63" t="s">
        <v>36</v>
      </c>
      <c r="L63" t="s">
        <v>49</v>
      </c>
      <c r="N63" t="s">
        <v>38</v>
      </c>
      <c r="O63" t="s">
        <v>40</v>
      </c>
      <c r="P63" t="s">
        <v>39</v>
      </c>
      <c r="Q63" t="s">
        <v>39</v>
      </c>
      <c r="R63" t="s">
        <v>40</v>
      </c>
      <c r="S63" t="s">
        <v>41</v>
      </c>
      <c r="T63" t="s">
        <v>41</v>
      </c>
      <c r="U63" t="s">
        <v>40</v>
      </c>
      <c r="V63" t="s">
        <v>40</v>
      </c>
      <c r="W63" t="s">
        <v>39</v>
      </c>
      <c r="AB63" t="s">
        <v>1246</v>
      </c>
    </row>
    <row r="64" spans="1:31" hidden="1" x14ac:dyDescent="0.2">
      <c r="A64">
        <v>46105354</v>
      </c>
      <c r="B64" t="s">
        <v>549</v>
      </c>
      <c r="C64" t="s">
        <v>547</v>
      </c>
      <c r="D64" t="s">
        <v>32</v>
      </c>
      <c r="E64" s="9">
        <v>45941</v>
      </c>
      <c r="F64"/>
      <c r="G64" t="s">
        <v>33</v>
      </c>
      <c r="H64" t="s">
        <v>1236</v>
      </c>
      <c r="J64" t="s">
        <v>234</v>
      </c>
      <c r="K64" t="s">
        <v>36</v>
      </c>
      <c r="L64" t="s">
        <v>49</v>
      </c>
      <c r="N64" t="s">
        <v>1237</v>
      </c>
      <c r="O64" t="s">
        <v>40</v>
      </c>
      <c r="P64" t="s">
        <v>39</v>
      </c>
      <c r="Q64" t="s">
        <v>39</v>
      </c>
      <c r="R64" t="s">
        <v>40</v>
      </c>
      <c r="S64" t="s">
        <v>41</v>
      </c>
      <c r="T64" t="s">
        <v>41</v>
      </c>
      <c r="U64" t="s">
        <v>40</v>
      </c>
      <c r="V64" t="s">
        <v>40</v>
      </c>
      <c r="W64" t="s">
        <v>39</v>
      </c>
      <c r="AB64" t="s">
        <v>1247</v>
      </c>
    </row>
    <row r="65" spans="1:31" hidden="1" x14ac:dyDescent="0.2">
      <c r="A65">
        <v>46105301</v>
      </c>
      <c r="B65" t="s">
        <v>730</v>
      </c>
      <c r="C65" t="s">
        <v>729</v>
      </c>
      <c r="D65" t="s">
        <v>32</v>
      </c>
      <c r="E65" s="9">
        <v>45941</v>
      </c>
      <c r="F65"/>
      <c r="G65" t="s">
        <v>33</v>
      </c>
      <c r="H65" t="s">
        <v>210</v>
      </c>
      <c r="J65" t="s">
        <v>222</v>
      </c>
      <c r="K65" t="s">
        <v>48</v>
      </c>
      <c r="L65" t="s">
        <v>49</v>
      </c>
      <c r="N65" t="s">
        <v>38</v>
      </c>
      <c r="O65" t="s">
        <v>40</v>
      </c>
      <c r="P65" t="s">
        <v>39</v>
      </c>
      <c r="Q65" t="s">
        <v>39</v>
      </c>
      <c r="R65" t="s">
        <v>40</v>
      </c>
      <c r="S65" t="s">
        <v>41</v>
      </c>
      <c r="T65" t="s">
        <v>41</v>
      </c>
      <c r="U65" t="s">
        <v>39</v>
      </c>
      <c r="V65" t="s">
        <v>40</v>
      </c>
      <c r="W65" t="s">
        <v>39</v>
      </c>
      <c r="X65" t="s">
        <v>1248</v>
      </c>
      <c r="AB65" t="s">
        <v>1249</v>
      </c>
      <c r="AC65" t="s">
        <v>1250</v>
      </c>
      <c r="AD65" t="s">
        <v>1251</v>
      </c>
      <c r="AE65" t="s">
        <v>1252</v>
      </c>
    </row>
    <row r="66" spans="1:31" hidden="1" x14ac:dyDescent="0.2">
      <c r="A66">
        <v>46106073</v>
      </c>
      <c r="B66" t="s">
        <v>726</v>
      </c>
      <c r="C66" t="s">
        <v>725</v>
      </c>
      <c r="D66" t="s">
        <v>32</v>
      </c>
      <c r="E66" s="9">
        <v>45941</v>
      </c>
      <c r="F66"/>
      <c r="G66" t="s">
        <v>33</v>
      </c>
      <c r="H66" t="s">
        <v>242</v>
      </c>
      <c r="J66" t="s">
        <v>225</v>
      </c>
      <c r="K66" t="s">
        <v>36</v>
      </c>
      <c r="L66" t="s">
        <v>37</v>
      </c>
      <c r="N66" t="s">
        <v>235</v>
      </c>
      <c r="O66" t="s">
        <v>40</v>
      </c>
      <c r="P66" t="s">
        <v>39</v>
      </c>
      <c r="Q66" t="s">
        <v>39</v>
      </c>
      <c r="R66" t="s">
        <v>40</v>
      </c>
      <c r="S66" t="s">
        <v>41</v>
      </c>
      <c r="T66" t="s">
        <v>41</v>
      </c>
      <c r="U66" t="s">
        <v>40</v>
      </c>
      <c r="V66" t="s">
        <v>40</v>
      </c>
      <c r="W66" t="s">
        <v>39</v>
      </c>
      <c r="AB66" t="s">
        <v>1253</v>
      </c>
    </row>
    <row r="67" spans="1:31" hidden="1" x14ac:dyDescent="0.2">
      <c r="A67">
        <v>46105255</v>
      </c>
      <c r="B67" t="s">
        <v>597</v>
      </c>
      <c r="C67" t="s">
        <v>596</v>
      </c>
      <c r="D67" t="s">
        <v>32</v>
      </c>
      <c r="E67" s="9">
        <v>45941</v>
      </c>
      <c r="F67"/>
      <c r="G67" t="s">
        <v>33</v>
      </c>
      <c r="H67" t="s">
        <v>210</v>
      </c>
      <c r="J67" t="s">
        <v>1254</v>
      </c>
      <c r="K67" t="s">
        <v>36</v>
      </c>
      <c r="L67" t="s">
        <v>164</v>
      </c>
      <c r="N67" t="s">
        <v>38</v>
      </c>
      <c r="O67" t="s">
        <v>40</v>
      </c>
      <c r="P67" t="s">
        <v>39</v>
      </c>
      <c r="Q67" t="s">
        <v>39</v>
      </c>
      <c r="R67" t="s">
        <v>40</v>
      </c>
      <c r="S67" t="s">
        <v>41</v>
      </c>
      <c r="T67" t="s">
        <v>41</v>
      </c>
      <c r="U67" t="s">
        <v>39</v>
      </c>
      <c r="V67" t="s">
        <v>40</v>
      </c>
      <c r="W67" t="s">
        <v>39</v>
      </c>
      <c r="AB67" t="s">
        <v>1255</v>
      </c>
      <c r="AC67" t="s">
        <v>1256</v>
      </c>
      <c r="AD67" t="s">
        <v>1257</v>
      </c>
    </row>
    <row r="68" spans="1:31" hidden="1" x14ac:dyDescent="0.2">
      <c r="A68">
        <v>46105288</v>
      </c>
      <c r="B68" t="s">
        <v>628</v>
      </c>
      <c r="C68" t="s">
        <v>627</v>
      </c>
      <c r="D68" t="s">
        <v>32</v>
      </c>
      <c r="E68" s="9">
        <v>45941</v>
      </c>
      <c r="F68"/>
      <c r="G68" t="s">
        <v>33</v>
      </c>
      <c r="H68" t="s">
        <v>34</v>
      </c>
      <c r="J68" t="s">
        <v>225</v>
      </c>
      <c r="K68" t="s">
        <v>36</v>
      </c>
      <c r="L68" t="s">
        <v>37</v>
      </c>
      <c r="N68" t="s">
        <v>38</v>
      </c>
      <c r="O68" t="s">
        <v>40</v>
      </c>
      <c r="P68" t="s">
        <v>39</v>
      </c>
      <c r="Q68" t="s">
        <v>39</v>
      </c>
      <c r="R68" t="s">
        <v>40</v>
      </c>
      <c r="S68" t="s">
        <v>41</v>
      </c>
      <c r="T68" t="s">
        <v>41</v>
      </c>
      <c r="U68" t="s">
        <v>39</v>
      </c>
      <c r="V68" t="s">
        <v>40</v>
      </c>
      <c r="W68" t="s">
        <v>39</v>
      </c>
      <c r="AB68" t="s">
        <v>1258</v>
      </c>
      <c r="AC68" t="s">
        <v>1259</v>
      </c>
      <c r="AD68" t="s">
        <v>1260</v>
      </c>
    </row>
    <row r="69" spans="1:31" hidden="1" x14ac:dyDescent="0.2">
      <c r="A69">
        <v>46106131</v>
      </c>
      <c r="B69" t="s">
        <v>610</v>
      </c>
      <c r="C69" t="s">
        <v>609</v>
      </c>
      <c r="D69" t="s">
        <v>32</v>
      </c>
      <c r="E69" s="9">
        <v>45941</v>
      </c>
      <c r="F69"/>
      <c r="G69" t="s">
        <v>33</v>
      </c>
      <c r="H69" t="s">
        <v>242</v>
      </c>
      <c r="J69" t="s">
        <v>1261</v>
      </c>
      <c r="K69" t="s">
        <v>48</v>
      </c>
      <c r="L69" t="s">
        <v>49</v>
      </c>
      <c r="N69" t="s">
        <v>235</v>
      </c>
      <c r="O69" t="s">
        <v>40</v>
      </c>
      <c r="P69" t="s">
        <v>39</v>
      </c>
      <c r="Q69" t="s">
        <v>39</v>
      </c>
      <c r="R69" t="s">
        <v>40</v>
      </c>
      <c r="S69" t="s">
        <v>41</v>
      </c>
      <c r="T69" t="s">
        <v>41</v>
      </c>
      <c r="U69" t="s">
        <v>40</v>
      </c>
      <c r="V69" t="s">
        <v>40</v>
      </c>
      <c r="W69" t="s">
        <v>39</v>
      </c>
      <c r="AB69" t="s">
        <v>1262</v>
      </c>
    </row>
    <row r="70" spans="1:31" x14ac:dyDescent="0.2">
      <c r="A70">
        <v>46184787</v>
      </c>
      <c r="B70" t="s">
        <v>849</v>
      </c>
      <c r="C70" t="s">
        <v>848</v>
      </c>
      <c r="D70" t="s">
        <v>32</v>
      </c>
      <c r="E70" s="9">
        <v>45949</v>
      </c>
      <c r="F70"/>
      <c r="G70" t="s">
        <v>45</v>
      </c>
      <c r="H70" t="s">
        <v>89</v>
      </c>
      <c r="I70" t="s">
        <v>90</v>
      </c>
      <c r="J70" t="s">
        <v>47</v>
      </c>
      <c r="K70" t="s">
        <v>48</v>
      </c>
      <c r="L70" t="s">
        <v>49</v>
      </c>
      <c r="M70" t="s">
        <v>74</v>
      </c>
      <c r="O70" t="s">
        <v>39</v>
      </c>
      <c r="P70" t="s">
        <v>39</v>
      </c>
      <c r="Q70" t="s">
        <v>39</v>
      </c>
      <c r="R70" t="s">
        <v>41</v>
      </c>
      <c r="S70" t="s">
        <v>40</v>
      </c>
      <c r="T70" t="s">
        <v>41</v>
      </c>
      <c r="U70" t="s">
        <v>39</v>
      </c>
      <c r="V70" t="s">
        <v>39</v>
      </c>
      <c r="W70" t="s">
        <v>40</v>
      </c>
      <c r="X70" t="s">
        <v>2200</v>
      </c>
      <c r="AB70" t="s">
        <v>1424</v>
      </c>
      <c r="AC70" t="s">
        <v>1425</v>
      </c>
      <c r="AD70" t="s">
        <v>1426</v>
      </c>
      <c r="AE70" t="s">
        <v>1427</v>
      </c>
    </row>
    <row r="71" spans="1:31" x14ac:dyDescent="0.2">
      <c r="A71">
        <v>46184864</v>
      </c>
      <c r="B71" t="s">
        <v>827</v>
      </c>
      <c r="C71" t="s">
        <v>826</v>
      </c>
      <c r="D71" t="s">
        <v>32</v>
      </c>
      <c r="E71" s="9">
        <v>45949</v>
      </c>
      <c r="F71"/>
      <c r="G71" t="s">
        <v>45</v>
      </c>
      <c r="H71" t="s">
        <v>46</v>
      </c>
      <c r="I71" t="s">
        <v>90</v>
      </c>
      <c r="J71" t="s">
        <v>154</v>
      </c>
      <c r="K71" t="s">
        <v>48</v>
      </c>
      <c r="L71" t="s">
        <v>37</v>
      </c>
      <c r="M71" t="s">
        <v>50</v>
      </c>
      <c r="O71" t="s">
        <v>39</v>
      </c>
      <c r="P71" t="s">
        <v>39</v>
      </c>
      <c r="Q71" t="s">
        <v>39</v>
      </c>
      <c r="R71" t="s">
        <v>41</v>
      </c>
      <c r="S71" t="s">
        <v>40</v>
      </c>
      <c r="T71" t="s">
        <v>41</v>
      </c>
      <c r="U71" t="s">
        <v>39</v>
      </c>
      <c r="V71" t="s">
        <v>39</v>
      </c>
      <c r="W71" t="s">
        <v>40</v>
      </c>
      <c r="AB71" t="s">
        <v>1430</v>
      </c>
      <c r="AC71" t="s">
        <v>1431</v>
      </c>
      <c r="AD71" t="s">
        <v>1432</v>
      </c>
      <c r="AE71" t="s">
        <v>1433</v>
      </c>
    </row>
    <row r="72" spans="1:31" x14ac:dyDescent="0.2">
      <c r="A72">
        <v>46184910</v>
      </c>
      <c r="B72" t="s">
        <v>802</v>
      </c>
      <c r="C72" t="s">
        <v>2201</v>
      </c>
      <c r="D72" t="s">
        <v>32</v>
      </c>
      <c r="E72" s="9">
        <v>45949</v>
      </c>
      <c r="F72"/>
      <c r="G72" t="s">
        <v>45</v>
      </c>
      <c r="H72" t="s">
        <v>1428</v>
      </c>
      <c r="I72" t="s">
        <v>90</v>
      </c>
      <c r="J72" t="s">
        <v>146</v>
      </c>
      <c r="K72" t="s">
        <v>48</v>
      </c>
      <c r="L72" t="s">
        <v>37</v>
      </c>
      <c r="M72" t="s">
        <v>50</v>
      </c>
      <c r="O72" t="s">
        <v>39</v>
      </c>
      <c r="P72" t="s">
        <v>39</v>
      </c>
      <c r="Q72" t="s">
        <v>39</v>
      </c>
      <c r="R72" t="s">
        <v>41</v>
      </c>
      <c r="S72" t="s">
        <v>40</v>
      </c>
      <c r="T72" t="s">
        <v>41</v>
      </c>
      <c r="U72" t="s">
        <v>39</v>
      </c>
      <c r="V72" t="s">
        <v>39</v>
      </c>
      <c r="W72" t="s">
        <v>40</v>
      </c>
      <c r="X72" t="s">
        <v>2202</v>
      </c>
      <c r="AB72" t="s">
        <v>1434</v>
      </c>
      <c r="AC72" t="s">
        <v>1435</v>
      </c>
      <c r="AD72" t="s">
        <v>1436</v>
      </c>
      <c r="AE72" t="s">
        <v>1437</v>
      </c>
    </row>
    <row r="73" spans="1:31" x14ac:dyDescent="0.2">
      <c r="A73">
        <v>46184619</v>
      </c>
      <c r="B73" t="s">
        <v>713</v>
      </c>
      <c r="C73" t="s">
        <v>712</v>
      </c>
      <c r="D73" t="s">
        <v>32</v>
      </c>
      <c r="E73" s="9">
        <v>45949</v>
      </c>
      <c r="F73"/>
      <c r="G73" t="s">
        <v>45</v>
      </c>
      <c r="H73" t="s">
        <v>46</v>
      </c>
      <c r="I73" t="s">
        <v>53</v>
      </c>
      <c r="J73" t="s">
        <v>1440</v>
      </c>
      <c r="K73" t="s">
        <v>48</v>
      </c>
      <c r="L73" t="s">
        <v>49</v>
      </c>
      <c r="M73" t="s">
        <v>50</v>
      </c>
      <c r="O73" t="s">
        <v>39</v>
      </c>
      <c r="P73" t="s">
        <v>39</v>
      </c>
      <c r="Q73" t="s">
        <v>39</v>
      </c>
      <c r="R73" t="s">
        <v>41</v>
      </c>
      <c r="S73" t="s">
        <v>40</v>
      </c>
      <c r="T73" t="s">
        <v>41</v>
      </c>
      <c r="U73" t="s">
        <v>39</v>
      </c>
      <c r="V73" t="s">
        <v>39</v>
      </c>
      <c r="W73" t="s">
        <v>40</v>
      </c>
      <c r="AB73" t="s">
        <v>1441</v>
      </c>
      <c r="AC73" t="s">
        <v>1442</v>
      </c>
      <c r="AD73" t="s">
        <v>1443</v>
      </c>
    </row>
    <row r="74" spans="1:31" x14ac:dyDescent="0.2">
      <c r="A74">
        <v>46185064</v>
      </c>
      <c r="B74" t="s">
        <v>834</v>
      </c>
      <c r="C74" t="s">
        <v>833</v>
      </c>
      <c r="D74" t="s">
        <v>32</v>
      </c>
      <c r="E74" s="9">
        <v>45949</v>
      </c>
      <c r="F74"/>
      <c r="G74" t="s">
        <v>45</v>
      </c>
      <c r="H74" t="s">
        <v>46</v>
      </c>
      <c r="I74" t="s">
        <v>1444</v>
      </c>
      <c r="J74" t="s">
        <v>69</v>
      </c>
      <c r="K74" t="s">
        <v>48</v>
      </c>
      <c r="L74" t="s">
        <v>49</v>
      </c>
      <c r="M74" t="s">
        <v>50</v>
      </c>
      <c r="O74" t="s">
        <v>39</v>
      </c>
      <c r="P74" t="s">
        <v>39</v>
      </c>
      <c r="Q74" t="s">
        <v>39</v>
      </c>
      <c r="R74" t="s">
        <v>41</v>
      </c>
      <c r="S74" t="s">
        <v>40</v>
      </c>
      <c r="T74" t="s">
        <v>41</v>
      </c>
      <c r="U74" t="s">
        <v>39</v>
      </c>
      <c r="V74" t="s">
        <v>39</v>
      </c>
      <c r="W74" t="s">
        <v>40</v>
      </c>
      <c r="X74" t="s">
        <v>2203</v>
      </c>
      <c r="AB74" t="s">
        <v>1445</v>
      </c>
      <c r="AC74" t="s">
        <v>1446</v>
      </c>
      <c r="AD74" t="s">
        <v>1447</v>
      </c>
      <c r="AE74" t="s">
        <v>1448</v>
      </c>
    </row>
    <row r="75" spans="1:31" hidden="1" x14ac:dyDescent="0.2">
      <c r="A75">
        <v>46270208</v>
      </c>
      <c r="B75" t="s">
        <v>576</v>
      </c>
      <c r="C75" t="s">
        <v>1938</v>
      </c>
      <c r="D75" t="s">
        <v>32</v>
      </c>
      <c r="E75" s="9">
        <v>45958</v>
      </c>
      <c r="F75"/>
      <c r="G75" t="s">
        <v>1972</v>
      </c>
      <c r="H75" t="s">
        <v>1973</v>
      </c>
      <c r="K75" t="s">
        <v>48</v>
      </c>
      <c r="L75" t="s">
        <v>49</v>
      </c>
      <c r="M75" t="s">
        <v>1974</v>
      </c>
      <c r="O75" t="s">
        <v>40</v>
      </c>
      <c r="P75" t="s">
        <v>40</v>
      </c>
      <c r="Q75" t="s">
        <v>40</v>
      </c>
      <c r="R75" t="s">
        <v>40</v>
      </c>
      <c r="S75" t="s">
        <v>40</v>
      </c>
      <c r="T75" t="s">
        <v>41</v>
      </c>
      <c r="U75" t="s">
        <v>40</v>
      </c>
      <c r="V75" t="s">
        <v>40</v>
      </c>
      <c r="W75" t="s">
        <v>40</v>
      </c>
      <c r="AB75" t="s">
        <v>1975</v>
      </c>
      <c r="AC75" t="s">
        <v>1976</v>
      </c>
    </row>
    <row r="76" spans="1:31" hidden="1" x14ac:dyDescent="0.2">
      <c r="A76">
        <v>46270156</v>
      </c>
      <c r="B76" t="s">
        <v>574</v>
      </c>
      <c r="C76" t="s">
        <v>1977</v>
      </c>
      <c r="D76" t="s">
        <v>32</v>
      </c>
      <c r="E76" s="9">
        <v>45958</v>
      </c>
      <c r="F76"/>
      <c r="G76" t="s">
        <v>1972</v>
      </c>
      <c r="H76" t="s">
        <v>1973</v>
      </c>
      <c r="K76" t="s">
        <v>36</v>
      </c>
      <c r="L76" t="s">
        <v>49</v>
      </c>
      <c r="M76" t="s">
        <v>1974</v>
      </c>
      <c r="O76" t="s">
        <v>40</v>
      </c>
      <c r="P76" t="s">
        <v>40</v>
      </c>
      <c r="Q76" t="s">
        <v>40</v>
      </c>
      <c r="R76" t="s">
        <v>40</v>
      </c>
      <c r="S76" t="s">
        <v>40</v>
      </c>
      <c r="T76" t="s">
        <v>41</v>
      </c>
      <c r="U76" t="s">
        <v>40</v>
      </c>
      <c r="V76" t="s">
        <v>40</v>
      </c>
      <c r="W76" t="s">
        <v>40</v>
      </c>
      <c r="X76" t="s">
        <v>1978</v>
      </c>
      <c r="AB76" t="s">
        <v>1979</v>
      </c>
      <c r="AC76" t="s">
        <v>1980</v>
      </c>
    </row>
    <row r="77" spans="1:31" hidden="1" x14ac:dyDescent="0.2">
      <c r="A77">
        <v>46269784</v>
      </c>
      <c r="B77" t="s">
        <v>575</v>
      </c>
      <c r="C77" t="s">
        <v>1940</v>
      </c>
      <c r="D77" t="s">
        <v>32</v>
      </c>
      <c r="E77" s="9">
        <v>45958</v>
      </c>
      <c r="F77"/>
      <c r="G77" t="s">
        <v>1972</v>
      </c>
      <c r="H77" t="s">
        <v>1973</v>
      </c>
      <c r="K77" t="s">
        <v>36</v>
      </c>
      <c r="L77" t="s">
        <v>49</v>
      </c>
      <c r="M77" t="s">
        <v>1974</v>
      </c>
      <c r="O77" t="s">
        <v>40</v>
      </c>
      <c r="P77" t="s">
        <v>40</v>
      </c>
      <c r="Q77" t="s">
        <v>40</v>
      </c>
      <c r="R77" t="s">
        <v>40</v>
      </c>
      <c r="S77" t="s">
        <v>40</v>
      </c>
      <c r="T77" t="s">
        <v>41</v>
      </c>
      <c r="U77" t="s">
        <v>40</v>
      </c>
      <c r="V77" t="s">
        <v>40</v>
      </c>
      <c r="W77" t="s">
        <v>40</v>
      </c>
      <c r="X77" t="s">
        <v>1981</v>
      </c>
      <c r="AB77" t="s">
        <v>1982</v>
      </c>
      <c r="AC77" t="s">
        <v>1983</v>
      </c>
    </row>
    <row r="78" spans="1:31" hidden="1" x14ac:dyDescent="0.2">
      <c r="A78">
        <v>46270119</v>
      </c>
      <c r="B78" t="s">
        <v>581</v>
      </c>
      <c r="C78" t="s">
        <v>1984</v>
      </c>
      <c r="D78" t="s">
        <v>32</v>
      </c>
      <c r="E78" s="9">
        <v>45958</v>
      </c>
      <c r="F78"/>
      <c r="G78" t="s">
        <v>1972</v>
      </c>
      <c r="H78" t="s">
        <v>1973</v>
      </c>
      <c r="K78" t="s">
        <v>48</v>
      </c>
      <c r="L78" t="s">
        <v>49</v>
      </c>
      <c r="M78" t="s">
        <v>1974</v>
      </c>
      <c r="O78" t="s">
        <v>40</v>
      </c>
      <c r="P78" t="s">
        <v>40</v>
      </c>
      <c r="Q78" t="s">
        <v>40</v>
      </c>
      <c r="R78" t="s">
        <v>40</v>
      </c>
      <c r="S78" t="s">
        <v>40</v>
      </c>
      <c r="T78" t="s">
        <v>41</v>
      </c>
      <c r="U78" t="s">
        <v>40</v>
      </c>
      <c r="V78" t="s">
        <v>40</v>
      </c>
      <c r="W78" t="s">
        <v>40</v>
      </c>
      <c r="X78" t="s">
        <v>1985</v>
      </c>
      <c r="AB78" t="s">
        <v>1986</v>
      </c>
      <c r="AC78" t="s">
        <v>1987</v>
      </c>
    </row>
    <row r="79" spans="1:31" hidden="1" x14ac:dyDescent="0.2">
      <c r="A79">
        <v>46269490</v>
      </c>
      <c r="B79" t="s">
        <v>573</v>
      </c>
      <c r="C79" t="s">
        <v>1941</v>
      </c>
      <c r="D79" t="s">
        <v>32</v>
      </c>
      <c r="E79" s="9">
        <v>45958</v>
      </c>
      <c r="F79"/>
      <c r="G79" t="s">
        <v>1972</v>
      </c>
      <c r="H79" t="s">
        <v>1973</v>
      </c>
      <c r="K79" t="s">
        <v>48</v>
      </c>
      <c r="L79" t="s">
        <v>49</v>
      </c>
      <c r="M79" t="s">
        <v>1974</v>
      </c>
      <c r="O79" t="s">
        <v>40</v>
      </c>
      <c r="P79" t="s">
        <v>40</v>
      </c>
      <c r="Q79" t="s">
        <v>40</v>
      </c>
      <c r="R79" t="s">
        <v>40</v>
      </c>
      <c r="S79" t="s">
        <v>40</v>
      </c>
      <c r="T79" t="s">
        <v>41</v>
      </c>
      <c r="U79" t="s">
        <v>40</v>
      </c>
      <c r="V79" t="s">
        <v>40</v>
      </c>
      <c r="W79" t="s">
        <v>40</v>
      </c>
      <c r="X79" t="s">
        <v>1988</v>
      </c>
      <c r="AB79" t="s">
        <v>1989</v>
      </c>
      <c r="AC79" t="s">
        <v>1990</v>
      </c>
      <c r="AD79" t="s">
        <v>1991</v>
      </c>
    </row>
    <row r="80" spans="1:31" hidden="1" x14ac:dyDescent="0.2">
      <c r="A80">
        <v>46270457</v>
      </c>
      <c r="B80" t="s">
        <v>572</v>
      </c>
      <c r="C80" t="s">
        <v>1992</v>
      </c>
      <c r="D80" t="s">
        <v>32</v>
      </c>
      <c r="E80" s="9">
        <v>45958</v>
      </c>
      <c r="F80"/>
      <c r="G80" t="s">
        <v>1972</v>
      </c>
      <c r="H80" t="s">
        <v>1973</v>
      </c>
      <c r="K80" t="s">
        <v>48</v>
      </c>
      <c r="L80" t="s">
        <v>49</v>
      </c>
      <c r="M80" t="s">
        <v>1974</v>
      </c>
      <c r="O80" t="s">
        <v>40</v>
      </c>
      <c r="P80" t="s">
        <v>40</v>
      </c>
      <c r="Q80" t="s">
        <v>40</v>
      </c>
      <c r="R80" t="s">
        <v>40</v>
      </c>
      <c r="S80" t="s">
        <v>40</v>
      </c>
      <c r="T80" t="s">
        <v>41</v>
      </c>
      <c r="U80" t="s">
        <v>40</v>
      </c>
      <c r="V80" t="s">
        <v>40</v>
      </c>
      <c r="W80" t="s">
        <v>40</v>
      </c>
      <c r="AB80" t="s">
        <v>1993</v>
      </c>
      <c r="AC80" t="s">
        <v>1994</v>
      </c>
    </row>
    <row r="81" spans="1:31" x14ac:dyDescent="0.2">
      <c r="A81">
        <v>46336664</v>
      </c>
      <c r="B81" t="s">
        <v>796</v>
      </c>
      <c r="C81" t="s">
        <v>2204</v>
      </c>
      <c r="D81" t="s">
        <v>32</v>
      </c>
      <c r="E81" s="9">
        <v>45965</v>
      </c>
      <c r="F81"/>
      <c r="G81" t="s">
        <v>45</v>
      </c>
      <c r="H81" t="s">
        <v>46</v>
      </c>
      <c r="J81" t="s">
        <v>112</v>
      </c>
      <c r="K81" t="s">
        <v>48</v>
      </c>
      <c r="L81" t="s">
        <v>37</v>
      </c>
      <c r="M81" t="s">
        <v>50</v>
      </c>
      <c r="O81" t="s">
        <v>39</v>
      </c>
      <c r="P81" t="s">
        <v>39</v>
      </c>
      <c r="Q81" t="s">
        <v>39</v>
      </c>
      <c r="R81" t="s">
        <v>41</v>
      </c>
      <c r="S81" t="s">
        <v>40</v>
      </c>
      <c r="T81" t="s">
        <v>41</v>
      </c>
      <c r="U81" t="s">
        <v>40</v>
      </c>
      <c r="V81" t="s">
        <v>40</v>
      </c>
      <c r="W81" t="s">
        <v>40</v>
      </c>
      <c r="AB81" t="s">
        <v>2205</v>
      </c>
      <c r="AC81" t="s">
        <v>2206</v>
      </c>
      <c r="AD81" t="s">
        <v>2207</v>
      </c>
      <c r="AE81" t="s">
        <v>2208</v>
      </c>
    </row>
    <row r="82" spans="1:31" x14ac:dyDescent="0.2">
      <c r="A82">
        <v>46336636</v>
      </c>
      <c r="B82" t="s">
        <v>797</v>
      </c>
      <c r="C82" t="s">
        <v>2209</v>
      </c>
      <c r="D82" t="s">
        <v>32</v>
      </c>
      <c r="E82" s="9">
        <v>45965</v>
      </c>
      <c r="F82"/>
      <c r="G82" t="s">
        <v>45</v>
      </c>
      <c r="H82" t="s">
        <v>46</v>
      </c>
      <c r="J82" t="s">
        <v>146</v>
      </c>
      <c r="K82" t="s">
        <v>48</v>
      </c>
      <c r="L82" t="s">
        <v>37</v>
      </c>
      <c r="M82" t="s">
        <v>50</v>
      </c>
      <c r="O82" t="s">
        <v>39</v>
      </c>
      <c r="P82" t="s">
        <v>39</v>
      </c>
      <c r="Q82" t="s">
        <v>39</v>
      </c>
      <c r="R82" t="s">
        <v>41</v>
      </c>
      <c r="S82" t="s">
        <v>40</v>
      </c>
      <c r="T82" t="s">
        <v>41</v>
      </c>
      <c r="U82" t="s">
        <v>40</v>
      </c>
      <c r="V82" t="s">
        <v>40</v>
      </c>
      <c r="W82" t="s">
        <v>40</v>
      </c>
      <c r="AB82" t="s">
        <v>2210</v>
      </c>
      <c r="AC82" t="s">
        <v>2211</v>
      </c>
      <c r="AD82" t="s">
        <v>2212</v>
      </c>
      <c r="AE82" t="s">
        <v>2213</v>
      </c>
    </row>
    <row r="83" spans="1:31" x14ac:dyDescent="0.2">
      <c r="A83">
        <v>46336682</v>
      </c>
      <c r="B83" t="s">
        <v>765</v>
      </c>
      <c r="C83" t="s">
        <v>2214</v>
      </c>
      <c r="D83" t="s">
        <v>32</v>
      </c>
      <c r="E83" s="9">
        <v>45965</v>
      </c>
      <c r="F83"/>
      <c r="G83" t="s">
        <v>45</v>
      </c>
      <c r="H83" t="s">
        <v>90</v>
      </c>
      <c r="J83" t="s">
        <v>138</v>
      </c>
      <c r="K83" t="s">
        <v>48</v>
      </c>
      <c r="L83" t="s">
        <v>37</v>
      </c>
      <c r="M83" t="s">
        <v>50</v>
      </c>
      <c r="O83" t="s">
        <v>39</v>
      </c>
      <c r="P83" t="s">
        <v>39</v>
      </c>
      <c r="Q83" t="s">
        <v>39</v>
      </c>
      <c r="R83" t="s">
        <v>41</v>
      </c>
      <c r="S83" t="s">
        <v>40</v>
      </c>
      <c r="T83" t="s">
        <v>41</v>
      </c>
      <c r="U83" t="s">
        <v>40</v>
      </c>
      <c r="V83" t="s">
        <v>40</v>
      </c>
      <c r="W83" t="s">
        <v>40</v>
      </c>
      <c r="AB83" t="s">
        <v>2215</v>
      </c>
      <c r="AC83" t="s">
        <v>2216</v>
      </c>
      <c r="AD83" t="s">
        <v>2217</v>
      </c>
      <c r="AE83" t="s">
        <v>2218</v>
      </c>
    </row>
    <row r="84" spans="1:31" x14ac:dyDescent="0.2">
      <c r="A84">
        <v>46337025</v>
      </c>
      <c r="B84" t="s">
        <v>1091</v>
      </c>
      <c r="C84" t="s">
        <v>2219</v>
      </c>
      <c r="D84" t="s">
        <v>32</v>
      </c>
      <c r="E84" s="9">
        <v>45965</v>
      </c>
      <c r="F84"/>
      <c r="G84" t="s">
        <v>45</v>
      </c>
      <c r="H84" t="s">
        <v>97</v>
      </c>
      <c r="I84" t="s">
        <v>53</v>
      </c>
      <c r="J84" t="s">
        <v>154</v>
      </c>
      <c r="K84" t="s">
        <v>48</v>
      </c>
      <c r="L84" t="s">
        <v>37</v>
      </c>
      <c r="M84" t="s">
        <v>50</v>
      </c>
      <c r="O84" t="s">
        <v>39</v>
      </c>
      <c r="P84" t="s">
        <v>39</v>
      </c>
      <c r="Q84" t="s">
        <v>39</v>
      </c>
      <c r="R84" t="s">
        <v>41</v>
      </c>
      <c r="S84" t="s">
        <v>40</v>
      </c>
      <c r="T84" t="s">
        <v>41</v>
      </c>
      <c r="U84" t="s">
        <v>39</v>
      </c>
      <c r="V84" t="s">
        <v>39</v>
      </c>
      <c r="W84" t="s">
        <v>40</v>
      </c>
      <c r="AB84" t="s">
        <v>2220</v>
      </c>
      <c r="AC84" t="s">
        <v>2221</v>
      </c>
      <c r="AD84" t="s">
        <v>2222</v>
      </c>
      <c r="AE84" t="s">
        <v>2223</v>
      </c>
    </row>
    <row r="85" spans="1:31" x14ac:dyDescent="0.2">
      <c r="A85">
        <v>46420508</v>
      </c>
      <c r="B85" t="s">
        <v>1134</v>
      </c>
      <c r="C85" t="s">
        <v>2224</v>
      </c>
      <c r="D85" t="s">
        <v>32</v>
      </c>
      <c r="E85" s="9">
        <v>45974</v>
      </c>
      <c r="F85"/>
      <c r="G85" t="s">
        <v>45</v>
      </c>
      <c r="H85" t="s">
        <v>96</v>
      </c>
      <c r="J85" t="s">
        <v>1438</v>
      </c>
      <c r="K85" t="s">
        <v>48</v>
      </c>
      <c r="L85" t="s">
        <v>386</v>
      </c>
      <c r="M85" t="s">
        <v>50</v>
      </c>
      <c r="O85" t="s">
        <v>39</v>
      </c>
      <c r="P85" t="s">
        <v>41</v>
      </c>
      <c r="Q85" t="s">
        <v>39</v>
      </c>
      <c r="R85" t="s">
        <v>41</v>
      </c>
      <c r="S85" t="s">
        <v>40</v>
      </c>
      <c r="T85" t="s">
        <v>41</v>
      </c>
      <c r="U85" t="s">
        <v>39</v>
      </c>
      <c r="V85" t="s">
        <v>39</v>
      </c>
      <c r="W85" t="s">
        <v>40</v>
      </c>
      <c r="AB85" t="s">
        <v>2225</v>
      </c>
      <c r="AC85" t="s">
        <v>2226</v>
      </c>
      <c r="AD85" t="s">
        <v>2227</v>
      </c>
      <c r="AE85" t="s">
        <v>2228</v>
      </c>
    </row>
    <row r="86" spans="1:31" x14ac:dyDescent="0.2">
      <c r="A86">
        <v>46420475</v>
      </c>
      <c r="B86" t="s">
        <v>1133</v>
      </c>
      <c r="C86" t="s">
        <v>2229</v>
      </c>
      <c r="D86" t="s">
        <v>32</v>
      </c>
      <c r="E86" s="9">
        <v>45974</v>
      </c>
      <c r="F86"/>
      <c r="G86" t="s">
        <v>45</v>
      </c>
      <c r="H86" t="s">
        <v>96</v>
      </c>
      <c r="J86" t="s">
        <v>2230</v>
      </c>
      <c r="K86" t="s">
        <v>48</v>
      </c>
      <c r="L86" t="s">
        <v>386</v>
      </c>
      <c r="M86" t="s">
        <v>50</v>
      </c>
      <c r="O86" t="s">
        <v>39</v>
      </c>
      <c r="P86" t="s">
        <v>41</v>
      </c>
      <c r="Q86" t="s">
        <v>39</v>
      </c>
      <c r="R86" t="s">
        <v>41</v>
      </c>
      <c r="S86" t="s">
        <v>40</v>
      </c>
      <c r="T86" t="s">
        <v>41</v>
      </c>
      <c r="U86" t="s">
        <v>39</v>
      </c>
      <c r="V86" t="s">
        <v>39</v>
      </c>
      <c r="W86" t="s">
        <v>40</v>
      </c>
      <c r="AB86" t="s">
        <v>2231</v>
      </c>
      <c r="AC86" t="s">
        <v>2232</v>
      </c>
      <c r="AD86" t="s">
        <v>2233</v>
      </c>
      <c r="AE86" t="s">
        <v>2234</v>
      </c>
    </row>
    <row r="87" spans="1:31" hidden="1" x14ac:dyDescent="0.2">
      <c r="F87"/>
    </row>
    <row r="88" spans="1:31" hidden="1" x14ac:dyDescent="0.2">
      <c r="F88"/>
    </row>
    <row r="89" spans="1:31" hidden="1" x14ac:dyDescent="0.2">
      <c r="F89"/>
    </row>
    <row r="90" spans="1:31" hidden="1" x14ac:dyDescent="0.2">
      <c r="F90"/>
    </row>
    <row r="91" spans="1:31" hidden="1" x14ac:dyDescent="0.2">
      <c r="A91" s="3"/>
    </row>
    <row r="92" spans="1:31" hidden="1" x14ac:dyDescent="0.2">
      <c r="A92" s="3"/>
    </row>
    <row r="93" spans="1:31" hidden="1" x14ac:dyDescent="0.2">
      <c r="A93" s="3"/>
    </row>
    <row r="94" spans="1:31" hidden="1" x14ac:dyDescent="0.2">
      <c r="A94" s="3"/>
    </row>
    <row r="95" spans="1:31" hidden="1" x14ac:dyDescent="0.2">
      <c r="A95" s="3"/>
    </row>
    <row r="96" spans="1:31" hidden="1" x14ac:dyDescent="0.2">
      <c r="A96" s="3"/>
    </row>
    <row r="97" spans="1:1" hidden="1" x14ac:dyDescent="0.2">
      <c r="A97" s="3"/>
    </row>
    <row r="98" spans="1:1" hidden="1" x14ac:dyDescent="0.2">
      <c r="A98" s="3"/>
    </row>
    <row r="99" spans="1:1" hidden="1" x14ac:dyDescent="0.2">
      <c r="A99" s="3"/>
    </row>
    <row r="100" spans="1:1" hidden="1" x14ac:dyDescent="0.2">
      <c r="A100" s="3"/>
    </row>
    <row r="101" spans="1:1" hidden="1" x14ac:dyDescent="0.2">
      <c r="A101" s="3"/>
    </row>
    <row r="102" spans="1:1" hidden="1" x14ac:dyDescent="0.2">
      <c r="A102" s="3"/>
    </row>
    <row r="103" spans="1:1" hidden="1" x14ac:dyDescent="0.2">
      <c r="A103" s="3"/>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ADE466-805E-044E-AE55-43B1A17B6A62}">
  <sheetPr>
    <tabColor theme="4" tint="-0.249977111117893"/>
  </sheetPr>
  <dimension ref="A1:Q362"/>
  <sheetViews>
    <sheetView workbookViewId="0">
      <pane ySplit="1" topLeftCell="A330" activePane="bottomLeft" state="frozen"/>
      <selection activeCell="J11" sqref="J11:J13"/>
      <selection pane="bottomLeft" activeCell="E364" sqref="E364"/>
    </sheetView>
  </sheetViews>
  <sheetFormatPr baseColWidth="10" defaultColWidth="8.83203125" defaultRowHeight="15" x14ac:dyDescent="0.2"/>
  <cols>
    <col min="1" max="1" width="10.6640625" style="6" customWidth="1"/>
    <col min="2" max="2" width="11.6640625" style="6" bestFit="1" customWidth="1"/>
    <col min="3" max="3" width="8.1640625" style="6" customWidth="1"/>
    <col min="4" max="4" width="8.5" style="6" customWidth="1"/>
    <col min="5" max="5" width="31.6640625" style="6" bestFit="1" customWidth="1"/>
    <col min="6" max="6" width="9.6640625" style="6" customWidth="1"/>
    <col min="7" max="7" width="46.6640625" style="6" bestFit="1" customWidth="1"/>
    <col min="8" max="8" width="33.6640625" style="6" bestFit="1" customWidth="1"/>
    <col min="9" max="9" width="10.6640625" style="6" bestFit="1" customWidth="1"/>
    <col min="10" max="10" width="7.6640625" style="6" bestFit="1" customWidth="1"/>
    <col min="11" max="11" width="13.33203125" style="6" customWidth="1"/>
    <col min="12" max="12" width="14.1640625" style="6" customWidth="1"/>
    <col min="13" max="13" width="9.6640625" style="6" customWidth="1"/>
    <col min="14" max="14" width="15.6640625" style="6" bestFit="1" customWidth="1"/>
    <col min="15" max="16" width="22.6640625" style="6" bestFit="1" customWidth="1"/>
    <col min="17" max="17" width="13.5" style="6" customWidth="1"/>
    <col min="18" max="16384" width="8.83203125" style="6"/>
  </cols>
  <sheetData>
    <row r="1" spans="1:17" x14ac:dyDescent="0.2">
      <c r="A1" s="22" t="s">
        <v>1069</v>
      </c>
      <c r="B1" s="22" t="s">
        <v>882</v>
      </c>
      <c r="C1" s="22" t="s">
        <v>442</v>
      </c>
      <c r="D1" s="22" t="s">
        <v>3</v>
      </c>
      <c r="E1" s="22" t="s">
        <v>881</v>
      </c>
      <c r="F1" s="22" t="s">
        <v>6</v>
      </c>
      <c r="G1" s="22" t="s">
        <v>880</v>
      </c>
      <c r="H1" s="22" t="s">
        <v>2</v>
      </c>
      <c r="I1" s="22" t="s">
        <v>11</v>
      </c>
      <c r="J1" s="22" t="s">
        <v>10</v>
      </c>
      <c r="K1" s="22" t="s">
        <v>879</v>
      </c>
      <c r="L1" s="22" t="s">
        <v>878</v>
      </c>
      <c r="M1" s="22" t="s">
        <v>772</v>
      </c>
      <c r="N1" s="22" t="s">
        <v>877</v>
      </c>
      <c r="O1" s="22" t="s">
        <v>876</v>
      </c>
      <c r="P1" s="22" t="s">
        <v>875</v>
      </c>
      <c r="Q1" s="22" t="s">
        <v>874</v>
      </c>
    </row>
    <row r="2" spans="1:17" x14ac:dyDescent="0.2">
      <c r="A2" t="s">
        <v>2235</v>
      </c>
      <c r="B2" t="s">
        <v>2236</v>
      </c>
      <c r="C2" t="s">
        <v>39</v>
      </c>
      <c r="D2" t="s">
        <v>453</v>
      </c>
      <c r="E2" t="s">
        <v>852</v>
      </c>
      <c r="F2" t="s">
        <v>444</v>
      </c>
      <c r="G2" t="s">
        <v>857</v>
      </c>
      <c r="H2"/>
      <c r="I2" t="s">
        <v>455</v>
      </c>
      <c r="J2" t="s">
        <v>459</v>
      </c>
      <c r="K2" t="s">
        <v>41</v>
      </c>
      <c r="L2" t="s">
        <v>477</v>
      </c>
      <c r="M2" t="s">
        <v>41</v>
      </c>
      <c r="N2"/>
      <c r="O2" t="s">
        <v>645</v>
      </c>
      <c r="P2" t="s">
        <v>630</v>
      </c>
      <c r="Q2"/>
    </row>
    <row r="3" spans="1:17" x14ac:dyDescent="0.2">
      <c r="A3" t="s">
        <v>2237</v>
      </c>
      <c r="B3" t="s">
        <v>2238</v>
      </c>
      <c r="C3" t="s">
        <v>39</v>
      </c>
      <c r="D3" t="s">
        <v>453</v>
      </c>
      <c r="E3" t="s">
        <v>852</v>
      </c>
      <c r="F3" t="s">
        <v>444</v>
      </c>
      <c r="G3" t="s">
        <v>857</v>
      </c>
      <c r="H3"/>
      <c r="I3" t="s">
        <v>455</v>
      </c>
      <c r="J3" t="s">
        <v>449</v>
      </c>
      <c r="K3" t="s">
        <v>41</v>
      </c>
      <c r="L3" t="s">
        <v>138</v>
      </c>
      <c r="M3" t="s">
        <v>41</v>
      </c>
      <c r="N3"/>
      <c r="O3" t="s">
        <v>645</v>
      </c>
      <c r="P3" t="s">
        <v>630</v>
      </c>
      <c r="Q3"/>
    </row>
    <row r="4" spans="1:17" x14ac:dyDescent="0.2">
      <c r="A4" t="s">
        <v>2239</v>
      </c>
      <c r="B4" t="s">
        <v>2240</v>
      </c>
      <c r="C4" t="s">
        <v>39</v>
      </c>
      <c r="D4" t="s">
        <v>453</v>
      </c>
      <c r="E4" t="s">
        <v>749</v>
      </c>
      <c r="F4" t="s">
        <v>443</v>
      </c>
      <c r="G4" t="s">
        <v>34</v>
      </c>
      <c r="H4"/>
      <c r="I4" t="s">
        <v>2241</v>
      </c>
      <c r="J4" t="s">
        <v>40</v>
      </c>
      <c r="K4" t="s">
        <v>41</v>
      </c>
      <c r="L4" t="s">
        <v>448</v>
      </c>
      <c r="M4" t="s">
        <v>41</v>
      </c>
      <c r="N4"/>
      <c r="O4" t="s">
        <v>1761</v>
      </c>
      <c r="P4" t="s">
        <v>1762</v>
      </c>
      <c r="Q4"/>
    </row>
    <row r="5" spans="1:17" x14ac:dyDescent="0.2">
      <c r="A5" t="s">
        <v>2242</v>
      </c>
      <c r="B5" t="s">
        <v>2243</v>
      </c>
      <c r="C5" t="s">
        <v>39</v>
      </c>
      <c r="D5" t="s">
        <v>453</v>
      </c>
      <c r="E5" t="s">
        <v>749</v>
      </c>
      <c r="F5" t="s">
        <v>443</v>
      </c>
      <c r="G5" t="s">
        <v>34</v>
      </c>
      <c r="H5"/>
      <c r="I5" t="s">
        <v>2241</v>
      </c>
      <c r="J5" t="s">
        <v>40</v>
      </c>
      <c r="K5" t="s">
        <v>41</v>
      </c>
      <c r="L5" t="s">
        <v>138</v>
      </c>
      <c r="M5" t="s">
        <v>41</v>
      </c>
      <c r="N5"/>
      <c r="O5" t="s">
        <v>2244</v>
      </c>
      <c r="P5" t="s">
        <v>457</v>
      </c>
      <c r="Q5"/>
    </row>
    <row r="6" spans="1:17" x14ac:dyDescent="0.2">
      <c r="A6" t="s">
        <v>2245</v>
      </c>
      <c r="B6" t="s">
        <v>2246</v>
      </c>
      <c r="C6" t="s">
        <v>39</v>
      </c>
      <c r="D6" t="s">
        <v>453</v>
      </c>
      <c r="E6" t="s">
        <v>749</v>
      </c>
      <c r="F6" t="s">
        <v>443</v>
      </c>
      <c r="G6" t="s">
        <v>34</v>
      </c>
      <c r="H6"/>
      <c r="I6" t="s">
        <v>2241</v>
      </c>
      <c r="J6" t="s">
        <v>40</v>
      </c>
      <c r="K6" t="s">
        <v>41</v>
      </c>
      <c r="L6" t="s">
        <v>138</v>
      </c>
      <c r="M6" t="s">
        <v>41</v>
      </c>
      <c r="N6"/>
      <c r="O6" t="s">
        <v>2244</v>
      </c>
      <c r="P6" t="s">
        <v>457</v>
      </c>
      <c r="Q6"/>
    </row>
    <row r="7" spans="1:17" x14ac:dyDescent="0.2">
      <c r="A7" t="s">
        <v>2247</v>
      </c>
      <c r="B7" t="s">
        <v>2248</v>
      </c>
      <c r="C7" t="s">
        <v>39</v>
      </c>
      <c r="D7" t="s">
        <v>453</v>
      </c>
      <c r="E7" t="s">
        <v>749</v>
      </c>
      <c r="F7" t="s">
        <v>443</v>
      </c>
      <c r="G7" t="s">
        <v>34</v>
      </c>
      <c r="H7"/>
      <c r="I7" t="s">
        <v>2249</v>
      </c>
      <c r="J7" t="s">
        <v>40</v>
      </c>
      <c r="K7" t="s">
        <v>41</v>
      </c>
      <c r="L7" t="s">
        <v>477</v>
      </c>
      <c r="M7" t="s">
        <v>41</v>
      </c>
      <c r="N7"/>
      <c r="O7" t="s">
        <v>2244</v>
      </c>
      <c r="P7" t="s">
        <v>491</v>
      </c>
      <c r="Q7"/>
    </row>
    <row r="8" spans="1:17" x14ac:dyDescent="0.2">
      <c r="A8" t="s">
        <v>2250</v>
      </c>
      <c r="B8" t="s">
        <v>2251</v>
      </c>
      <c r="C8" t="s">
        <v>39</v>
      </c>
      <c r="D8" t="s">
        <v>453</v>
      </c>
      <c r="E8" t="s">
        <v>749</v>
      </c>
      <c r="F8" t="s">
        <v>443</v>
      </c>
      <c r="G8" t="s">
        <v>34</v>
      </c>
      <c r="H8"/>
      <c r="I8" t="s">
        <v>2249</v>
      </c>
      <c r="J8" t="s">
        <v>40</v>
      </c>
      <c r="K8" t="s">
        <v>41</v>
      </c>
      <c r="L8" t="s">
        <v>138</v>
      </c>
      <c r="M8" t="s">
        <v>41</v>
      </c>
      <c r="N8"/>
      <c r="O8" t="s">
        <v>2244</v>
      </c>
      <c r="P8" t="s">
        <v>491</v>
      </c>
      <c r="Q8"/>
    </row>
    <row r="9" spans="1:17" x14ac:dyDescent="0.2">
      <c r="A9" t="s">
        <v>2252</v>
      </c>
      <c r="B9" t="s">
        <v>2253</v>
      </c>
      <c r="C9" t="s">
        <v>39</v>
      </c>
      <c r="D9" t="s">
        <v>453</v>
      </c>
      <c r="E9" t="s">
        <v>749</v>
      </c>
      <c r="F9" t="s">
        <v>443</v>
      </c>
      <c r="G9" t="s">
        <v>34</v>
      </c>
      <c r="H9"/>
      <c r="I9" t="s">
        <v>2249</v>
      </c>
      <c r="J9" t="s">
        <v>40</v>
      </c>
      <c r="K9" t="s">
        <v>41</v>
      </c>
      <c r="L9" t="s">
        <v>138</v>
      </c>
      <c r="M9" t="s">
        <v>41</v>
      </c>
      <c r="N9"/>
      <c r="O9" t="s">
        <v>2244</v>
      </c>
      <c r="P9" t="s">
        <v>491</v>
      </c>
      <c r="Q9"/>
    </row>
    <row r="10" spans="1:17" x14ac:dyDescent="0.2">
      <c r="A10" t="s">
        <v>2254</v>
      </c>
      <c r="B10" t="s">
        <v>2255</v>
      </c>
      <c r="C10" t="s">
        <v>39</v>
      </c>
      <c r="D10" t="s">
        <v>453</v>
      </c>
      <c r="E10" t="s">
        <v>749</v>
      </c>
      <c r="F10" t="s">
        <v>444</v>
      </c>
      <c r="G10" t="s">
        <v>535</v>
      </c>
      <c r="H10"/>
      <c r="I10" t="s">
        <v>2249</v>
      </c>
      <c r="J10" t="s">
        <v>459</v>
      </c>
      <c r="K10" t="s">
        <v>41</v>
      </c>
      <c r="L10" t="s">
        <v>138</v>
      </c>
      <c r="M10" t="s">
        <v>41</v>
      </c>
      <c r="N10"/>
      <c r="O10" t="s">
        <v>681</v>
      </c>
      <c r="P10" t="s">
        <v>680</v>
      </c>
      <c r="Q10"/>
    </row>
    <row r="11" spans="1:17" x14ac:dyDescent="0.2">
      <c r="A11" t="s">
        <v>2256</v>
      </c>
      <c r="B11" t="s">
        <v>2257</v>
      </c>
      <c r="C11" t="s">
        <v>39</v>
      </c>
      <c r="D11" t="s">
        <v>453</v>
      </c>
      <c r="E11" t="s">
        <v>749</v>
      </c>
      <c r="F11" t="s">
        <v>444</v>
      </c>
      <c r="G11" t="s">
        <v>535</v>
      </c>
      <c r="H11"/>
      <c r="I11" t="s">
        <v>2249</v>
      </c>
      <c r="J11" t="s">
        <v>459</v>
      </c>
      <c r="K11" t="s">
        <v>41</v>
      </c>
      <c r="L11" t="s">
        <v>138</v>
      </c>
      <c r="M11" t="s">
        <v>41</v>
      </c>
      <c r="N11"/>
      <c r="O11" t="s">
        <v>681</v>
      </c>
      <c r="P11" t="s">
        <v>680</v>
      </c>
      <c r="Q11"/>
    </row>
    <row r="12" spans="1:17" x14ac:dyDescent="0.2">
      <c r="A12" t="s">
        <v>2258</v>
      </c>
      <c r="B12" t="s">
        <v>2259</v>
      </c>
      <c r="C12" t="s">
        <v>39</v>
      </c>
      <c r="D12" t="s">
        <v>453</v>
      </c>
      <c r="E12" t="s">
        <v>749</v>
      </c>
      <c r="F12" t="s">
        <v>444</v>
      </c>
      <c r="G12" t="s">
        <v>460</v>
      </c>
      <c r="H12"/>
      <c r="I12" t="s">
        <v>2249</v>
      </c>
      <c r="J12" t="s">
        <v>449</v>
      </c>
      <c r="K12" t="s">
        <v>41</v>
      </c>
      <c r="L12" t="s">
        <v>138</v>
      </c>
      <c r="M12" t="s">
        <v>41</v>
      </c>
      <c r="N12"/>
      <c r="O12" t="s">
        <v>737</v>
      </c>
      <c r="P12" t="s">
        <v>737</v>
      </c>
      <c r="Q12"/>
    </row>
    <row r="13" spans="1:17" x14ac:dyDescent="0.2">
      <c r="A13" t="s">
        <v>2260</v>
      </c>
      <c r="B13" t="s">
        <v>2261</v>
      </c>
      <c r="C13" t="s">
        <v>39</v>
      </c>
      <c r="D13" t="s">
        <v>453</v>
      </c>
      <c r="E13" t="s">
        <v>749</v>
      </c>
      <c r="F13" t="s">
        <v>443</v>
      </c>
      <c r="G13" t="s">
        <v>1236</v>
      </c>
      <c r="H13"/>
      <c r="I13" t="s">
        <v>2262</v>
      </c>
      <c r="J13" t="s">
        <v>459</v>
      </c>
      <c r="K13" t="s">
        <v>41</v>
      </c>
      <c r="L13" t="s">
        <v>138</v>
      </c>
      <c r="M13" t="s">
        <v>41</v>
      </c>
      <c r="N13"/>
      <c r="O13" t="s">
        <v>2244</v>
      </c>
      <c r="P13" t="s">
        <v>530</v>
      </c>
      <c r="Q13"/>
    </row>
    <row r="14" spans="1:17" x14ac:dyDescent="0.2">
      <c r="A14" t="s">
        <v>2263</v>
      </c>
      <c r="B14" t="s">
        <v>2264</v>
      </c>
      <c r="C14" t="s">
        <v>39</v>
      </c>
      <c r="D14" t="s">
        <v>453</v>
      </c>
      <c r="E14" t="s">
        <v>749</v>
      </c>
      <c r="F14" t="s">
        <v>443</v>
      </c>
      <c r="G14" t="s">
        <v>34</v>
      </c>
      <c r="H14" t="s">
        <v>2265</v>
      </c>
      <c r="I14" t="s">
        <v>2266</v>
      </c>
      <c r="J14" t="s">
        <v>449</v>
      </c>
      <c r="K14" t="s">
        <v>41</v>
      </c>
      <c r="L14" t="s">
        <v>138</v>
      </c>
      <c r="M14" t="s">
        <v>41</v>
      </c>
      <c r="N14"/>
      <c r="O14" t="s">
        <v>496</v>
      </c>
      <c r="P14" t="s">
        <v>491</v>
      </c>
      <c r="Q14"/>
    </row>
    <row r="15" spans="1:17" x14ac:dyDescent="0.2">
      <c r="A15" t="s">
        <v>2267</v>
      </c>
      <c r="B15" t="s">
        <v>2268</v>
      </c>
      <c r="C15" t="s">
        <v>39</v>
      </c>
      <c r="D15" t="s">
        <v>453</v>
      </c>
      <c r="E15" t="s">
        <v>852</v>
      </c>
      <c r="F15" t="s">
        <v>444</v>
      </c>
      <c r="G15" t="s">
        <v>535</v>
      </c>
      <c r="H15"/>
      <c r="I15" t="s">
        <v>2269</v>
      </c>
      <c r="J15" t="s">
        <v>449</v>
      </c>
      <c r="K15" t="s">
        <v>41</v>
      </c>
      <c r="L15" t="s">
        <v>286</v>
      </c>
      <c r="M15" t="s">
        <v>41</v>
      </c>
      <c r="N15"/>
      <c r="O15" t="s">
        <v>531</v>
      </c>
      <c r="P15" t="s">
        <v>457</v>
      </c>
      <c r="Q15"/>
    </row>
    <row r="16" spans="1:17" x14ac:dyDescent="0.2">
      <c r="A16" t="s">
        <v>2270</v>
      </c>
      <c r="B16" t="s">
        <v>2271</v>
      </c>
      <c r="C16" t="s">
        <v>39</v>
      </c>
      <c r="D16" t="s">
        <v>453</v>
      </c>
      <c r="E16" t="s">
        <v>852</v>
      </c>
      <c r="F16" t="s">
        <v>443</v>
      </c>
      <c r="G16" t="s">
        <v>34</v>
      </c>
      <c r="H16"/>
      <c r="I16" t="s">
        <v>2272</v>
      </c>
      <c r="J16" t="s">
        <v>40</v>
      </c>
      <c r="K16" t="s">
        <v>41</v>
      </c>
      <c r="L16" t="s">
        <v>138</v>
      </c>
      <c r="M16" t="s">
        <v>41</v>
      </c>
      <c r="N16"/>
      <c r="O16" t="s">
        <v>2244</v>
      </c>
      <c r="P16" t="s">
        <v>691</v>
      </c>
      <c r="Q16"/>
    </row>
    <row r="17" spans="1:17" x14ac:dyDescent="0.2">
      <c r="A17" t="s">
        <v>2273</v>
      </c>
      <c r="B17" t="s">
        <v>2274</v>
      </c>
      <c r="C17" t="s">
        <v>39</v>
      </c>
      <c r="D17" t="s">
        <v>453</v>
      </c>
      <c r="E17" t="s">
        <v>852</v>
      </c>
      <c r="F17" t="s">
        <v>443</v>
      </c>
      <c r="G17" t="s">
        <v>34</v>
      </c>
      <c r="H17"/>
      <c r="I17" t="s">
        <v>2272</v>
      </c>
      <c r="J17" t="s">
        <v>449</v>
      </c>
      <c r="K17" t="s">
        <v>41</v>
      </c>
      <c r="L17" t="s">
        <v>477</v>
      </c>
      <c r="M17" t="s">
        <v>41</v>
      </c>
      <c r="N17"/>
      <c r="O17" t="s">
        <v>2244</v>
      </c>
      <c r="P17" t="s">
        <v>691</v>
      </c>
      <c r="Q17"/>
    </row>
    <row r="18" spans="1:17" x14ac:dyDescent="0.2">
      <c r="A18" t="s">
        <v>2275</v>
      </c>
      <c r="B18" t="s">
        <v>2276</v>
      </c>
      <c r="C18" t="s">
        <v>39</v>
      </c>
      <c r="D18" t="s">
        <v>453</v>
      </c>
      <c r="E18" t="s">
        <v>852</v>
      </c>
      <c r="F18" t="s">
        <v>443</v>
      </c>
      <c r="G18" t="s">
        <v>34</v>
      </c>
      <c r="H18"/>
      <c r="I18" t="s">
        <v>2272</v>
      </c>
      <c r="J18" t="s">
        <v>449</v>
      </c>
      <c r="K18" t="s">
        <v>41</v>
      </c>
      <c r="L18" t="s">
        <v>477</v>
      </c>
      <c r="M18" t="s">
        <v>41</v>
      </c>
      <c r="N18"/>
      <c r="O18" t="s">
        <v>2244</v>
      </c>
      <c r="P18" t="s">
        <v>691</v>
      </c>
      <c r="Q18"/>
    </row>
    <row r="19" spans="1:17" x14ac:dyDescent="0.2">
      <c r="A19" t="s">
        <v>2277</v>
      </c>
      <c r="B19" t="s">
        <v>2278</v>
      </c>
      <c r="C19" t="s">
        <v>39</v>
      </c>
      <c r="D19" t="s">
        <v>453</v>
      </c>
      <c r="E19" t="s">
        <v>852</v>
      </c>
      <c r="F19" t="s">
        <v>443</v>
      </c>
      <c r="G19" t="s">
        <v>34</v>
      </c>
      <c r="H19"/>
      <c r="I19" t="s">
        <v>2279</v>
      </c>
      <c r="J19" t="s">
        <v>449</v>
      </c>
      <c r="K19" t="s">
        <v>41</v>
      </c>
      <c r="L19" t="s">
        <v>138</v>
      </c>
      <c r="M19" t="s">
        <v>41</v>
      </c>
      <c r="N19"/>
      <c r="O19" t="s">
        <v>2244</v>
      </c>
      <c r="P19" t="s">
        <v>472</v>
      </c>
      <c r="Q19"/>
    </row>
    <row r="20" spans="1:17" x14ac:dyDescent="0.2">
      <c r="A20" t="s">
        <v>2280</v>
      </c>
      <c r="B20" t="s">
        <v>2281</v>
      </c>
      <c r="C20" t="s">
        <v>39</v>
      </c>
      <c r="D20" t="s">
        <v>453</v>
      </c>
      <c r="E20" t="s">
        <v>749</v>
      </c>
      <c r="F20" t="s">
        <v>443</v>
      </c>
      <c r="G20" t="s">
        <v>34</v>
      </c>
      <c r="H20"/>
      <c r="I20" t="s">
        <v>1119</v>
      </c>
      <c r="J20" t="s">
        <v>449</v>
      </c>
      <c r="K20" t="s">
        <v>39</v>
      </c>
      <c r="L20" t="s">
        <v>286</v>
      </c>
      <c r="M20" t="s">
        <v>41</v>
      </c>
      <c r="N20"/>
      <c r="O20" t="s">
        <v>2244</v>
      </c>
      <c r="P20" t="s">
        <v>521</v>
      </c>
      <c r="Q20"/>
    </row>
    <row r="21" spans="1:17" x14ac:dyDescent="0.2">
      <c r="A21" t="s">
        <v>2282</v>
      </c>
      <c r="B21" t="s">
        <v>2283</v>
      </c>
      <c r="C21" t="s">
        <v>39</v>
      </c>
      <c r="D21" t="s">
        <v>453</v>
      </c>
      <c r="E21" t="s">
        <v>1771</v>
      </c>
      <c r="F21" t="s">
        <v>444</v>
      </c>
      <c r="G21" t="s">
        <v>1158</v>
      </c>
      <c r="H21" t="s">
        <v>2284</v>
      </c>
      <c r="I21" t="s">
        <v>2285</v>
      </c>
      <c r="J21" t="s">
        <v>449</v>
      </c>
      <c r="K21" t="s">
        <v>41</v>
      </c>
      <c r="L21" t="s">
        <v>138</v>
      </c>
      <c r="M21" t="s">
        <v>41</v>
      </c>
      <c r="N21"/>
      <c r="O21" t="s">
        <v>531</v>
      </c>
      <c r="P21" t="s">
        <v>691</v>
      </c>
      <c r="Q21"/>
    </row>
    <row r="22" spans="1:17" x14ac:dyDescent="0.2">
      <c r="A22" t="s">
        <v>2286</v>
      </c>
      <c r="B22" t="s">
        <v>2287</v>
      </c>
      <c r="C22" t="s">
        <v>39</v>
      </c>
      <c r="D22" t="s">
        <v>453</v>
      </c>
      <c r="E22" t="s">
        <v>1771</v>
      </c>
      <c r="F22" t="s">
        <v>444</v>
      </c>
      <c r="G22" t="s">
        <v>1158</v>
      </c>
      <c r="H22" t="s">
        <v>2288</v>
      </c>
      <c r="I22" t="s">
        <v>1452</v>
      </c>
      <c r="J22" t="s">
        <v>459</v>
      </c>
      <c r="K22" t="s">
        <v>41</v>
      </c>
      <c r="L22" t="s">
        <v>138</v>
      </c>
      <c r="M22" t="s">
        <v>41</v>
      </c>
      <c r="N22"/>
      <c r="O22" t="s">
        <v>531</v>
      </c>
      <c r="P22" t="s">
        <v>691</v>
      </c>
      <c r="Q22"/>
    </row>
    <row r="23" spans="1:17" x14ac:dyDescent="0.2">
      <c r="A23" t="s">
        <v>2289</v>
      </c>
      <c r="B23" t="s">
        <v>2290</v>
      </c>
      <c r="C23" t="s">
        <v>39</v>
      </c>
      <c r="D23" t="s">
        <v>453</v>
      </c>
      <c r="E23" t="s">
        <v>1771</v>
      </c>
      <c r="F23" t="s">
        <v>444</v>
      </c>
      <c r="G23" t="s">
        <v>1158</v>
      </c>
      <c r="H23" t="s">
        <v>2291</v>
      </c>
      <c r="I23" t="s">
        <v>1452</v>
      </c>
      <c r="J23" t="s">
        <v>459</v>
      </c>
      <c r="K23" t="s">
        <v>41</v>
      </c>
      <c r="L23" t="s">
        <v>138</v>
      </c>
      <c r="M23" t="s">
        <v>41</v>
      </c>
      <c r="N23"/>
      <c r="O23" t="s">
        <v>531</v>
      </c>
      <c r="P23" t="s">
        <v>691</v>
      </c>
      <c r="Q23"/>
    </row>
    <row r="24" spans="1:17" x14ac:dyDescent="0.2">
      <c r="A24" t="s">
        <v>2292</v>
      </c>
      <c r="B24" t="s">
        <v>2293</v>
      </c>
      <c r="C24" t="s">
        <v>39</v>
      </c>
      <c r="D24" t="s">
        <v>453</v>
      </c>
      <c r="E24" t="s">
        <v>749</v>
      </c>
      <c r="F24" t="s">
        <v>444</v>
      </c>
      <c r="G24" t="s">
        <v>460</v>
      </c>
      <c r="H24"/>
      <c r="I24" t="s">
        <v>1905</v>
      </c>
      <c r="J24" t="s">
        <v>459</v>
      </c>
      <c r="K24" t="s">
        <v>41</v>
      </c>
      <c r="L24" t="s">
        <v>2294</v>
      </c>
      <c r="M24" t="s">
        <v>41</v>
      </c>
      <c r="N24"/>
      <c r="O24" t="s">
        <v>446</v>
      </c>
      <c r="P24" t="s">
        <v>446</v>
      </c>
      <c r="Q24"/>
    </row>
    <row r="25" spans="1:17" x14ac:dyDescent="0.2">
      <c r="A25" t="s">
        <v>2295</v>
      </c>
      <c r="B25" t="s">
        <v>2296</v>
      </c>
      <c r="C25" t="s">
        <v>39</v>
      </c>
      <c r="D25" t="s">
        <v>453</v>
      </c>
      <c r="E25" t="s">
        <v>749</v>
      </c>
      <c r="F25" t="s">
        <v>443</v>
      </c>
      <c r="G25" t="s">
        <v>34</v>
      </c>
      <c r="H25"/>
      <c r="I25" t="s">
        <v>1119</v>
      </c>
      <c r="J25" t="s">
        <v>459</v>
      </c>
      <c r="K25" t="s">
        <v>41</v>
      </c>
      <c r="L25" t="s">
        <v>504</v>
      </c>
      <c r="M25" t="s">
        <v>41</v>
      </c>
      <c r="N25"/>
      <c r="O25" t="s">
        <v>2244</v>
      </c>
      <c r="P25" t="s">
        <v>630</v>
      </c>
      <c r="Q25"/>
    </row>
    <row r="26" spans="1:17" x14ac:dyDescent="0.2">
      <c r="A26" t="s">
        <v>2297</v>
      </c>
      <c r="B26" t="s">
        <v>2298</v>
      </c>
      <c r="C26" t="s">
        <v>39</v>
      </c>
      <c r="D26" t="s">
        <v>453</v>
      </c>
      <c r="E26" t="s">
        <v>749</v>
      </c>
      <c r="F26" t="s">
        <v>443</v>
      </c>
      <c r="G26" t="s">
        <v>34</v>
      </c>
      <c r="H26"/>
      <c r="I26" t="s">
        <v>2299</v>
      </c>
      <c r="J26" t="s">
        <v>449</v>
      </c>
      <c r="K26" t="s">
        <v>41</v>
      </c>
      <c r="L26" t="s">
        <v>477</v>
      </c>
      <c r="M26" t="s">
        <v>41</v>
      </c>
      <c r="N26"/>
      <c r="O26" t="s">
        <v>2244</v>
      </c>
      <c r="P26" t="s">
        <v>467</v>
      </c>
      <c r="Q26"/>
    </row>
    <row r="27" spans="1:17" x14ac:dyDescent="0.2">
      <c r="A27" t="s">
        <v>2300</v>
      </c>
      <c r="B27" t="s">
        <v>2301</v>
      </c>
      <c r="C27" t="s">
        <v>39</v>
      </c>
      <c r="D27" t="s">
        <v>453</v>
      </c>
      <c r="E27" t="s">
        <v>749</v>
      </c>
      <c r="F27" t="s">
        <v>443</v>
      </c>
      <c r="G27" t="s">
        <v>34</v>
      </c>
      <c r="H27"/>
      <c r="I27" t="s">
        <v>1807</v>
      </c>
      <c r="J27" t="s">
        <v>40</v>
      </c>
      <c r="K27" t="s">
        <v>41</v>
      </c>
      <c r="L27" t="s">
        <v>477</v>
      </c>
      <c r="M27" t="s">
        <v>41</v>
      </c>
      <c r="N27"/>
      <c r="O27" t="s">
        <v>2244</v>
      </c>
      <c r="P27" t="s">
        <v>467</v>
      </c>
      <c r="Q27"/>
    </row>
    <row r="28" spans="1:17" x14ac:dyDescent="0.2">
      <c r="A28" t="s">
        <v>2302</v>
      </c>
      <c r="B28" t="s">
        <v>2303</v>
      </c>
      <c r="C28" t="s">
        <v>39</v>
      </c>
      <c r="D28" t="s">
        <v>453</v>
      </c>
      <c r="E28" t="s">
        <v>749</v>
      </c>
      <c r="F28" t="s">
        <v>443</v>
      </c>
      <c r="G28" t="s">
        <v>34</v>
      </c>
      <c r="H28"/>
      <c r="I28" t="s">
        <v>1807</v>
      </c>
      <c r="J28" t="s">
        <v>40</v>
      </c>
      <c r="K28" t="s">
        <v>41</v>
      </c>
      <c r="L28" t="s">
        <v>138</v>
      </c>
      <c r="M28" t="s">
        <v>41</v>
      </c>
      <c r="N28"/>
      <c r="O28" t="s">
        <v>2244</v>
      </c>
      <c r="P28" t="s">
        <v>467</v>
      </c>
      <c r="Q28"/>
    </row>
    <row r="29" spans="1:17" x14ac:dyDescent="0.2">
      <c r="A29" t="s">
        <v>2304</v>
      </c>
      <c r="B29" t="s">
        <v>2305</v>
      </c>
      <c r="C29" t="s">
        <v>39</v>
      </c>
      <c r="D29" t="s">
        <v>453</v>
      </c>
      <c r="E29" t="s">
        <v>749</v>
      </c>
      <c r="F29" t="s">
        <v>443</v>
      </c>
      <c r="G29" t="s">
        <v>34</v>
      </c>
      <c r="H29"/>
      <c r="I29" t="s">
        <v>1807</v>
      </c>
      <c r="J29" t="s">
        <v>40</v>
      </c>
      <c r="K29" t="s">
        <v>41</v>
      </c>
      <c r="L29" t="s">
        <v>138</v>
      </c>
      <c r="M29" t="s">
        <v>41</v>
      </c>
      <c r="N29"/>
      <c r="O29" t="s">
        <v>2244</v>
      </c>
      <c r="P29" t="s">
        <v>467</v>
      </c>
      <c r="Q29"/>
    </row>
    <row r="30" spans="1:17" x14ac:dyDescent="0.2">
      <c r="A30" t="s">
        <v>2306</v>
      </c>
      <c r="B30" t="s">
        <v>2307</v>
      </c>
      <c r="C30" t="s">
        <v>39</v>
      </c>
      <c r="D30" t="s">
        <v>453</v>
      </c>
      <c r="E30" t="s">
        <v>749</v>
      </c>
      <c r="F30" t="s">
        <v>443</v>
      </c>
      <c r="G30" t="s">
        <v>34</v>
      </c>
      <c r="H30"/>
      <c r="I30" t="s">
        <v>1807</v>
      </c>
      <c r="J30" t="s">
        <v>40</v>
      </c>
      <c r="K30" t="s">
        <v>41</v>
      </c>
      <c r="L30" t="s">
        <v>138</v>
      </c>
      <c r="M30" t="s">
        <v>41</v>
      </c>
      <c r="N30"/>
      <c r="O30" t="s">
        <v>2244</v>
      </c>
      <c r="P30" t="s">
        <v>467</v>
      </c>
      <c r="Q30"/>
    </row>
    <row r="31" spans="1:17" x14ac:dyDescent="0.2">
      <c r="A31" t="s">
        <v>2308</v>
      </c>
      <c r="B31" t="s">
        <v>2309</v>
      </c>
      <c r="C31" t="s">
        <v>39</v>
      </c>
      <c r="D31" t="s">
        <v>453</v>
      </c>
      <c r="E31" t="s">
        <v>749</v>
      </c>
      <c r="F31" t="s">
        <v>443</v>
      </c>
      <c r="G31" t="s">
        <v>34</v>
      </c>
      <c r="H31"/>
      <c r="I31" t="s">
        <v>1807</v>
      </c>
      <c r="J31" t="s">
        <v>40</v>
      </c>
      <c r="K31" t="s">
        <v>41</v>
      </c>
      <c r="L31" t="s">
        <v>138</v>
      </c>
      <c r="M31" t="s">
        <v>41</v>
      </c>
      <c r="N31"/>
      <c r="O31" t="s">
        <v>2244</v>
      </c>
      <c r="P31" t="s">
        <v>467</v>
      </c>
      <c r="Q31"/>
    </row>
    <row r="32" spans="1:17" x14ac:dyDescent="0.2">
      <c r="A32" t="s">
        <v>2310</v>
      </c>
      <c r="B32" t="s">
        <v>2311</v>
      </c>
      <c r="C32" t="s">
        <v>39</v>
      </c>
      <c r="D32" t="s">
        <v>453</v>
      </c>
      <c r="E32" t="s">
        <v>470</v>
      </c>
      <c r="F32" t="s">
        <v>444</v>
      </c>
      <c r="G32" t="s">
        <v>2312</v>
      </c>
      <c r="H32" t="s">
        <v>2313</v>
      </c>
      <c r="I32" t="s">
        <v>1800</v>
      </c>
      <c r="J32" t="s">
        <v>459</v>
      </c>
      <c r="K32" t="s">
        <v>41</v>
      </c>
      <c r="L32" t="s">
        <v>112</v>
      </c>
      <c r="M32" t="s">
        <v>41</v>
      </c>
      <c r="N32"/>
      <c r="O32" t="s">
        <v>446</v>
      </c>
      <c r="P32" t="s">
        <v>482</v>
      </c>
      <c r="Q32" t="s">
        <v>679</v>
      </c>
    </row>
    <row r="33" spans="1:17" x14ac:dyDescent="0.2">
      <c r="A33" t="s">
        <v>2314</v>
      </c>
      <c r="B33" t="s">
        <v>2315</v>
      </c>
      <c r="C33" t="s">
        <v>39</v>
      </c>
      <c r="D33" t="s">
        <v>453</v>
      </c>
      <c r="E33" t="s">
        <v>749</v>
      </c>
      <c r="F33" t="s">
        <v>443</v>
      </c>
      <c r="G33" t="s">
        <v>34</v>
      </c>
      <c r="H33"/>
      <c r="I33" t="s">
        <v>1800</v>
      </c>
      <c r="J33" t="s">
        <v>449</v>
      </c>
      <c r="K33" t="s">
        <v>41</v>
      </c>
      <c r="L33" t="s">
        <v>448</v>
      </c>
      <c r="M33" t="s">
        <v>41</v>
      </c>
      <c r="N33"/>
      <c r="O33" t="s">
        <v>2244</v>
      </c>
      <c r="P33" t="s">
        <v>525</v>
      </c>
      <c r="Q33"/>
    </row>
    <row r="34" spans="1:17" x14ac:dyDescent="0.2">
      <c r="A34" t="s">
        <v>2316</v>
      </c>
      <c r="B34" t="s">
        <v>2317</v>
      </c>
      <c r="C34" t="s">
        <v>455</v>
      </c>
      <c r="D34" t="s">
        <v>453</v>
      </c>
      <c r="E34" t="s">
        <v>749</v>
      </c>
      <c r="F34" t="s">
        <v>443</v>
      </c>
      <c r="G34" t="s">
        <v>34</v>
      </c>
      <c r="H34"/>
      <c r="I34" t="s">
        <v>455</v>
      </c>
      <c r="J34" t="s">
        <v>449</v>
      </c>
      <c r="K34" t="s">
        <v>41</v>
      </c>
      <c r="L34" t="s">
        <v>138</v>
      </c>
      <c r="M34" t="s">
        <v>41</v>
      </c>
      <c r="N34"/>
      <c r="O34" t="s">
        <v>2244</v>
      </c>
      <c r="P34" t="s">
        <v>495</v>
      </c>
      <c r="Q34"/>
    </row>
    <row r="35" spans="1:17" x14ac:dyDescent="0.2">
      <c r="A35" t="s">
        <v>2318</v>
      </c>
      <c r="B35" t="s">
        <v>2319</v>
      </c>
      <c r="C35" t="s">
        <v>455</v>
      </c>
      <c r="D35" t="s">
        <v>453</v>
      </c>
      <c r="E35" t="s">
        <v>749</v>
      </c>
      <c r="F35" t="s">
        <v>443</v>
      </c>
      <c r="G35" t="s">
        <v>34</v>
      </c>
      <c r="H35"/>
      <c r="I35" t="s">
        <v>455</v>
      </c>
      <c r="J35" t="s">
        <v>40</v>
      </c>
      <c r="K35" t="s">
        <v>41</v>
      </c>
      <c r="L35" t="s">
        <v>477</v>
      </c>
      <c r="M35" t="s">
        <v>41</v>
      </c>
      <c r="N35"/>
      <c r="O35" t="s">
        <v>2244</v>
      </c>
      <c r="P35" t="s">
        <v>495</v>
      </c>
      <c r="Q35"/>
    </row>
    <row r="36" spans="1:17" x14ac:dyDescent="0.2">
      <c r="A36" t="s">
        <v>2320</v>
      </c>
      <c r="B36" t="s">
        <v>2321</v>
      </c>
      <c r="C36" t="s">
        <v>455</v>
      </c>
      <c r="D36" t="s">
        <v>453</v>
      </c>
      <c r="E36" t="s">
        <v>749</v>
      </c>
      <c r="F36" t="s">
        <v>443</v>
      </c>
      <c r="G36" t="s">
        <v>34</v>
      </c>
      <c r="H36"/>
      <c r="I36" t="s">
        <v>455</v>
      </c>
      <c r="J36" t="s">
        <v>40</v>
      </c>
      <c r="K36" t="s">
        <v>41</v>
      </c>
      <c r="L36" t="s">
        <v>477</v>
      </c>
      <c r="M36" t="s">
        <v>41</v>
      </c>
      <c r="N36"/>
      <c r="O36" t="s">
        <v>2244</v>
      </c>
      <c r="P36" t="s">
        <v>495</v>
      </c>
      <c r="Q36"/>
    </row>
    <row r="37" spans="1:17" x14ac:dyDescent="0.2">
      <c r="A37" t="s">
        <v>2322</v>
      </c>
      <c r="B37" t="s">
        <v>2323</v>
      </c>
      <c r="C37" t="s">
        <v>455</v>
      </c>
      <c r="D37" t="s">
        <v>453</v>
      </c>
      <c r="E37" t="s">
        <v>749</v>
      </c>
      <c r="F37" t="s">
        <v>443</v>
      </c>
      <c r="G37" t="s">
        <v>34</v>
      </c>
      <c r="H37"/>
      <c r="I37" t="s">
        <v>455</v>
      </c>
      <c r="J37" t="s">
        <v>40</v>
      </c>
      <c r="K37" t="s">
        <v>41</v>
      </c>
      <c r="L37" t="s">
        <v>504</v>
      </c>
      <c r="M37" t="s">
        <v>41</v>
      </c>
      <c r="N37"/>
      <c r="O37" t="s">
        <v>2244</v>
      </c>
      <c r="P37" t="s">
        <v>495</v>
      </c>
      <c r="Q37"/>
    </row>
    <row r="38" spans="1:17" x14ac:dyDescent="0.2">
      <c r="A38" t="s">
        <v>2324</v>
      </c>
      <c r="B38" t="s">
        <v>2325</v>
      </c>
      <c r="C38" t="s">
        <v>39</v>
      </c>
      <c r="D38" t="s">
        <v>453</v>
      </c>
      <c r="E38" t="s">
        <v>618</v>
      </c>
      <c r="F38" t="s">
        <v>444</v>
      </c>
      <c r="G38" t="s">
        <v>1141</v>
      </c>
      <c r="H38" t="s">
        <v>2326</v>
      </c>
      <c r="I38" t="s">
        <v>2327</v>
      </c>
      <c r="J38" t="s">
        <v>449</v>
      </c>
      <c r="K38" t="s">
        <v>41</v>
      </c>
      <c r="L38" t="s">
        <v>448</v>
      </c>
      <c r="M38" t="s">
        <v>41</v>
      </c>
      <c r="N38"/>
      <c r="O38" t="s">
        <v>446</v>
      </c>
      <c r="P38" t="s">
        <v>445</v>
      </c>
      <c r="Q38"/>
    </row>
    <row r="39" spans="1:17" x14ac:dyDescent="0.2">
      <c r="A39" t="s">
        <v>2328</v>
      </c>
      <c r="B39" t="s">
        <v>2329</v>
      </c>
      <c r="C39" t="s">
        <v>39</v>
      </c>
      <c r="D39" t="s">
        <v>453</v>
      </c>
      <c r="E39" t="s">
        <v>749</v>
      </c>
      <c r="F39" t="s">
        <v>443</v>
      </c>
      <c r="G39" t="s">
        <v>34</v>
      </c>
      <c r="H39"/>
      <c r="I39" t="s">
        <v>1464</v>
      </c>
      <c r="J39" t="s">
        <v>40</v>
      </c>
      <c r="K39" t="s">
        <v>41</v>
      </c>
      <c r="L39" t="s">
        <v>477</v>
      </c>
      <c r="M39" t="s">
        <v>41</v>
      </c>
      <c r="N39"/>
      <c r="O39" t="s">
        <v>496</v>
      </c>
      <c r="P39" t="s">
        <v>467</v>
      </c>
      <c r="Q39"/>
    </row>
    <row r="40" spans="1:17" x14ac:dyDescent="0.2">
      <c r="A40" t="s">
        <v>2330</v>
      </c>
      <c r="B40" t="s">
        <v>2331</v>
      </c>
      <c r="C40" t="s">
        <v>39</v>
      </c>
      <c r="D40" t="s">
        <v>453</v>
      </c>
      <c r="E40" t="s">
        <v>749</v>
      </c>
      <c r="F40" t="s">
        <v>443</v>
      </c>
      <c r="G40" t="s">
        <v>34</v>
      </c>
      <c r="H40"/>
      <c r="I40" t="s">
        <v>1464</v>
      </c>
      <c r="J40" t="s">
        <v>40</v>
      </c>
      <c r="K40" t="s">
        <v>41</v>
      </c>
      <c r="L40" t="s">
        <v>138</v>
      </c>
      <c r="M40" t="s">
        <v>41</v>
      </c>
      <c r="N40"/>
      <c r="O40" t="s">
        <v>496</v>
      </c>
      <c r="P40" t="s">
        <v>467</v>
      </c>
      <c r="Q40"/>
    </row>
    <row r="41" spans="1:17" x14ac:dyDescent="0.2">
      <c r="A41" t="s">
        <v>2332</v>
      </c>
      <c r="B41" t="s">
        <v>2333</v>
      </c>
      <c r="C41" t="s">
        <v>39</v>
      </c>
      <c r="D41" t="s">
        <v>453</v>
      </c>
      <c r="E41" t="s">
        <v>749</v>
      </c>
      <c r="F41" t="s">
        <v>443</v>
      </c>
      <c r="G41" t="s">
        <v>34</v>
      </c>
      <c r="H41"/>
      <c r="I41" t="s">
        <v>1464</v>
      </c>
      <c r="J41" t="s">
        <v>40</v>
      </c>
      <c r="K41" t="s">
        <v>41</v>
      </c>
      <c r="L41" t="s">
        <v>138</v>
      </c>
      <c r="M41" t="s">
        <v>41</v>
      </c>
      <c r="N41"/>
      <c r="O41" t="s">
        <v>496</v>
      </c>
      <c r="P41" t="s">
        <v>467</v>
      </c>
      <c r="Q41"/>
    </row>
    <row r="42" spans="1:17" x14ac:dyDescent="0.2">
      <c r="A42" t="s">
        <v>2334</v>
      </c>
      <c r="B42" t="s">
        <v>2335</v>
      </c>
      <c r="C42" t="s">
        <v>39</v>
      </c>
      <c r="D42" t="s">
        <v>453</v>
      </c>
      <c r="E42" t="s">
        <v>749</v>
      </c>
      <c r="F42" t="s">
        <v>443</v>
      </c>
      <c r="G42" t="s">
        <v>34</v>
      </c>
      <c r="H42"/>
      <c r="I42" t="s">
        <v>1464</v>
      </c>
      <c r="J42" t="s">
        <v>40</v>
      </c>
      <c r="K42" t="s">
        <v>41</v>
      </c>
      <c r="L42" t="s">
        <v>138</v>
      </c>
      <c r="M42" t="s">
        <v>41</v>
      </c>
      <c r="N42"/>
      <c r="O42" t="s">
        <v>496</v>
      </c>
      <c r="P42" t="s">
        <v>467</v>
      </c>
      <c r="Q42"/>
    </row>
    <row r="43" spans="1:17" x14ac:dyDescent="0.2">
      <c r="A43" t="s">
        <v>2336</v>
      </c>
      <c r="B43" t="s">
        <v>2337</v>
      </c>
      <c r="C43" t="s">
        <v>39</v>
      </c>
      <c r="D43" t="s">
        <v>453</v>
      </c>
      <c r="E43" t="s">
        <v>470</v>
      </c>
      <c r="F43" t="s">
        <v>444</v>
      </c>
      <c r="G43" t="s">
        <v>529</v>
      </c>
      <c r="H43" t="s">
        <v>2338</v>
      </c>
      <c r="I43" t="s">
        <v>2339</v>
      </c>
      <c r="J43" t="s">
        <v>449</v>
      </c>
      <c r="K43" t="s">
        <v>41</v>
      </c>
      <c r="L43" t="s">
        <v>537</v>
      </c>
      <c r="M43" t="s">
        <v>41</v>
      </c>
      <c r="N43"/>
      <c r="O43" t="s">
        <v>531</v>
      </c>
      <c r="P43" t="s">
        <v>630</v>
      </c>
      <c r="Q43" t="s">
        <v>735</v>
      </c>
    </row>
    <row r="44" spans="1:17" x14ac:dyDescent="0.2">
      <c r="A44" t="s">
        <v>2340</v>
      </c>
      <c r="B44" t="s">
        <v>2341</v>
      </c>
      <c r="C44" t="s">
        <v>39</v>
      </c>
      <c r="D44" t="s">
        <v>453</v>
      </c>
      <c r="E44" t="s">
        <v>470</v>
      </c>
      <c r="F44" t="s">
        <v>444</v>
      </c>
      <c r="G44" t="s">
        <v>535</v>
      </c>
      <c r="H44"/>
      <c r="I44" t="s">
        <v>455</v>
      </c>
      <c r="J44" t="s">
        <v>40</v>
      </c>
      <c r="K44" t="s">
        <v>41</v>
      </c>
      <c r="L44" t="s">
        <v>662</v>
      </c>
      <c r="M44" t="s">
        <v>41</v>
      </c>
      <c r="N44"/>
      <c r="O44" t="s">
        <v>531</v>
      </c>
      <c r="P44" t="s">
        <v>2342</v>
      </c>
      <c r="Q44"/>
    </row>
    <row r="45" spans="1:17" x14ac:dyDescent="0.2">
      <c r="A45" t="s">
        <v>2343</v>
      </c>
      <c r="B45" t="s">
        <v>2344</v>
      </c>
      <c r="C45" t="s">
        <v>39</v>
      </c>
      <c r="D45" t="s">
        <v>453</v>
      </c>
      <c r="E45" t="s">
        <v>749</v>
      </c>
      <c r="F45" t="s">
        <v>443</v>
      </c>
      <c r="G45" t="s">
        <v>34</v>
      </c>
      <c r="H45"/>
      <c r="I45" t="s">
        <v>2345</v>
      </c>
      <c r="J45" t="s">
        <v>40</v>
      </c>
      <c r="K45" t="s">
        <v>41</v>
      </c>
      <c r="L45" t="s">
        <v>286</v>
      </c>
      <c r="M45" t="s">
        <v>41</v>
      </c>
      <c r="N45"/>
      <c r="O45" t="s">
        <v>502</v>
      </c>
      <c r="P45" t="s">
        <v>778</v>
      </c>
      <c r="Q45"/>
    </row>
    <row r="46" spans="1:17" x14ac:dyDescent="0.2">
      <c r="A46" t="s">
        <v>2346</v>
      </c>
      <c r="B46" t="s">
        <v>2347</v>
      </c>
      <c r="C46" t="s">
        <v>39</v>
      </c>
      <c r="D46" t="s">
        <v>453</v>
      </c>
      <c r="E46" t="s">
        <v>749</v>
      </c>
      <c r="F46" t="s">
        <v>443</v>
      </c>
      <c r="G46" t="s">
        <v>34</v>
      </c>
      <c r="H46"/>
      <c r="I46" t="s">
        <v>1464</v>
      </c>
      <c r="J46" t="s">
        <v>449</v>
      </c>
      <c r="K46" t="s">
        <v>41</v>
      </c>
      <c r="L46" t="s">
        <v>286</v>
      </c>
      <c r="M46" t="s">
        <v>41</v>
      </c>
      <c r="N46"/>
      <c r="O46" t="s">
        <v>502</v>
      </c>
      <c r="P46" t="s">
        <v>501</v>
      </c>
      <c r="Q46"/>
    </row>
    <row r="47" spans="1:17" x14ac:dyDescent="0.2">
      <c r="A47" t="s">
        <v>2348</v>
      </c>
      <c r="B47" t="s">
        <v>2349</v>
      </c>
      <c r="C47" t="s">
        <v>39</v>
      </c>
      <c r="D47" t="s">
        <v>453</v>
      </c>
      <c r="E47" t="s">
        <v>470</v>
      </c>
      <c r="F47" t="s">
        <v>444</v>
      </c>
      <c r="G47" t="s">
        <v>2350</v>
      </c>
      <c r="H47" t="s">
        <v>2351</v>
      </c>
      <c r="I47" t="s">
        <v>1931</v>
      </c>
      <c r="J47" t="s">
        <v>449</v>
      </c>
      <c r="K47" t="s">
        <v>41</v>
      </c>
      <c r="L47" t="s">
        <v>138</v>
      </c>
      <c r="M47" t="s">
        <v>41</v>
      </c>
      <c r="N47"/>
      <c r="O47" t="s">
        <v>531</v>
      </c>
      <c r="P47" t="s">
        <v>539</v>
      </c>
      <c r="Q47"/>
    </row>
    <row r="48" spans="1:17" x14ac:dyDescent="0.2">
      <c r="A48" t="s">
        <v>2352</v>
      </c>
      <c r="B48" t="s">
        <v>2353</v>
      </c>
      <c r="C48" t="s">
        <v>39</v>
      </c>
      <c r="D48" t="s">
        <v>453</v>
      </c>
      <c r="E48" t="s">
        <v>470</v>
      </c>
      <c r="F48" t="s">
        <v>444</v>
      </c>
      <c r="G48" t="s">
        <v>2350</v>
      </c>
      <c r="H48" t="s">
        <v>2354</v>
      </c>
      <c r="I48" t="s">
        <v>1931</v>
      </c>
      <c r="J48" t="s">
        <v>459</v>
      </c>
      <c r="K48" t="s">
        <v>41</v>
      </c>
      <c r="L48" t="s">
        <v>138</v>
      </c>
      <c r="M48" t="s">
        <v>41</v>
      </c>
      <c r="N48"/>
      <c r="O48" t="s">
        <v>531</v>
      </c>
      <c r="P48" t="s">
        <v>539</v>
      </c>
      <c r="Q48"/>
    </row>
    <row r="49" spans="1:17" x14ac:dyDescent="0.2">
      <c r="A49" t="s">
        <v>2355</v>
      </c>
      <c r="B49" t="s">
        <v>2356</v>
      </c>
      <c r="C49" t="s">
        <v>39</v>
      </c>
      <c r="D49" t="s">
        <v>453</v>
      </c>
      <c r="E49" t="s">
        <v>749</v>
      </c>
      <c r="F49" t="s">
        <v>443</v>
      </c>
      <c r="G49" t="s">
        <v>34</v>
      </c>
      <c r="H49"/>
      <c r="I49" t="s">
        <v>455</v>
      </c>
      <c r="J49" t="s">
        <v>449</v>
      </c>
      <c r="K49" t="s">
        <v>41</v>
      </c>
      <c r="L49" t="s">
        <v>504</v>
      </c>
      <c r="M49" t="s">
        <v>41</v>
      </c>
      <c r="N49"/>
      <c r="O49" t="s">
        <v>502</v>
      </c>
      <c r="P49" t="s">
        <v>501</v>
      </c>
      <c r="Q49"/>
    </row>
    <row r="50" spans="1:17" x14ac:dyDescent="0.2">
      <c r="A50" t="s">
        <v>2357</v>
      </c>
      <c r="B50" t="s">
        <v>2358</v>
      </c>
      <c r="C50" t="s">
        <v>39</v>
      </c>
      <c r="D50" t="s">
        <v>453</v>
      </c>
      <c r="E50" t="s">
        <v>470</v>
      </c>
      <c r="F50" t="s">
        <v>444</v>
      </c>
      <c r="G50" t="s">
        <v>397</v>
      </c>
      <c r="H50"/>
      <c r="I50" t="s">
        <v>2359</v>
      </c>
      <c r="J50" t="s">
        <v>449</v>
      </c>
      <c r="K50" t="s">
        <v>41</v>
      </c>
      <c r="L50" t="s">
        <v>537</v>
      </c>
      <c r="M50" t="s">
        <v>41</v>
      </c>
      <c r="N50"/>
      <c r="O50" t="s">
        <v>737</v>
      </c>
      <c r="P50" t="s">
        <v>737</v>
      </c>
      <c r="Q50"/>
    </row>
    <row r="51" spans="1:17" x14ac:dyDescent="0.2">
      <c r="A51" t="s">
        <v>2360</v>
      </c>
      <c r="B51" t="s">
        <v>2361</v>
      </c>
      <c r="C51" t="s">
        <v>39</v>
      </c>
      <c r="D51" t="s">
        <v>453</v>
      </c>
      <c r="E51" t="s">
        <v>749</v>
      </c>
      <c r="F51" t="s">
        <v>443</v>
      </c>
      <c r="G51" t="s">
        <v>34</v>
      </c>
      <c r="H51"/>
      <c r="I51" t="s">
        <v>2362</v>
      </c>
      <c r="J51" t="s">
        <v>40</v>
      </c>
      <c r="K51" t="s">
        <v>41</v>
      </c>
      <c r="L51" t="s">
        <v>138</v>
      </c>
      <c r="M51" t="s">
        <v>41</v>
      </c>
      <c r="N51"/>
      <c r="O51" t="s">
        <v>502</v>
      </c>
      <c r="P51" t="s">
        <v>778</v>
      </c>
      <c r="Q51"/>
    </row>
    <row r="52" spans="1:17" x14ac:dyDescent="0.2">
      <c r="A52" t="s">
        <v>2363</v>
      </c>
      <c r="B52" t="s">
        <v>2364</v>
      </c>
      <c r="C52" t="s">
        <v>39</v>
      </c>
      <c r="D52" t="s">
        <v>453</v>
      </c>
      <c r="E52" t="s">
        <v>749</v>
      </c>
      <c r="F52" t="s">
        <v>443</v>
      </c>
      <c r="G52" t="s">
        <v>34</v>
      </c>
      <c r="H52"/>
      <c r="I52" t="s">
        <v>2365</v>
      </c>
      <c r="J52" t="s">
        <v>449</v>
      </c>
      <c r="K52" t="s">
        <v>41</v>
      </c>
      <c r="L52" t="s">
        <v>286</v>
      </c>
      <c r="M52" t="s">
        <v>41</v>
      </c>
      <c r="N52"/>
      <c r="O52" t="s">
        <v>502</v>
      </c>
      <c r="P52" t="s">
        <v>1837</v>
      </c>
      <c r="Q52"/>
    </row>
    <row r="53" spans="1:17" x14ac:dyDescent="0.2">
      <c r="A53" t="s">
        <v>2366</v>
      </c>
      <c r="B53" t="s">
        <v>2367</v>
      </c>
      <c r="C53" t="s">
        <v>39</v>
      </c>
      <c r="D53" t="s">
        <v>453</v>
      </c>
      <c r="E53" t="s">
        <v>749</v>
      </c>
      <c r="F53" t="s">
        <v>443</v>
      </c>
      <c r="G53" t="s">
        <v>34</v>
      </c>
      <c r="H53"/>
      <c r="I53" t="s">
        <v>2365</v>
      </c>
      <c r="J53" t="s">
        <v>40</v>
      </c>
      <c r="K53" t="s">
        <v>41</v>
      </c>
      <c r="L53" t="s">
        <v>504</v>
      </c>
      <c r="M53" t="s">
        <v>41</v>
      </c>
      <c r="N53"/>
      <c r="O53" t="s">
        <v>502</v>
      </c>
      <c r="P53" t="s">
        <v>1837</v>
      </c>
      <c r="Q53"/>
    </row>
    <row r="54" spans="1:17" x14ac:dyDescent="0.2">
      <c r="A54" t="s">
        <v>2368</v>
      </c>
      <c r="B54" t="s">
        <v>2369</v>
      </c>
      <c r="C54" t="s">
        <v>39</v>
      </c>
      <c r="D54" t="s">
        <v>453</v>
      </c>
      <c r="E54" t="s">
        <v>749</v>
      </c>
      <c r="F54" t="s">
        <v>443</v>
      </c>
      <c r="G54" t="s">
        <v>34</v>
      </c>
      <c r="H54"/>
      <c r="I54" t="s">
        <v>2365</v>
      </c>
      <c r="J54" t="s">
        <v>40</v>
      </c>
      <c r="K54" t="s">
        <v>41</v>
      </c>
      <c r="L54" t="s">
        <v>504</v>
      </c>
      <c r="M54" t="s">
        <v>41</v>
      </c>
      <c r="N54"/>
      <c r="O54" t="s">
        <v>502</v>
      </c>
      <c r="P54" t="s">
        <v>1837</v>
      </c>
      <c r="Q54"/>
    </row>
    <row r="55" spans="1:17" x14ac:dyDescent="0.2">
      <c r="A55" t="s">
        <v>2370</v>
      </c>
      <c r="B55" t="s">
        <v>2371</v>
      </c>
      <c r="C55" t="s">
        <v>39</v>
      </c>
      <c r="D55" t="s">
        <v>453</v>
      </c>
      <c r="E55" t="s">
        <v>749</v>
      </c>
      <c r="F55" t="s">
        <v>443</v>
      </c>
      <c r="G55" t="s">
        <v>34</v>
      </c>
      <c r="H55"/>
      <c r="I55" t="s">
        <v>2362</v>
      </c>
      <c r="J55" t="s">
        <v>40</v>
      </c>
      <c r="K55" t="s">
        <v>41</v>
      </c>
      <c r="L55" t="s">
        <v>504</v>
      </c>
      <c r="M55" t="s">
        <v>41</v>
      </c>
      <c r="N55"/>
      <c r="O55" t="s">
        <v>502</v>
      </c>
      <c r="P55" t="s">
        <v>1837</v>
      </c>
      <c r="Q55"/>
    </row>
    <row r="56" spans="1:17" x14ac:dyDescent="0.2">
      <c r="A56" t="s">
        <v>2372</v>
      </c>
      <c r="B56" t="s">
        <v>2373</v>
      </c>
      <c r="C56" t="s">
        <v>39</v>
      </c>
      <c r="D56" t="s">
        <v>453</v>
      </c>
      <c r="E56" t="s">
        <v>852</v>
      </c>
      <c r="F56" t="s">
        <v>444</v>
      </c>
      <c r="G56" t="s">
        <v>857</v>
      </c>
      <c r="H56"/>
      <c r="I56" t="s">
        <v>455</v>
      </c>
      <c r="J56" t="s">
        <v>459</v>
      </c>
      <c r="K56" t="s">
        <v>41</v>
      </c>
      <c r="L56" t="s">
        <v>477</v>
      </c>
      <c r="M56" t="s">
        <v>41</v>
      </c>
      <c r="N56"/>
      <c r="O56" t="s">
        <v>645</v>
      </c>
      <c r="P56" t="s">
        <v>525</v>
      </c>
      <c r="Q56"/>
    </row>
    <row r="57" spans="1:17" x14ac:dyDescent="0.2">
      <c r="A57" t="s">
        <v>2374</v>
      </c>
      <c r="B57" t="s">
        <v>2375</v>
      </c>
      <c r="C57" t="s">
        <v>39</v>
      </c>
      <c r="D57" t="s">
        <v>453</v>
      </c>
      <c r="E57" t="s">
        <v>470</v>
      </c>
      <c r="F57" t="s">
        <v>444</v>
      </c>
      <c r="G57" t="s">
        <v>649</v>
      </c>
      <c r="H57" t="s">
        <v>2376</v>
      </c>
      <c r="I57" t="s">
        <v>2377</v>
      </c>
      <c r="J57" t="s">
        <v>459</v>
      </c>
      <c r="K57" t="s">
        <v>41</v>
      </c>
      <c r="L57" t="s">
        <v>537</v>
      </c>
      <c r="M57" t="s">
        <v>41</v>
      </c>
      <c r="N57"/>
      <c r="O57" t="s">
        <v>737</v>
      </c>
      <c r="P57" t="s">
        <v>737</v>
      </c>
      <c r="Q57" t="s">
        <v>679</v>
      </c>
    </row>
    <row r="58" spans="1:17" x14ac:dyDescent="0.2">
      <c r="A58" t="s">
        <v>2378</v>
      </c>
      <c r="B58" t="s">
        <v>2379</v>
      </c>
      <c r="C58" t="s">
        <v>39</v>
      </c>
      <c r="D58" t="s">
        <v>453</v>
      </c>
      <c r="E58" t="s">
        <v>494</v>
      </c>
      <c r="F58" t="s">
        <v>444</v>
      </c>
      <c r="G58" t="s">
        <v>633</v>
      </c>
      <c r="H58"/>
      <c r="I58" t="s">
        <v>1822</v>
      </c>
      <c r="J58" t="s">
        <v>459</v>
      </c>
      <c r="K58" t="s">
        <v>41</v>
      </c>
      <c r="L58" t="s">
        <v>138</v>
      </c>
      <c r="M58" t="s">
        <v>41</v>
      </c>
      <c r="N58"/>
      <c r="O58" t="s">
        <v>681</v>
      </c>
      <c r="P58" t="s">
        <v>824</v>
      </c>
      <c r="Q58"/>
    </row>
    <row r="59" spans="1:17" x14ac:dyDescent="0.2">
      <c r="A59" t="s">
        <v>2380</v>
      </c>
      <c r="B59" t="s">
        <v>2381</v>
      </c>
      <c r="C59" t="s">
        <v>39</v>
      </c>
      <c r="D59" t="s">
        <v>453</v>
      </c>
      <c r="E59" t="s">
        <v>749</v>
      </c>
      <c r="F59" t="s">
        <v>443</v>
      </c>
      <c r="G59" t="s">
        <v>34</v>
      </c>
      <c r="H59"/>
      <c r="I59" t="s">
        <v>1825</v>
      </c>
      <c r="J59" t="s">
        <v>40</v>
      </c>
      <c r="K59" t="s">
        <v>41</v>
      </c>
      <c r="L59" t="s">
        <v>286</v>
      </c>
      <c r="M59" t="s">
        <v>41</v>
      </c>
      <c r="N59"/>
      <c r="O59" t="s">
        <v>502</v>
      </c>
      <c r="P59" t="s">
        <v>778</v>
      </c>
      <c r="Q59"/>
    </row>
    <row r="60" spans="1:17" x14ac:dyDescent="0.2">
      <c r="A60" t="s">
        <v>2382</v>
      </c>
      <c r="B60" t="s">
        <v>2383</v>
      </c>
      <c r="C60" t="s">
        <v>39</v>
      </c>
      <c r="D60" t="s">
        <v>453</v>
      </c>
      <c r="E60" t="s">
        <v>749</v>
      </c>
      <c r="F60" t="s">
        <v>443</v>
      </c>
      <c r="G60" t="s">
        <v>34</v>
      </c>
      <c r="H60"/>
      <c r="I60" t="s">
        <v>1825</v>
      </c>
      <c r="J60" t="s">
        <v>40</v>
      </c>
      <c r="K60" t="s">
        <v>41</v>
      </c>
      <c r="L60" t="s">
        <v>138</v>
      </c>
      <c r="M60" t="s">
        <v>41</v>
      </c>
      <c r="N60"/>
      <c r="O60" t="s">
        <v>502</v>
      </c>
      <c r="P60" t="s">
        <v>778</v>
      </c>
      <c r="Q60"/>
    </row>
    <row r="61" spans="1:17" x14ac:dyDescent="0.2">
      <c r="A61" t="s">
        <v>2384</v>
      </c>
      <c r="B61" t="s">
        <v>2385</v>
      </c>
      <c r="C61" t="s">
        <v>39</v>
      </c>
      <c r="D61" t="s">
        <v>453</v>
      </c>
      <c r="E61" t="s">
        <v>494</v>
      </c>
      <c r="F61" t="s">
        <v>444</v>
      </c>
      <c r="G61" t="s">
        <v>510</v>
      </c>
      <c r="H61" t="s">
        <v>2386</v>
      </c>
      <c r="I61" t="s">
        <v>1825</v>
      </c>
      <c r="J61" t="s">
        <v>459</v>
      </c>
      <c r="K61" t="s">
        <v>41</v>
      </c>
      <c r="L61" t="s">
        <v>112</v>
      </c>
      <c r="M61" t="s">
        <v>41</v>
      </c>
      <c r="N61"/>
      <c r="O61" t="s">
        <v>446</v>
      </c>
      <c r="P61" t="s">
        <v>482</v>
      </c>
      <c r="Q61"/>
    </row>
    <row r="62" spans="1:17" x14ac:dyDescent="0.2">
      <c r="A62" t="s">
        <v>2387</v>
      </c>
      <c r="B62" t="s">
        <v>2388</v>
      </c>
      <c r="C62" t="s">
        <v>39</v>
      </c>
      <c r="D62" t="s">
        <v>453</v>
      </c>
      <c r="E62" t="s">
        <v>494</v>
      </c>
      <c r="F62" t="s">
        <v>444</v>
      </c>
      <c r="G62" t="s">
        <v>510</v>
      </c>
      <c r="H62" t="s">
        <v>2389</v>
      </c>
      <c r="I62" t="s">
        <v>1881</v>
      </c>
      <c r="J62" t="s">
        <v>459</v>
      </c>
      <c r="K62" t="s">
        <v>41</v>
      </c>
      <c r="L62" t="s">
        <v>286</v>
      </c>
      <c r="M62" t="s">
        <v>41</v>
      </c>
      <c r="N62"/>
      <c r="O62" t="s">
        <v>446</v>
      </c>
      <c r="P62" t="s">
        <v>482</v>
      </c>
      <c r="Q62"/>
    </row>
    <row r="63" spans="1:17" x14ac:dyDescent="0.2">
      <c r="A63" t="s">
        <v>2390</v>
      </c>
      <c r="B63" t="s">
        <v>2391</v>
      </c>
      <c r="C63" t="s">
        <v>39</v>
      </c>
      <c r="D63" t="s">
        <v>453</v>
      </c>
      <c r="E63" t="s">
        <v>585</v>
      </c>
      <c r="F63" t="s">
        <v>443</v>
      </c>
      <c r="G63" t="s">
        <v>34</v>
      </c>
      <c r="H63" t="s">
        <v>2392</v>
      </c>
      <c r="I63" t="s">
        <v>2393</v>
      </c>
      <c r="J63" t="s">
        <v>449</v>
      </c>
      <c r="K63" t="s">
        <v>41</v>
      </c>
      <c r="L63" t="s">
        <v>138</v>
      </c>
      <c r="M63" t="s">
        <v>41</v>
      </c>
      <c r="N63"/>
      <c r="O63" t="s">
        <v>446</v>
      </c>
      <c r="P63" t="s">
        <v>445</v>
      </c>
      <c r="Q63"/>
    </row>
    <row r="64" spans="1:17" x14ac:dyDescent="0.2">
      <c r="A64" t="s">
        <v>2394</v>
      </c>
      <c r="B64" t="s">
        <v>2395</v>
      </c>
      <c r="C64" t="s">
        <v>39</v>
      </c>
      <c r="D64" t="s">
        <v>453</v>
      </c>
      <c r="E64" t="s">
        <v>749</v>
      </c>
      <c r="F64" t="s">
        <v>443</v>
      </c>
      <c r="G64" t="s">
        <v>34</v>
      </c>
      <c r="H64"/>
      <c r="I64" t="s">
        <v>1822</v>
      </c>
      <c r="J64" t="s">
        <v>449</v>
      </c>
      <c r="K64" t="s">
        <v>41</v>
      </c>
      <c r="L64" t="s">
        <v>286</v>
      </c>
      <c r="M64" t="s">
        <v>41</v>
      </c>
      <c r="N64"/>
      <c r="O64" t="s">
        <v>671</v>
      </c>
      <c r="P64" t="s">
        <v>700</v>
      </c>
      <c r="Q64"/>
    </row>
    <row r="65" spans="1:17" x14ac:dyDescent="0.2">
      <c r="A65" t="s">
        <v>2396</v>
      </c>
      <c r="B65" t="s">
        <v>2397</v>
      </c>
      <c r="C65" t="s">
        <v>39</v>
      </c>
      <c r="D65" t="s">
        <v>453</v>
      </c>
      <c r="E65" t="s">
        <v>749</v>
      </c>
      <c r="F65" t="s">
        <v>443</v>
      </c>
      <c r="G65" t="s">
        <v>34</v>
      </c>
      <c r="H65"/>
      <c r="I65" t="s">
        <v>1822</v>
      </c>
      <c r="J65" t="s">
        <v>40</v>
      </c>
      <c r="K65" t="s">
        <v>41</v>
      </c>
      <c r="L65" t="s">
        <v>448</v>
      </c>
      <c r="M65" t="s">
        <v>41</v>
      </c>
      <c r="N65"/>
      <c r="O65" t="s">
        <v>639</v>
      </c>
      <c r="P65" t="s">
        <v>691</v>
      </c>
      <c r="Q65"/>
    </row>
    <row r="66" spans="1:17" x14ac:dyDescent="0.2">
      <c r="A66" t="s">
        <v>2398</v>
      </c>
      <c r="B66" t="s">
        <v>2399</v>
      </c>
      <c r="C66" t="s">
        <v>39</v>
      </c>
      <c r="D66" t="s">
        <v>453</v>
      </c>
      <c r="E66" t="s">
        <v>731</v>
      </c>
      <c r="F66" t="s">
        <v>443</v>
      </c>
      <c r="G66" t="s">
        <v>34</v>
      </c>
      <c r="H66" t="s">
        <v>2400</v>
      </c>
      <c r="I66" t="s">
        <v>1458</v>
      </c>
      <c r="J66" t="s">
        <v>449</v>
      </c>
      <c r="K66" t="s">
        <v>41</v>
      </c>
      <c r="L66" t="s">
        <v>286</v>
      </c>
      <c r="M66" t="s">
        <v>41</v>
      </c>
      <c r="N66"/>
      <c r="O66" t="s">
        <v>496</v>
      </c>
      <c r="P66" t="s">
        <v>496</v>
      </c>
      <c r="Q66"/>
    </row>
    <row r="67" spans="1:17" x14ac:dyDescent="0.2">
      <c r="A67" t="s">
        <v>2401</v>
      </c>
      <c r="B67" t="s">
        <v>2402</v>
      </c>
      <c r="C67" t="s">
        <v>39</v>
      </c>
      <c r="D67" t="s">
        <v>453</v>
      </c>
      <c r="E67" t="s">
        <v>494</v>
      </c>
      <c r="F67" t="s">
        <v>443</v>
      </c>
      <c r="G67" t="s">
        <v>34</v>
      </c>
      <c r="H67" t="s">
        <v>2403</v>
      </c>
      <c r="I67" t="s">
        <v>2404</v>
      </c>
      <c r="J67" t="s">
        <v>459</v>
      </c>
      <c r="K67" t="s">
        <v>41</v>
      </c>
      <c r="L67" t="s">
        <v>138</v>
      </c>
      <c r="M67" t="s">
        <v>41</v>
      </c>
      <c r="N67"/>
      <c r="O67" t="s">
        <v>502</v>
      </c>
      <c r="P67" t="s">
        <v>521</v>
      </c>
      <c r="Q67"/>
    </row>
    <row r="68" spans="1:17" x14ac:dyDescent="0.2">
      <c r="A68" t="s">
        <v>2405</v>
      </c>
      <c r="B68" t="s">
        <v>2406</v>
      </c>
      <c r="C68" t="s">
        <v>39</v>
      </c>
      <c r="D68" t="s">
        <v>453</v>
      </c>
      <c r="E68" t="s">
        <v>494</v>
      </c>
      <c r="F68" t="s">
        <v>443</v>
      </c>
      <c r="G68" t="s">
        <v>34</v>
      </c>
      <c r="H68" t="s">
        <v>2407</v>
      </c>
      <c r="I68" t="s">
        <v>2404</v>
      </c>
      <c r="J68" t="s">
        <v>449</v>
      </c>
      <c r="K68" t="s">
        <v>41</v>
      </c>
      <c r="L68" t="s">
        <v>138</v>
      </c>
      <c r="M68" t="s">
        <v>41</v>
      </c>
      <c r="N68"/>
      <c r="O68" t="s">
        <v>502</v>
      </c>
      <c r="P68" t="s">
        <v>521</v>
      </c>
      <c r="Q68"/>
    </row>
    <row r="69" spans="1:17" x14ac:dyDescent="0.2">
      <c r="A69" t="s">
        <v>2408</v>
      </c>
      <c r="B69" t="s">
        <v>2409</v>
      </c>
      <c r="C69" t="s">
        <v>39</v>
      </c>
      <c r="D69" t="s">
        <v>453</v>
      </c>
      <c r="E69" t="s">
        <v>494</v>
      </c>
      <c r="F69" t="s">
        <v>443</v>
      </c>
      <c r="G69" t="s">
        <v>34</v>
      </c>
      <c r="H69" t="s">
        <v>2410</v>
      </c>
      <c r="I69" t="s">
        <v>2404</v>
      </c>
      <c r="J69" t="s">
        <v>459</v>
      </c>
      <c r="K69" t="s">
        <v>41</v>
      </c>
      <c r="L69" t="s">
        <v>138</v>
      </c>
      <c r="M69" t="s">
        <v>41</v>
      </c>
      <c r="N69"/>
      <c r="O69" t="s">
        <v>502</v>
      </c>
      <c r="P69" t="s">
        <v>521</v>
      </c>
      <c r="Q69"/>
    </row>
    <row r="70" spans="1:17" x14ac:dyDescent="0.2">
      <c r="A70" t="s">
        <v>2411</v>
      </c>
      <c r="B70" t="s">
        <v>2412</v>
      </c>
      <c r="C70" t="s">
        <v>39</v>
      </c>
      <c r="D70" t="s">
        <v>453</v>
      </c>
      <c r="E70" t="s">
        <v>1771</v>
      </c>
      <c r="F70" t="s">
        <v>443</v>
      </c>
      <c r="G70" t="s">
        <v>34</v>
      </c>
      <c r="H70" t="s">
        <v>1165</v>
      </c>
      <c r="I70" t="s">
        <v>2413</v>
      </c>
      <c r="J70" t="s">
        <v>459</v>
      </c>
      <c r="K70" t="s">
        <v>41</v>
      </c>
      <c r="L70" t="s">
        <v>477</v>
      </c>
      <c r="M70" t="s">
        <v>41</v>
      </c>
      <c r="N70"/>
      <c r="O70" t="s">
        <v>639</v>
      </c>
      <c r="P70" t="s">
        <v>530</v>
      </c>
      <c r="Q70"/>
    </row>
    <row r="71" spans="1:17" x14ac:dyDescent="0.2">
      <c r="A71" t="s">
        <v>2414</v>
      </c>
      <c r="B71" t="s">
        <v>2415</v>
      </c>
      <c r="C71" t="s">
        <v>39</v>
      </c>
      <c r="D71" t="s">
        <v>453</v>
      </c>
      <c r="E71" t="s">
        <v>749</v>
      </c>
      <c r="F71" t="s">
        <v>443</v>
      </c>
      <c r="G71" t="s">
        <v>34</v>
      </c>
      <c r="H71"/>
      <c r="I71" t="s">
        <v>1463</v>
      </c>
      <c r="J71" t="s">
        <v>449</v>
      </c>
      <c r="K71" t="s">
        <v>41</v>
      </c>
      <c r="L71" t="s">
        <v>504</v>
      </c>
      <c r="M71" t="s">
        <v>41</v>
      </c>
      <c r="N71"/>
      <c r="O71" t="s">
        <v>496</v>
      </c>
      <c r="P71" t="s">
        <v>496</v>
      </c>
      <c r="Q71"/>
    </row>
    <row r="72" spans="1:17" x14ac:dyDescent="0.2">
      <c r="A72" t="s">
        <v>2416</v>
      </c>
      <c r="B72" t="s">
        <v>2417</v>
      </c>
      <c r="C72" t="s">
        <v>39</v>
      </c>
      <c r="D72" t="s">
        <v>453</v>
      </c>
      <c r="E72" t="s">
        <v>494</v>
      </c>
      <c r="F72" t="s">
        <v>444</v>
      </c>
      <c r="G72" t="s">
        <v>2418</v>
      </c>
      <c r="H72"/>
      <c r="I72" t="s">
        <v>455</v>
      </c>
      <c r="J72" t="s">
        <v>459</v>
      </c>
      <c r="K72" t="s">
        <v>39</v>
      </c>
      <c r="L72" t="s">
        <v>286</v>
      </c>
      <c r="M72" t="s">
        <v>41</v>
      </c>
      <c r="N72"/>
      <c r="O72" t="s">
        <v>645</v>
      </c>
      <c r="P72" t="s">
        <v>521</v>
      </c>
      <c r="Q72"/>
    </row>
    <row r="73" spans="1:17" x14ac:dyDescent="0.2">
      <c r="A73" t="s">
        <v>2419</v>
      </c>
      <c r="B73" t="s">
        <v>2420</v>
      </c>
      <c r="C73" t="s">
        <v>39</v>
      </c>
      <c r="D73" t="s">
        <v>453</v>
      </c>
      <c r="E73" t="s">
        <v>585</v>
      </c>
      <c r="F73" t="s">
        <v>444</v>
      </c>
      <c r="G73" t="s">
        <v>68</v>
      </c>
      <c r="H73" t="s">
        <v>2421</v>
      </c>
      <c r="I73" t="s">
        <v>1913</v>
      </c>
      <c r="J73" t="s">
        <v>449</v>
      </c>
      <c r="K73" t="s">
        <v>41</v>
      </c>
      <c r="L73" t="s">
        <v>138</v>
      </c>
      <c r="M73" t="s">
        <v>41</v>
      </c>
      <c r="N73" t="s">
        <v>2422</v>
      </c>
      <c r="O73" t="s">
        <v>446</v>
      </c>
      <c r="P73" t="s">
        <v>445</v>
      </c>
      <c r="Q73"/>
    </row>
    <row r="74" spans="1:17" x14ac:dyDescent="0.2">
      <c r="A74" t="s">
        <v>2423</v>
      </c>
      <c r="B74" t="s">
        <v>2424</v>
      </c>
      <c r="C74" t="s">
        <v>39</v>
      </c>
      <c r="D74" t="s">
        <v>453</v>
      </c>
      <c r="E74" t="s">
        <v>749</v>
      </c>
      <c r="F74" t="s">
        <v>443</v>
      </c>
      <c r="G74" t="s">
        <v>34</v>
      </c>
      <c r="H74"/>
      <c r="I74" t="s">
        <v>2425</v>
      </c>
      <c r="J74" t="s">
        <v>40</v>
      </c>
      <c r="K74" t="s">
        <v>41</v>
      </c>
      <c r="L74" t="s">
        <v>504</v>
      </c>
      <c r="M74" t="s">
        <v>41</v>
      </c>
      <c r="N74"/>
      <c r="O74" t="s">
        <v>496</v>
      </c>
      <c r="P74" t="s">
        <v>496</v>
      </c>
      <c r="Q74"/>
    </row>
    <row r="75" spans="1:17" x14ac:dyDescent="0.2">
      <c r="A75" t="s">
        <v>2426</v>
      </c>
      <c r="B75" t="s">
        <v>2427</v>
      </c>
      <c r="C75" t="s">
        <v>39</v>
      </c>
      <c r="D75" t="s">
        <v>453</v>
      </c>
      <c r="E75" t="s">
        <v>494</v>
      </c>
      <c r="F75" t="s">
        <v>443</v>
      </c>
      <c r="G75" t="s">
        <v>34</v>
      </c>
      <c r="H75" t="s">
        <v>2428</v>
      </c>
      <c r="I75" t="s">
        <v>2429</v>
      </c>
      <c r="J75" t="s">
        <v>459</v>
      </c>
      <c r="K75" t="s">
        <v>41</v>
      </c>
      <c r="L75" t="s">
        <v>138</v>
      </c>
      <c r="M75" t="s">
        <v>41</v>
      </c>
      <c r="N75"/>
      <c r="O75" t="s">
        <v>639</v>
      </c>
      <c r="P75" t="s">
        <v>501</v>
      </c>
      <c r="Q75"/>
    </row>
    <row r="76" spans="1:17" x14ac:dyDescent="0.2">
      <c r="A76" t="s">
        <v>2430</v>
      </c>
      <c r="B76" t="s">
        <v>2431</v>
      </c>
      <c r="C76" t="s">
        <v>39</v>
      </c>
      <c r="D76" t="s">
        <v>453</v>
      </c>
      <c r="E76" t="s">
        <v>494</v>
      </c>
      <c r="F76" t="s">
        <v>444</v>
      </c>
      <c r="G76" t="s">
        <v>2432</v>
      </c>
      <c r="H76" t="s">
        <v>2433</v>
      </c>
      <c r="I76" t="s">
        <v>2434</v>
      </c>
      <c r="J76" t="s">
        <v>459</v>
      </c>
      <c r="K76" t="s">
        <v>41</v>
      </c>
      <c r="L76" t="s">
        <v>286</v>
      </c>
      <c r="M76" t="s">
        <v>41</v>
      </c>
      <c r="N76" t="s">
        <v>2435</v>
      </c>
      <c r="O76" t="s">
        <v>531</v>
      </c>
      <c r="P76" t="s">
        <v>467</v>
      </c>
      <c r="Q76" t="s">
        <v>511</v>
      </c>
    </row>
    <row r="77" spans="1:17" x14ac:dyDescent="0.2">
      <c r="A77" t="s">
        <v>2436</v>
      </c>
      <c r="B77" t="s">
        <v>2437</v>
      </c>
      <c r="C77" t="s">
        <v>39</v>
      </c>
      <c r="D77" t="s">
        <v>453</v>
      </c>
      <c r="E77" t="s">
        <v>470</v>
      </c>
      <c r="F77" t="s">
        <v>443</v>
      </c>
      <c r="G77" t="s">
        <v>34</v>
      </c>
      <c r="H77"/>
      <c r="I77" t="s">
        <v>1844</v>
      </c>
      <c r="J77" t="s">
        <v>40</v>
      </c>
      <c r="K77" t="s">
        <v>41</v>
      </c>
      <c r="L77" t="s">
        <v>477</v>
      </c>
      <c r="M77" t="s">
        <v>41</v>
      </c>
      <c r="N77"/>
      <c r="O77" t="s">
        <v>671</v>
      </c>
      <c r="P77" t="s">
        <v>2438</v>
      </c>
      <c r="Q77"/>
    </row>
    <row r="78" spans="1:17" x14ac:dyDescent="0.2">
      <c r="A78" t="s">
        <v>2439</v>
      </c>
      <c r="B78" t="s">
        <v>2440</v>
      </c>
      <c r="C78" t="s">
        <v>39</v>
      </c>
      <c r="D78" t="s">
        <v>453</v>
      </c>
      <c r="E78" t="s">
        <v>470</v>
      </c>
      <c r="F78" t="s">
        <v>444</v>
      </c>
      <c r="G78" t="s">
        <v>529</v>
      </c>
      <c r="H78"/>
      <c r="I78" t="s">
        <v>1858</v>
      </c>
      <c r="J78" t="s">
        <v>459</v>
      </c>
      <c r="K78" t="s">
        <v>41</v>
      </c>
      <c r="L78" t="s">
        <v>537</v>
      </c>
      <c r="M78" t="s">
        <v>41</v>
      </c>
      <c r="N78"/>
      <c r="O78" t="s">
        <v>531</v>
      </c>
      <c r="P78" t="s">
        <v>636</v>
      </c>
      <c r="Q78"/>
    </row>
    <row r="79" spans="1:17" x14ac:dyDescent="0.2">
      <c r="A79" t="s">
        <v>2441</v>
      </c>
      <c r="B79" t="s">
        <v>1756</v>
      </c>
      <c r="C79" t="s">
        <v>39</v>
      </c>
      <c r="D79" t="s">
        <v>453</v>
      </c>
      <c r="E79" t="s">
        <v>461</v>
      </c>
      <c r="F79" t="s">
        <v>444</v>
      </c>
      <c r="G79" t="s">
        <v>1757</v>
      </c>
      <c r="H79" t="s">
        <v>1758</v>
      </c>
      <c r="I79" t="s">
        <v>2442</v>
      </c>
      <c r="J79" t="s">
        <v>459</v>
      </c>
      <c r="K79" t="s">
        <v>39</v>
      </c>
      <c r="L79" t="s">
        <v>448</v>
      </c>
      <c r="M79" t="s">
        <v>41</v>
      </c>
      <c r="N79" t="s">
        <v>2443</v>
      </c>
      <c r="O79" t="s">
        <v>531</v>
      </c>
      <c r="P79" t="s">
        <v>491</v>
      </c>
      <c r="Q79"/>
    </row>
    <row r="80" spans="1:17" x14ac:dyDescent="0.2">
      <c r="A80" t="s">
        <v>2444</v>
      </c>
      <c r="B80" t="s">
        <v>1759</v>
      </c>
      <c r="C80" t="s">
        <v>39</v>
      </c>
      <c r="D80" t="s">
        <v>453</v>
      </c>
      <c r="E80" t="s">
        <v>461</v>
      </c>
      <c r="F80" t="s">
        <v>444</v>
      </c>
      <c r="G80" t="s">
        <v>1757</v>
      </c>
      <c r="H80" t="s">
        <v>1760</v>
      </c>
      <c r="I80" t="s">
        <v>2442</v>
      </c>
      <c r="J80" t="s">
        <v>459</v>
      </c>
      <c r="K80" t="s">
        <v>39</v>
      </c>
      <c r="L80" t="s">
        <v>138</v>
      </c>
      <c r="M80" t="s">
        <v>41</v>
      </c>
      <c r="N80" t="s">
        <v>2445</v>
      </c>
      <c r="O80" t="s">
        <v>531</v>
      </c>
      <c r="P80" t="s">
        <v>491</v>
      </c>
      <c r="Q80"/>
    </row>
    <row r="81" spans="1:17" x14ac:dyDescent="0.2">
      <c r="A81" t="s">
        <v>2446</v>
      </c>
      <c r="B81" t="s">
        <v>1763</v>
      </c>
      <c r="C81" t="s">
        <v>39</v>
      </c>
      <c r="D81" t="s">
        <v>453</v>
      </c>
      <c r="E81" t="s">
        <v>494</v>
      </c>
      <c r="F81" t="s">
        <v>444</v>
      </c>
      <c r="G81" t="s">
        <v>468</v>
      </c>
      <c r="H81" t="s">
        <v>1764</v>
      </c>
      <c r="I81" t="s">
        <v>2447</v>
      </c>
      <c r="J81" t="s">
        <v>449</v>
      </c>
      <c r="K81" t="s">
        <v>41</v>
      </c>
      <c r="L81" t="s">
        <v>477</v>
      </c>
      <c r="M81" t="s">
        <v>41</v>
      </c>
      <c r="N81"/>
      <c r="O81" t="s">
        <v>531</v>
      </c>
      <c r="P81" t="s">
        <v>525</v>
      </c>
      <c r="Q81"/>
    </row>
    <row r="82" spans="1:17" x14ac:dyDescent="0.2">
      <c r="A82" t="s">
        <v>2448</v>
      </c>
      <c r="B82" t="s">
        <v>1765</v>
      </c>
      <c r="C82" t="s">
        <v>39</v>
      </c>
      <c r="D82" t="s">
        <v>453</v>
      </c>
      <c r="E82" t="s">
        <v>494</v>
      </c>
      <c r="F82" t="s">
        <v>444</v>
      </c>
      <c r="G82" t="s">
        <v>529</v>
      </c>
      <c r="H82" t="s">
        <v>1766</v>
      </c>
      <c r="I82" t="s">
        <v>2442</v>
      </c>
      <c r="J82" t="s">
        <v>459</v>
      </c>
      <c r="K82" t="s">
        <v>41</v>
      </c>
      <c r="L82" t="s">
        <v>537</v>
      </c>
      <c r="M82" t="s">
        <v>41</v>
      </c>
      <c r="N82"/>
      <c r="O82" t="s">
        <v>531</v>
      </c>
      <c r="P82" t="s">
        <v>521</v>
      </c>
      <c r="Q82"/>
    </row>
    <row r="83" spans="1:17" x14ac:dyDescent="0.2">
      <c r="A83" t="s">
        <v>2449</v>
      </c>
      <c r="B83" t="s">
        <v>1767</v>
      </c>
      <c r="C83" t="s">
        <v>39</v>
      </c>
      <c r="D83" t="s">
        <v>453</v>
      </c>
      <c r="E83" t="s">
        <v>494</v>
      </c>
      <c r="F83" t="s">
        <v>444</v>
      </c>
      <c r="G83" t="s">
        <v>529</v>
      </c>
      <c r="H83" t="s">
        <v>1768</v>
      </c>
      <c r="I83" t="s">
        <v>1469</v>
      </c>
      <c r="J83" t="s">
        <v>449</v>
      </c>
      <c r="K83" t="s">
        <v>41</v>
      </c>
      <c r="L83" t="s">
        <v>484</v>
      </c>
      <c r="M83" t="s">
        <v>41</v>
      </c>
      <c r="N83"/>
      <c r="O83" t="s">
        <v>531</v>
      </c>
      <c r="P83" t="s">
        <v>521</v>
      </c>
      <c r="Q83"/>
    </row>
    <row r="84" spans="1:17" x14ac:dyDescent="0.2">
      <c r="A84" t="s">
        <v>2450</v>
      </c>
      <c r="B84" t="s">
        <v>1769</v>
      </c>
      <c r="C84" t="s">
        <v>39</v>
      </c>
      <c r="D84" t="s">
        <v>453</v>
      </c>
      <c r="E84" t="s">
        <v>494</v>
      </c>
      <c r="F84" t="s">
        <v>444</v>
      </c>
      <c r="G84" t="s">
        <v>529</v>
      </c>
      <c r="H84" t="s">
        <v>1770</v>
      </c>
      <c r="I84" t="s">
        <v>1469</v>
      </c>
      <c r="J84" t="s">
        <v>449</v>
      </c>
      <c r="K84" t="s">
        <v>41</v>
      </c>
      <c r="L84" t="s">
        <v>484</v>
      </c>
      <c r="M84" t="s">
        <v>41</v>
      </c>
      <c r="N84"/>
      <c r="O84" t="s">
        <v>531</v>
      </c>
      <c r="P84" t="s">
        <v>521</v>
      </c>
      <c r="Q84"/>
    </row>
    <row r="85" spans="1:17" x14ac:dyDescent="0.2">
      <c r="A85" t="s">
        <v>2451</v>
      </c>
      <c r="B85" t="s">
        <v>1773</v>
      </c>
      <c r="C85" t="s">
        <v>39</v>
      </c>
      <c r="D85" t="s">
        <v>453</v>
      </c>
      <c r="E85" t="s">
        <v>494</v>
      </c>
      <c r="F85" t="s">
        <v>443</v>
      </c>
      <c r="G85" t="s">
        <v>34</v>
      </c>
      <c r="H85" t="s">
        <v>2452</v>
      </c>
      <c r="I85" t="s">
        <v>1456</v>
      </c>
      <c r="J85" t="s">
        <v>449</v>
      </c>
      <c r="K85" t="s">
        <v>41</v>
      </c>
      <c r="L85" t="s">
        <v>286</v>
      </c>
      <c r="M85" t="s">
        <v>41</v>
      </c>
      <c r="N85"/>
      <c r="O85" t="s">
        <v>639</v>
      </c>
      <c r="P85" t="s">
        <v>501</v>
      </c>
      <c r="Q85"/>
    </row>
    <row r="86" spans="1:17" x14ac:dyDescent="0.2">
      <c r="A86" t="s">
        <v>2453</v>
      </c>
      <c r="B86" t="s">
        <v>1774</v>
      </c>
      <c r="C86" t="s">
        <v>39</v>
      </c>
      <c r="D86" t="s">
        <v>453</v>
      </c>
      <c r="E86" t="s">
        <v>494</v>
      </c>
      <c r="F86" t="s">
        <v>443</v>
      </c>
      <c r="G86" t="s">
        <v>34</v>
      </c>
      <c r="H86" t="s">
        <v>2454</v>
      </c>
      <c r="I86" t="s">
        <v>1465</v>
      </c>
      <c r="J86" t="s">
        <v>449</v>
      </c>
      <c r="K86" t="s">
        <v>41</v>
      </c>
      <c r="L86" t="s">
        <v>138</v>
      </c>
      <c r="M86" t="s">
        <v>41</v>
      </c>
      <c r="N86"/>
      <c r="O86" t="s">
        <v>446</v>
      </c>
      <c r="P86" t="s">
        <v>446</v>
      </c>
      <c r="Q86" t="s">
        <v>1775</v>
      </c>
    </row>
    <row r="87" spans="1:17" x14ac:dyDescent="0.2">
      <c r="A87" t="s">
        <v>2455</v>
      </c>
      <c r="B87" t="s">
        <v>1776</v>
      </c>
      <c r="C87" t="s">
        <v>39</v>
      </c>
      <c r="D87" t="s">
        <v>453</v>
      </c>
      <c r="E87" t="s">
        <v>494</v>
      </c>
      <c r="F87" t="s">
        <v>443</v>
      </c>
      <c r="G87" t="s">
        <v>34</v>
      </c>
      <c r="H87" t="s">
        <v>1777</v>
      </c>
      <c r="I87" t="s">
        <v>1886</v>
      </c>
      <c r="J87" t="s">
        <v>459</v>
      </c>
      <c r="K87" t="s">
        <v>41</v>
      </c>
      <c r="L87" t="s">
        <v>138</v>
      </c>
      <c r="M87" t="s">
        <v>41</v>
      </c>
      <c r="N87"/>
      <c r="O87" t="s">
        <v>639</v>
      </c>
      <c r="P87" t="s">
        <v>501</v>
      </c>
      <c r="Q87"/>
    </row>
    <row r="88" spans="1:17" x14ac:dyDescent="0.2">
      <c r="A88" t="s">
        <v>2456</v>
      </c>
      <c r="B88" t="s">
        <v>1778</v>
      </c>
      <c r="C88" t="s">
        <v>39</v>
      </c>
      <c r="D88" t="s">
        <v>453</v>
      </c>
      <c r="E88" t="s">
        <v>494</v>
      </c>
      <c r="F88" t="s">
        <v>444</v>
      </c>
      <c r="G88" t="s">
        <v>649</v>
      </c>
      <c r="H88" t="s">
        <v>2457</v>
      </c>
      <c r="I88" t="s">
        <v>2458</v>
      </c>
      <c r="J88" t="s">
        <v>449</v>
      </c>
      <c r="K88" t="s">
        <v>41</v>
      </c>
      <c r="L88" t="s">
        <v>448</v>
      </c>
      <c r="M88" t="s">
        <v>41</v>
      </c>
      <c r="N88"/>
      <c r="O88" t="s">
        <v>446</v>
      </c>
      <c r="P88" t="s">
        <v>482</v>
      </c>
      <c r="Q88" t="s">
        <v>456</v>
      </c>
    </row>
    <row r="89" spans="1:17" x14ac:dyDescent="0.2">
      <c r="A89" t="s">
        <v>2459</v>
      </c>
      <c r="B89" t="s">
        <v>1779</v>
      </c>
      <c r="C89" t="s">
        <v>39</v>
      </c>
      <c r="D89" t="s">
        <v>453</v>
      </c>
      <c r="E89" t="s">
        <v>494</v>
      </c>
      <c r="F89" t="s">
        <v>444</v>
      </c>
      <c r="G89" t="s">
        <v>510</v>
      </c>
      <c r="H89" t="s">
        <v>1780</v>
      </c>
      <c r="I89" t="s">
        <v>2460</v>
      </c>
      <c r="J89" t="s">
        <v>459</v>
      </c>
      <c r="K89" t="s">
        <v>41</v>
      </c>
      <c r="L89" t="s">
        <v>138</v>
      </c>
      <c r="M89" t="s">
        <v>41</v>
      </c>
      <c r="N89"/>
      <c r="O89" t="s">
        <v>531</v>
      </c>
      <c r="P89" t="s">
        <v>472</v>
      </c>
      <c r="Q89"/>
    </row>
    <row r="90" spans="1:17" x14ac:dyDescent="0.2">
      <c r="A90" t="s">
        <v>2461</v>
      </c>
      <c r="B90" t="s">
        <v>1781</v>
      </c>
      <c r="C90" t="s">
        <v>39</v>
      </c>
      <c r="D90" t="s">
        <v>453</v>
      </c>
      <c r="E90" t="s">
        <v>494</v>
      </c>
      <c r="F90" t="s">
        <v>444</v>
      </c>
      <c r="G90" t="s">
        <v>510</v>
      </c>
      <c r="H90" t="s">
        <v>1782</v>
      </c>
      <c r="I90" t="s">
        <v>2460</v>
      </c>
      <c r="J90" t="s">
        <v>459</v>
      </c>
      <c r="K90" t="s">
        <v>41</v>
      </c>
      <c r="L90" t="s">
        <v>138</v>
      </c>
      <c r="M90" t="s">
        <v>41</v>
      </c>
      <c r="N90"/>
      <c r="O90" t="s">
        <v>531</v>
      </c>
      <c r="P90" t="s">
        <v>472</v>
      </c>
      <c r="Q90"/>
    </row>
    <row r="91" spans="1:17" x14ac:dyDescent="0.2">
      <c r="A91" t="s">
        <v>2462</v>
      </c>
      <c r="B91" t="s">
        <v>1783</v>
      </c>
      <c r="C91" t="s">
        <v>39</v>
      </c>
      <c r="D91" t="s">
        <v>453</v>
      </c>
      <c r="E91" t="s">
        <v>494</v>
      </c>
      <c r="F91" t="s">
        <v>444</v>
      </c>
      <c r="G91" t="s">
        <v>510</v>
      </c>
      <c r="H91" t="s">
        <v>1784</v>
      </c>
      <c r="I91" t="s">
        <v>2460</v>
      </c>
      <c r="J91" t="s">
        <v>449</v>
      </c>
      <c r="K91" t="s">
        <v>41</v>
      </c>
      <c r="L91" t="s">
        <v>537</v>
      </c>
      <c r="M91" t="s">
        <v>41</v>
      </c>
      <c r="N91"/>
      <c r="O91" t="s">
        <v>531</v>
      </c>
      <c r="P91" t="s">
        <v>472</v>
      </c>
      <c r="Q91"/>
    </row>
    <row r="92" spans="1:17" x14ac:dyDescent="0.2">
      <c r="A92" t="s">
        <v>2463</v>
      </c>
      <c r="B92" t="s">
        <v>1785</v>
      </c>
      <c r="C92" t="s">
        <v>39</v>
      </c>
      <c r="D92" t="s">
        <v>453</v>
      </c>
      <c r="E92" t="s">
        <v>494</v>
      </c>
      <c r="F92" t="s">
        <v>443</v>
      </c>
      <c r="G92" t="s">
        <v>34</v>
      </c>
      <c r="H92" t="s">
        <v>1786</v>
      </c>
      <c r="I92" t="s">
        <v>1877</v>
      </c>
      <c r="J92" t="s">
        <v>459</v>
      </c>
      <c r="K92" t="s">
        <v>39</v>
      </c>
      <c r="L92" t="s">
        <v>138</v>
      </c>
      <c r="M92" t="s">
        <v>41</v>
      </c>
      <c r="N92"/>
      <c r="O92" t="s">
        <v>557</v>
      </c>
      <c r="P92" t="s">
        <v>2464</v>
      </c>
      <c r="Q92"/>
    </row>
    <row r="93" spans="1:17" x14ac:dyDescent="0.2">
      <c r="A93" t="s">
        <v>2465</v>
      </c>
      <c r="B93" t="s">
        <v>1787</v>
      </c>
      <c r="C93" t="s">
        <v>39</v>
      </c>
      <c r="D93" t="s">
        <v>453</v>
      </c>
      <c r="E93" t="s">
        <v>494</v>
      </c>
      <c r="F93" t="s">
        <v>443</v>
      </c>
      <c r="G93" t="s">
        <v>34</v>
      </c>
      <c r="H93" t="s">
        <v>1788</v>
      </c>
      <c r="I93" t="s">
        <v>2466</v>
      </c>
      <c r="J93" t="s">
        <v>449</v>
      </c>
      <c r="K93" t="s">
        <v>41</v>
      </c>
      <c r="L93" t="s">
        <v>138</v>
      </c>
      <c r="M93" t="s">
        <v>41</v>
      </c>
      <c r="N93"/>
      <c r="O93" t="s">
        <v>446</v>
      </c>
      <c r="P93" t="s">
        <v>445</v>
      </c>
      <c r="Q93"/>
    </row>
    <row r="94" spans="1:17" x14ac:dyDescent="0.2">
      <c r="A94" t="s">
        <v>2467</v>
      </c>
      <c r="B94" t="s">
        <v>1789</v>
      </c>
      <c r="C94" t="s">
        <v>39</v>
      </c>
      <c r="D94" t="s">
        <v>453</v>
      </c>
      <c r="E94" t="s">
        <v>494</v>
      </c>
      <c r="F94" t="s">
        <v>443</v>
      </c>
      <c r="G94" t="s">
        <v>34</v>
      </c>
      <c r="H94" t="s">
        <v>1790</v>
      </c>
      <c r="I94" t="s">
        <v>2468</v>
      </c>
      <c r="J94" t="s">
        <v>449</v>
      </c>
      <c r="K94" t="s">
        <v>41</v>
      </c>
      <c r="L94" t="s">
        <v>477</v>
      </c>
      <c r="M94" t="s">
        <v>41</v>
      </c>
      <c r="N94"/>
      <c r="O94" t="s">
        <v>639</v>
      </c>
      <c r="P94" t="s">
        <v>472</v>
      </c>
      <c r="Q94"/>
    </row>
    <row r="95" spans="1:17" x14ac:dyDescent="0.2">
      <c r="A95" t="s">
        <v>2469</v>
      </c>
      <c r="B95" t="s">
        <v>1791</v>
      </c>
      <c r="C95" t="s">
        <v>39</v>
      </c>
      <c r="D95" t="s">
        <v>453</v>
      </c>
      <c r="E95" t="s">
        <v>585</v>
      </c>
      <c r="F95" t="s">
        <v>444</v>
      </c>
      <c r="G95" t="s">
        <v>460</v>
      </c>
      <c r="H95" t="s">
        <v>2470</v>
      </c>
      <c r="I95" t="s">
        <v>2468</v>
      </c>
      <c r="J95" t="s">
        <v>449</v>
      </c>
      <c r="K95" t="s">
        <v>41</v>
      </c>
      <c r="L95" t="s">
        <v>138</v>
      </c>
      <c r="M95" t="s">
        <v>41</v>
      </c>
      <c r="N95" t="s">
        <v>1792</v>
      </c>
      <c r="O95" t="s">
        <v>446</v>
      </c>
      <c r="P95" t="s">
        <v>445</v>
      </c>
      <c r="Q95" t="s">
        <v>456</v>
      </c>
    </row>
    <row r="96" spans="1:17" x14ac:dyDescent="0.2">
      <c r="A96" t="s">
        <v>2471</v>
      </c>
      <c r="B96" t="s">
        <v>1793</v>
      </c>
      <c r="C96" t="s">
        <v>39</v>
      </c>
      <c r="D96" t="s">
        <v>453</v>
      </c>
      <c r="E96" t="s">
        <v>585</v>
      </c>
      <c r="F96" t="s">
        <v>444</v>
      </c>
      <c r="G96" t="s">
        <v>460</v>
      </c>
      <c r="H96" t="s">
        <v>2472</v>
      </c>
      <c r="I96" t="s">
        <v>2468</v>
      </c>
      <c r="J96" t="s">
        <v>449</v>
      </c>
      <c r="K96" t="s">
        <v>41</v>
      </c>
      <c r="L96" t="s">
        <v>138</v>
      </c>
      <c r="M96" t="s">
        <v>41</v>
      </c>
      <c r="N96" t="s">
        <v>1794</v>
      </c>
      <c r="O96" t="s">
        <v>446</v>
      </c>
      <c r="P96" t="s">
        <v>445</v>
      </c>
      <c r="Q96" t="s">
        <v>456</v>
      </c>
    </row>
    <row r="97" spans="1:17" x14ac:dyDescent="0.2">
      <c r="A97" t="s">
        <v>2473</v>
      </c>
      <c r="B97" t="s">
        <v>1795</v>
      </c>
      <c r="C97" t="s">
        <v>39</v>
      </c>
      <c r="D97" t="s">
        <v>453</v>
      </c>
      <c r="E97" t="s">
        <v>731</v>
      </c>
      <c r="F97" t="s">
        <v>443</v>
      </c>
      <c r="G97" t="s">
        <v>34</v>
      </c>
      <c r="H97" t="s">
        <v>2474</v>
      </c>
      <c r="I97" t="s">
        <v>1463</v>
      </c>
      <c r="J97" t="s">
        <v>449</v>
      </c>
      <c r="K97" t="s">
        <v>41</v>
      </c>
      <c r="L97" t="s">
        <v>477</v>
      </c>
      <c r="M97" t="s">
        <v>41</v>
      </c>
      <c r="N97"/>
      <c r="O97" t="s">
        <v>600</v>
      </c>
      <c r="P97" t="s">
        <v>523</v>
      </c>
      <c r="Q97"/>
    </row>
    <row r="98" spans="1:17" x14ac:dyDescent="0.2">
      <c r="A98" t="s">
        <v>2475</v>
      </c>
      <c r="B98" t="s">
        <v>1796</v>
      </c>
      <c r="C98" t="s">
        <v>39</v>
      </c>
      <c r="D98" t="s">
        <v>453</v>
      </c>
      <c r="E98" t="s">
        <v>731</v>
      </c>
      <c r="F98" t="s">
        <v>443</v>
      </c>
      <c r="G98" t="s">
        <v>34</v>
      </c>
      <c r="H98" t="s">
        <v>2476</v>
      </c>
      <c r="I98" t="s">
        <v>1463</v>
      </c>
      <c r="J98" t="s">
        <v>459</v>
      </c>
      <c r="K98" t="s">
        <v>41</v>
      </c>
      <c r="L98" t="s">
        <v>138</v>
      </c>
      <c r="M98" t="s">
        <v>41</v>
      </c>
      <c r="N98"/>
      <c r="O98" t="s">
        <v>600</v>
      </c>
      <c r="P98" t="s">
        <v>523</v>
      </c>
      <c r="Q98"/>
    </row>
    <row r="99" spans="1:17" x14ac:dyDescent="0.2">
      <c r="A99" t="s">
        <v>2477</v>
      </c>
      <c r="B99" t="s">
        <v>1797</v>
      </c>
      <c r="C99" t="s">
        <v>39</v>
      </c>
      <c r="D99" t="s">
        <v>453</v>
      </c>
      <c r="E99" t="s">
        <v>731</v>
      </c>
      <c r="F99" t="s">
        <v>443</v>
      </c>
      <c r="G99" t="s">
        <v>34</v>
      </c>
      <c r="H99" t="s">
        <v>2478</v>
      </c>
      <c r="I99" t="s">
        <v>1463</v>
      </c>
      <c r="J99" t="s">
        <v>459</v>
      </c>
      <c r="K99" t="s">
        <v>41</v>
      </c>
      <c r="L99" t="s">
        <v>138</v>
      </c>
      <c r="M99" t="s">
        <v>41</v>
      </c>
      <c r="N99"/>
      <c r="O99" t="s">
        <v>600</v>
      </c>
      <c r="P99" t="s">
        <v>523</v>
      </c>
      <c r="Q99"/>
    </row>
    <row r="100" spans="1:17" x14ac:dyDescent="0.2">
      <c r="A100" t="s">
        <v>2479</v>
      </c>
      <c r="B100" t="s">
        <v>1798</v>
      </c>
      <c r="C100" t="s">
        <v>39</v>
      </c>
      <c r="D100" t="s">
        <v>453</v>
      </c>
      <c r="E100" t="s">
        <v>731</v>
      </c>
      <c r="F100" t="s">
        <v>443</v>
      </c>
      <c r="G100" t="s">
        <v>34</v>
      </c>
      <c r="H100" t="s">
        <v>2480</v>
      </c>
      <c r="I100" t="s">
        <v>1463</v>
      </c>
      <c r="J100" t="s">
        <v>459</v>
      </c>
      <c r="K100" t="s">
        <v>41</v>
      </c>
      <c r="L100" t="s">
        <v>138</v>
      </c>
      <c r="M100" t="s">
        <v>41</v>
      </c>
      <c r="N100"/>
      <c r="O100" t="s">
        <v>600</v>
      </c>
      <c r="P100" t="s">
        <v>523</v>
      </c>
      <c r="Q100"/>
    </row>
    <row r="101" spans="1:17" x14ac:dyDescent="0.2">
      <c r="A101" t="s">
        <v>2481</v>
      </c>
      <c r="B101" t="s">
        <v>1799</v>
      </c>
      <c r="C101" t="s">
        <v>39</v>
      </c>
      <c r="D101" t="s">
        <v>453</v>
      </c>
      <c r="E101" t="s">
        <v>494</v>
      </c>
      <c r="F101" t="s">
        <v>443</v>
      </c>
      <c r="G101" t="s">
        <v>34</v>
      </c>
      <c r="H101" t="s">
        <v>2482</v>
      </c>
      <c r="I101" t="s">
        <v>1822</v>
      </c>
      <c r="J101" t="s">
        <v>449</v>
      </c>
      <c r="K101" t="s">
        <v>41</v>
      </c>
      <c r="L101" t="s">
        <v>2483</v>
      </c>
      <c r="M101" t="s">
        <v>41</v>
      </c>
      <c r="N101"/>
      <c r="O101" t="s">
        <v>557</v>
      </c>
      <c r="P101" t="s">
        <v>2484</v>
      </c>
      <c r="Q101"/>
    </row>
    <row r="102" spans="1:17" x14ac:dyDescent="0.2">
      <c r="A102" t="s">
        <v>2485</v>
      </c>
      <c r="B102" t="s">
        <v>1801</v>
      </c>
      <c r="C102" t="s">
        <v>39</v>
      </c>
      <c r="D102" t="s">
        <v>453</v>
      </c>
      <c r="E102" t="s">
        <v>494</v>
      </c>
      <c r="F102" t="s">
        <v>443</v>
      </c>
      <c r="G102" t="s">
        <v>34</v>
      </c>
      <c r="H102" t="s">
        <v>2486</v>
      </c>
      <c r="I102" t="s">
        <v>2487</v>
      </c>
      <c r="J102" t="s">
        <v>449</v>
      </c>
      <c r="K102" t="s">
        <v>41</v>
      </c>
      <c r="L102" t="s">
        <v>138</v>
      </c>
      <c r="M102" t="s">
        <v>41</v>
      </c>
      <c r="N102"/>
      <c r="O102" t="s">
        <v>557</v>
      </c>
      <c r="P102" t="s">
        <v>608</v>
      </c>
      <c r="Q102"/>
    </row>
    <row r="103" spans="1:17" x14ac:dyDescent="0.2">
      <c r="A103" t="s">
        <v>2488</v>
      </c>
      <c r="B103" t="s">
        <v>1802</v>
      </c>
      <c r="C103" t="s">
        <v>39</v>
      </c>
      <c r="D103" t="s">
        <v>453</v>
      </c>
      <c r="E103" t="s">
        <v>494</v>
      </c>
      <c r="F103" t="s">
        <v>443</v>
      </c>
      <c r="G103" t="s">
        <v>34</v>
      </c>
      <c r="H103" t="s">
        <v>2489</v>
      </c>
      <c r="I103" t="s">
        <v>2487</v>
      </c>
      <c r="J103" t="s">
        <v>459</v>
      </c>
      <c r="K103" t="s">
        <v>41</v>
      </c>
      <c r="L103" t="s">
        <v>448</v>
      </c>
      <c r="M103" t="s">
        <v>41</v>
      </c>
      <c r="N103"/>
      <c r="O103" t="s">
        <v>557</v>
      </c>
      <c r="P103" t="s">
        <v>608</v>
      </c>
      <c r="Q103"/>
    </row>
    <row r="104" spans="1:17" x14ac:dyDescent="0.2">
      <c r="A104" t="s">
        <v>2490</v>
      </c>
      <c r="B104" t="s">
        <v>1803</v>
      </c>
      <c r="C104" t="s">
        <v>39</v>
      </c>
      <c r="D104" t="s">
        <v>453</v>
      </c>
      <c r="E104" t="s">
        <v>494</v>
      </c>
      <c r="F104" t="s">
        <v>443</v>
      </c>
      <c r="G104" t="s">
        <v>34</v>
      </c>
      <c r="H104" t="s">
        <v>2491</v>
      </c>
      <c r="I104" t="s">
        <v>2487</v>
      </c>
      <c r="J104" t="s">
        <v>449</v>
      </c>
      <c r="K104" t="s">
        <v>41</v>
      </c>
      <c r="L104" t="s">
        <v>448</v>
      </c>
      <c r="M104" t="s">
        <v>41</v>
      </c>
      <c r="N104"/>
      <c r="O104" t="s">
        <v>557</v>
      </c>
      <c r="P104" t="s">
        <v>608</v>
      </c>
      <c r="Q104"/>
    </row>
    <row r="105" spans="1:17" x14ac:dyDescent="0.2">
      <c r="A105" t="s">
        <v>2492</v>
      </c>
      <c r="B105" t="s">
        <v>1804</v>
      </c>
      <c r="C105" t="s">
        <v>39</v>
      </c>
      <c r="D105" t="s">
        <v>453</v>
      </c>
      <c r="E105" t="s">
        <v>494</v>
      </c>
      <c r="F105" t="s">
        <v>443</v>
      </c>
      <c r="G105" t="s">
        <v>34</v>
      </c>
      <c r="H105" t="s">
        <v>2493</v>
      </c>
      <c r="I105" t="s">
        <v>2487</v>
      </c>
      <c r="J105" t="s">
        <v>459</v>
      </c>
      <c r="K105" t="s">
        <v>41</v>
      </c>
      <c r="L105" t="s">
        <v>448</v>
      </c>
      <c r="M105" t="s">
        <v>41</v>
      </c>
      <c r="N105"/>
      <c r="O105" t="s">
        <v>557</v>
      </c>
      <c r="P105" t="s">
        <v>608</v>
      </c>
      <c r="Q105"/>
    </row>
    <row r="106" spans="1:17" x14ac:dyDescent="0.2">
      <c r="A106" t="s">
        <v>2494</v>
      </c>
      <c r="B106" t="s">
        <v>1805</v>
      </c>
      <c r="C106" t="s">
        <v>39</v>
      </c>
      <c r="D106" t="s">
        <v>453</v>
      </c>
      <c r="E106" t="s">
        <v>494</v>
      </c>
      <c r="F106" t="s">
        <v>443</v>
      </c>
      <c r="G106" t="s">
        <v>34</v>
      </c>
      <c r="H106" t="s">
        <v>2351</v>
      </c>
      <c r="I106" t="s">
        <v>2487</v>
      </c>
      <c r="J106" t="s">
        <v>449</v>
      </c>
      <c r="K106" t="s">
        <v>41</v>
      </c>
      <c r="L106" t="s">
        <v>448</v>
      </c>
      <c r="M106" t="s">
        <v>41</v>
      </c>
      <c r="N106"/>
      <c r="O106" t="s">
        <v>557</v>
      </c>
      <c r="P106" t="s">
        <v>608</v>
      </c>
      <c r="Q106"/>
    </row>
    <row r="107" spans="1:17" x14ac:dyDescent="0.2">
      <c r="A107" t="s">
        <v>2495</v>
      </c>
      <c r="B107" t="s">
        <v>1806</v>
      </c>
      <c r="C107" t="s">
        <v>455</v>
      </c>
      <c r="D107" t="s">
        <v>453</v>
      </c>
      <c r="E107" t="s">
        <v>470</v>
      </c>
      <c r="F107" t="s">
        <v>444</v>
      </c>
      <c r="G107" t="s">
        <v>451</v>
      </c>
      <c r="H107"/>
      <c r="I107" t="s">
        <v>2496</v>
      </c>
      <c r="J107" t="s">
        <v>449</v>
      </c>
      <c r="K107" t="s">
        <v>41</v>
      </c>
      <c r="L107" t="s">
        <v>448</v>
      </c>
      <c r="M107" t="s">
        <v>41</v>
      </c>
      <c r="N107"/>
      <c r="O107" t="s">
        <v>832</v>
      </c>
      <c r="P107" t="s">
        <v>475</v>
      </c>
      <c r="Q107"/>
    </row>
    <row r="108" spans="1:17" x14ac:dyDescent="0.2">
      <c r="A108" t="s">
        <v>2497</v>
      </c>
      <c r="B108" t="s">
        <v>1808</v>
      </c>
      <c r="C108" t="s">
        <v>39</v>
      </c>
      <c r="D108" t="s">
        <v>453</v>
      </c>
      <c r="E108" t="s">
        <v>494</v>
      </c>
      <c r="F108" t="s">
        <v>444</v>
      </c>
      <c r="G108" t="s">
        <v>451</v>
      </c>
      <c r="H108" t="s">
        <v>1809</v>
      </c>
      <c r="I108" t="s">
        <v>2498</v>
      </c>
      <c r="J108" t="s">
        <v>449</v>
      </c>
      <c r="K108" t="s">
        <v>41</v>
      </c>
      <c r="L108" t="s">
        <v>138</v>
      </c>
      <c r="M108" t="s">
        <v>41</v>
      </c>
      <c r="N108"/>
      <c r="O108" t="s">
        <v>737</v>
      </c>
      <c r="P108" t="s">
        <v>737</v>
      </c>
      <c r="Q108"/>
    </row>
    <row r="109" spans="1:17" x14ac:dyDescent="0.2">
      <c r="A109" t="s">
        <v>2499</v>
      </c>
      <c r="B109" t="s">
        <v>1810</v>
      </c>
      <c r="C109" t="s">
        <v>39</v>
      </c>
      <c r="D109" t="s">
        <v>453</v>
      </c>
      <c r="E109" t="s">
        <v>585</v>
      </c>
      <c r="F109" t="s">
        <v>443</v>
      </c>
      <c r="G109" t="s">
        <v>34</v>
      </c>
      <c r="H109" t="s">
        <v>1811</v>
      </c>
      <c r="I109" t="s">
        <v>1464</v>
      </c>
      <c r="J109" t="s">
        <v>40</v>
      </c>
      <c r="K109" t="s">
        <v>41</v>
      </c>
      <c r="L109" t="s">
        <v>138</v>
      </c>
      <c r="M109" t="s">
        <v>41</v>
      </c>
      <c r="N109"/>
      <c r="O109" t="s">
        <v>446</v>
      </c>
      <c r="P109" t="s">
        <v>445</v>
      </c>
      <c r="Q109"/>
    </row>
    <row r="110" spans="1:17" x14ac:dyDescent="0.2">
      <c r="A110" t="s">
        <v>2500</v>
      </c>
      <c r="B110" t="s">
        <v>1812</v>
      </c>
      <c r="C110" t="s">
        <v>39</v>
      </c>
      <c r="D110" t="s">
        <v>453</v>
      </c>
      <c r="E110" t="s">
        <v>494</v>
      </c>
      <c r="F110" t="s">
        <v>444</v>
      </c>
      <c r="G110" t="s">
        <v>451</v>
      </c>
      <c r="H110" t="s">
        <v>1813</v>
      </c>
      <c r="I110" t="s">
        <v>1460</v>
      </c>
      <c r="J110" t="s">
        <v>449</v>
      </c>
      <c r="K110" t="s">
        <v>41</v>
      </c>
      <c r="L110" t="s">
        <v>138</v>
      </c>
      <c r="M110" t="s">
        <v>41</v>
      </c>
      <c r="N110"/>
      <c r="O110" t="s">
        <v>531</v>
      </c>
      <c r="P110" t="s">
        <v>509</v>
      </c>
      <c r="Q110" t="s">
        <v>735</v>
      </c>
    </row>
    <row r="111" spans="1:17" x14ac:dyDescent="0.2">
      <c r="A111" t="s">
        <v>2501</v>
      </c>
      <c r="B111" t="s">
        <v>1814</v>
      </c>
      <c r="C111" t="s">
        <v>39</v>
      </c>
      <c r="D111" t="s">
        <v>453</v>
      </c>
      <c r="E111" t="s">
        <v>585</v>
      </c>
      <c r="F111" t="s">
        <v>443</v>
      </c>
      <c r="G111" t="s">
        <v>34</v>
      </c>
      <c r="H111" t="s">
        <v>2502</v>
      </c>
      <c r="I111" t="s">
        <v>1465</v>
      </c>
      <c r="J111" t="s">
        <v>459</v>
      </c>
      <c r="K111" t="s">
        <v>41</v>
      </c>
      <c r="L111" t="s">
        <v>138</v>
      </c>
      <c r="M111" t="s">
        <v>41</v>
      </c>
      <c r="N111"/>
      <c r="O111" t="s">
        <v>446</v>
      </c>
      <c r="P111" t="s">
        <v>445</v>
      </c>
      <c r="Q111"/>
    </row>
    <row r="112" spans="1:17" x14ac:dyDescent="0.2">
      <c r="A112" t="s">
        <v>2503</v>
      </c>
      <c r="B112" t="s">
        <v>1815</v>
      </c>
      <c r="C112" t="s">
        <v>39</v>
      </c>
      <c r="D112" t="s">
        <v>453</v>
      </c>
      <c r="E112" t="s">
        <v>494</v>
      </c>
      <c r="F112" t="s">
        <v>443</v>
      </c>
      <c r="G112" t="s">
        <v>34</v>
      </c>
      <c r="H112" t="s">
        <v>1816</v>
      </c>
      <c r="I112" t="s">
        <v>2504</v>
      </c>
      <c r="J112" t="s">
        <v>449</v>
      </c>
      <c r="K112" t="s">
        <v>41</v>
      </c>
      <c r="L112" t="s">
        <v>138</v>
      </c>
      <c r="M112" t="s">
        <v>41</v>
      </c>
      <c r="N112"/>
      <c r="O112" t="s">
        <v>639</v>
      </c>
      <c r="P112" t="s">
        <v>630</v>
      </c>
      <c r="Q112"/>
    </row>
    <row r="113" spans="1:17" x14ac:dyDescent="0.2">
      <c r="A113" t="s">
        <v>2505</v>
      </c>
      <c r="B113" t="s">
        <v>1817</v>
      </c>
      <c r="C113" t="s">
        <v>39</v>
      </c>
      <c r="D113" t="s">
        <v>453</v>
      </c>
      <c r="E113" t="s">
        <v>494</v>
      </c>
      <c r="F113" t="s">
        <v>443</v>
      </c>
      <c r="G113" t="s">
        <v>34</v>
      </c>
      <c r="H113" t="s">
        <v>2506</v>
      </c>
      <c r="I113" t="s">
        <v>2507</v>
      </c>
      <c r="J113" t="s">
        <v>449</v>
      </c>
      <c r="K113" t="s">
        <v>41</v>
      </c>
      <c r="L113" t="s">
        <v>138</v>
      </c>
      <c r="M113" t="s">
        <v>41</v>
      </c>
      <c r="N113"/>
      <c r="O113" t="s">
        <v>671</v>
      </c>
      <c r="P113" t="s">
        <v>2508</v>
      </c>
      <c r="Q113"/>
    </row>
    <row r="114" spans="1:17" x14ac:dyDescent="0.2">
      <c r="A114" t="s">
        <v>2509</v>
      </c>
      <c r="B114" t="s">
        <v>1818</v>
      </c>
      <c r="C114" t="s">
        <v>39</v>
      </c>
      <c r="D114" t="s">
        <v>453</v>
      </c>
      <c r="E114" t="s">
        <v>494</v>
      </c>
      <c r="F114" t="s">
        <v>443</v>
      </c>
      <c r="G114" t="s">
        <v>34</v>
      </c>
      <c r="H114" t="s">
        <v>1819</v>
      </c>
      <c r="I114" t="s">
        <v>2504</v>
      </c>
      <c r="J114" t="s">
        <v>459</v>
      </c>
      <c r="K114" t="s">
        <v>39</v>
      </c>
      <c r="L114" t="s">
        <v>504</v>
      </c>
      <c r="M114" t="s">
        <v>41</v>
      </c>
      <c r="N114"/>
      <c r="O114" t="s">
        <v>639</v>
      </c>
      <c r="P114" t="s">
        <v>525</v>
      </c>
      <c r="Q114"/>
    </row>
    <row r="115" spans="1:17" x14ac:dyDescent="0.2">
      <c r="A115" t="s">
        <v>2510</v>
      </c>
      <c r="B115" t="s">
        <v>1820</v>
      </c>
      <c r="C115" t="s">
        <v>39</v>
      </c>
      <c r="D115" t="s">
        <v>453</v>
      </c>
      <c r="E115" t="s">
        <v>749</v>
      </c>
      <c r="F115" t="s">
        <v>443</v>
      </c>
      <c r="G115" t="s">
        <v>34</v>
      </c>
      <c r="H115" t="s">
        <v>1821</v>
      </c>
      <c r="I115" t="s">
        <v>2511</v>
      </c>
      <c r="J115" t="s">
        <v>449</v>
      </c>
      <c r="K115" t="s">
        <v>39</v>
      </c>
      <c r="L115" t="s">
        <v>477</v>
      </c>
      <c r="M115" t="s">
        <v>41</v>
      </c>
      <c r="N115"/>
      <c r="O115" t="s">
        <v>639</v>
      </c>
      <c r="P115" t="s">
        <v>525</v>
      </c>
      <c r="Q115"/>
    </row>
    <row r="116" spans="1:17" x14ac:dyDescent="0.2">
      <c r="A116" t="s">
        <v>2512</v>
      </c>
      <c r="B116" t="s">
        <v>1823</v>
      </c>
      <c r="C116" t="s">
        <v>39</v>
      </c>
      <c r="D116" t="s">
        <v>453</v>
      </c>
      <c r="E116" t="s">
        <v>494</v>
      </c>
      <c r="F116" t="s">
        <v>444</v>
      </c>
      <c r="G116" t="s">
        <v>529</v>
      </c>
      <c r="H116" t="s">
        <v>1824</v>
      </c>
      <c r="I116" t="s">
        <v>2513</v>
      </c>
      <c r="J116" t="s">
        <v>449</v>
      </c>
      <c r="K116" t="s">
        <v>41</v>
      </c>
      <c r="L116" t="s">
        <v>138</v>
      </c>
      <c r="M116" t="s">
        <v>41</v>
      </c>
      <c r="N116"/>
      <c r="O116" t="s">
        <v>531</v>
      </c>
      <c r="P116" t="s">
        <v>523</v>
      </c>
      <c r="Q116" t="s">
        <v>471</v>
      </c>
    </row>
    <row r="117" spans="1:17" x14ac:dyDescent="0.2">
      <c r="A117" t="s">
        <v>2514</v>
      </c>
      <c r="B117" t="s">
        <v>1826</v>
      </c>
      <c r="C117" t="s">
        <v>39</v>
      </c>
      <c r="D117" t="s">
        <v>453</v>
      </c>
      <c r="E117" t="s">
        <v>461</v>
      </c>
      <c r="F117" t="s">
        <v>444</v>
      </c>
      <c r="G117" t="s">
        <v>746</v>
      </c>
      <c r="H117" t="s">
        <v>1827</v>
      </c>
      <c r="I117" t="s">
        <v>2515</v>
      </c>
      <c r="J117" t="s">
        <v>459</v>
      </c>
      <c r="K117" t="s">
        <v>39</v>
      </c>
      <c r="L117" t="s">
        <v>744</v>
      </c>
      <c r="M117" t="s">
        <v>41</v>
      </c>
      <c r="N117"/>
      <c r="O117" t="s">
        <v>446</v>
      </c>
      <c r="P117" t="s">
        <v>482</v>
      </c>
      <c r="Q117" t="s">
        <v>716</v>
      </c>
    </row>
    <row r="118" spans="1:17" x14ac:dyDescent="0.2">
      <c r="A118" t="s">
        <v>2516</v>
      </c>
      <c r="B118" t="s">
        <v>1828</v>
      </c>
      <c r="C118" t="s">
        <v>39</v>
      </c>
      <c r="D118" t="s">
        <v>453</v>
      </c>
      <c r="E118" t="s">
        <v>585</v>
      </c>
      <c r="F118" t="s">
        <v>444</v>
      </c>
      <c r="G118" t="s">
        <v>535</v>
      </c>
      <c r="H118" t="s">
        <v>2517</v>
      </c>
      <c r="I118" t="s">
        <v>2518</v>
      </c>
      <c r="J118" t="s">
        <v>449</v>
      </c>
      <c r="K118" t="s">
        <v>41</v>
      </c>
      <c r="L118" t="s">
        <v>112</v>
      </c>
      <c r="M118" t="s">
        <v>41</v>
      </c>
      <c r="N118" t="s">
        <v>2519</v>
      </c>
      <c r="O118" t="s">
        <v>446</v>
      </c>
      <c r="P118" t="s">
        <v>445</v>
      </c>
      <c r="Q118" t="s">
        <v>456</v>
      </c>
    </row>
    <row r="119" spans="1:17" x14ac:dyDescent="0.2">
      <c r="A119" t="s">
        <v>2520</v>
      </c>
      <c r="B119" t="s">
        <v>1829</v>
      </c>
      <c r="C119" t="s">
        <v>39</v>
      </c>
      <c r="D119" t="s">
        <v>453</v>
      </c>
      <c r="E119" t="s">
        <v>494</v>
      </c>
      <c r="F119" t="s">
        <v>444</v>
      </c>
      <c r="G119" t="s">
        <v>535</v>
      </c>
      <c r="H119" t="s">
        <v>1830</v>
      </c>
      <c r="I119" t="s">
        <v>2521</v>
      </c>
      <c r="J119" t="s">
        <v>459</v>
      </c>
      <c r="K119" t="s">
        <v>41</v>
      </c>
      <c r="L119" t="s">
        <v>112</v>
      </c>
      <c r="M119" t="s">
        <v>41</v>
      </c>
      <c r="N119"/>
      <c r="O119" t="s">
        <v>531</v>
      </c>
      <c r="P119" t="s">
        <v>2522</v>
      </c>
      <c r="Q119"/>
    </row>
    <row r="120" spans="1:17" x14ac:dyDescent="0.2">
      <c r="A120" t="s">
        <v>2523</v>
      </c>
      <c r="B120" t="s">
        <v>1831</v>
      </c>
      <c r="C120" t="s">
        <v>39</v>
      </c>
      <c r="D120" t="s">
        <v>453</v>
      </c>
      <c r="E120" t="s">
        <v>461</v>
      </c>
      <c r="F120" t="s">
        <v>444</v>
      </c>
      <c r="G120" t="s">
        <v>535</v>
      </c>
      <c r="H120" t="s">
        <v>1832</v>
      </c>
      <c r="I120" t="s">
        <v>2521</v>
      </c>
      <c r="J120" t="s">
        <v>459</v>
      </c>
      <c r="K120" t="s">
        <v>39</v>
      </c>
      <c r="L120" t="s">
        <v>112</v>
      </c>
      <c r="M120" t="s">
        <v>41</v>
      </c>
      <c r="N120" t="s">
        <v>2524</v>
      </c>
      <c r="O120" t="s">
        <v>737</v>
      </c>
      <c r="P120" t="s">
        <v>737</v>
      </c>
      <c r="Q120"/>
    </row>
    <row r="121" spans="1:17" x14ac:dyDescent="0.2">
      <c r="A121" t="s">
        <v>2525</v>
      </c>
      <c r="B121" t="s">
        <v>1833</v>
      </c>
      <c r="C121" t="s">
        <v>39</v>
      </c>
      <c r="D121" t="s">
        <v>453</v>
      </c>
      <c r="E121" t="s">
        <v>852</v>
      </c>
      <c r="F121" t="s">
        <v>443</v>
      </c>
      <c r="G121" t="s">
        <v>34</v>
      </c>
      <c r="H121" t="s">
        <v>1834</v>
      </c>
      <c r="I121" t="s">
        <v>2526</v>
      </c>
      <c r="J121" t="s">
        <v>449</v>
      </c>
      <c r="K121" t="s">
        <v>41</v>
      </c>
      <c r="L121" t="s">
        <v>477</v>
      </c>
      <c r="M121" t="s">
        <v>41</v>
      </c>
      <c r="N121" t="s">
        <v>1835</v>
      </c>
      <c r="O121" t="s">
        <v>600</v>
      </c>
      <c r="P121" t="s">
        <v>509</v>
      </c>
      <c r="Q121"/>
    </row>
    <row r="122" spans="1:17" x14ac:dyDescent="0.2">
      <c r="A122" t="s">
        <v>2527</v>
      </c>
      <c r="B122" t="s">
        <v>1836</v>
      </c>
      <c r="C122" t="s">
        <v>39</v>
      </c>
      <c r="D122" t="s">
        <v>453</v>
      </c>
      <c r="E122" t="s">
        <v>494</v>
      </c>
      <c r="F122" t="s">
        <v>443</v>
      </c>
      <c r="G122" t="s">
        <v>34</v>
      </c>
      <c r="H122" t="s">
        <v>2528</v>
      </c>
      <c r="I122" t="s">
        <v>2529</v>
      </c>
      <c r="J122" t="s">
        <v>449</v>
      </c>
      <c r="K122" t="s">
        <v>41</v>
      </c>
      <c r="L122" t="s">
        <v>477</v>
      </c>
      <c r="M122" t="s">
        <v>41</v>
      </c>
      <c r="N122"/>
      <c r="O122" t="s">
        <v>557</v>
      </c>
      <c r="P122" t="s">
        <v>648</v>
      </c>
      <c r="Q122"/>
    </row>
    <row r="123" spans="1:17" x14ac:dyDescent="0.2">
      <c r="A123" t="s">
        <v>2530</v>
      </c>
      <c r="B123" t="s">
        <v>1838</v>
      </c>
      <c r="C123" t="s">
        <v>39</v>
      </c>
      <c r="D123" t="s">
        <v>453</v>
      </c>
      <c r="E123" t="s">
        <v>494</v>
      </c>
      <c r="F123" t="s">
        <v>443</v>
      </c>
      <c r="G123" t="s">
        <v>34</v>
      </c>
      <c r="H123" t="s">
        <v>2531</v>
      </c>
      <c r="I123" t="s">
        <v>2529</v>
      </c>
      <c r="J123" t="s">
        <v>459</v>
      </c>
      <c r="K123" t="s">
        <v>41</v>
      </c>
      <c r="L123" t="s">
        <v>477</v>
      </c>
      <c r="M123" t="s">
        <v>41</v>
      </c>
      <c r="N123"/>
      <c r="O123" t="s">
        <v>557</v>
      </c>
      <c r="P123" t="s">
        <v>648</v>
      </c>
      <c r="Q123"/>
    </row>
    <row r="124" spans="1:17" x14ac:dyDescent="0.2">
      <c r="A124" t="s">
        <v>2532</v>
      </c>
      <c r="B124" t="s">
        <v>1839</v>
      </c>
      <c r="C124" t="s">
        <v>39</v>
      </c>
      <c r="D124" t="s">
        <v>453</v>
      </c>
      <c r="E124" t="s">
        <v>585</v>
      </c>
      <c r="F124" t="s">
        <v>443</v>
      </c>
      <c r="G124" t="s">
        <v>34</v>
      </c>
      <c r="H124" t="s">
        <v>2533</v>
      </c>
      <c r="I124" t="s">
        <v>2529</v>
      </c>
      <c r="J124" t="s">
        <v>449</v>
      </c>
      <c r="K124" t="s">
        <v>41</v>
      </c>
      <c r="L124" t="s">
        <v>477</v>
      </c>
      <c r="M124" t="s">
        <v>41</v>
      </c>
      <c r="N124"/>
      <c r="O124" t="s">
        <v>446</v>
      </c>
      <c r="P124" t="s">
        <v>445</v>
      </c>
      <c r="Q124"/>
    </row>
    <row r="125" spans="1:17" x14ac:dyDescent="0.2">
      <c r="A125" t="s">
        <v>2534</v>
      </c>
      <c r="B125" t="s">
        <v>1840</v>
      </c>
      <c r="C125" t="s">
        <v>39</v>
      </c>
      <c r="D125" t="s">
        <v>453</v>
      </c>
      <c r="E125" t="s">
        <v>494</v>
      </c>
      <c r="F125" t="s">
        <v>443</v>
      </c>
      <c r="G125" t="s">
        <v>34</v>
      </c>
      <c r="H125" t="s">
        <v>1824</v>
      </c>
      <c r="I125" t="s">
        <v>2529</v>
      </c>
      <c r="J125" t="s">
        <v>449</v>
      </c>
      <c r="K125" t="s">
        <v>41</v>
      </c>
      <c r="L125" t="s">
        <v>477</v>
      </c>
      <c r="M125" t="s">
        <v>41</v>
      </c>
      <c r="N125"/>
      <c r="O125" t="s">
        <v>557</v>
      </c>
      <c r="P125" t="s">
        <v>648</v>
      </c>
      <c r="Q125"/>
    </row>
    <row r="126" spans="1:17" x14ac:dyDescent="0.2">
      <c r="A126" t="s">
        <v>2535</v>
      </c>
      <c r="B126" t="s">
        <v>1841</v>
      </c>
      <c r="C126" t="s">
        <v>39</v>
      </c>
      <c r="D126" t="s">
        <v>453</v>
      </c>
      <c r="E126" t="s">
        <v>494</v>
      </c>
      <c r="F126" t="s">
        <v>443</v>
      </c>
      <c r="G126" t="s">
        <v>34</v>
      </c>
      <c r="H126" t="s">
        <v>2536</v>
      </c>
      <c r="I126" t="s">
        <v>2529</v>
      </c>
      <c r="J126" t="s">
        <v>459</v>
      </c>
      <c r="K126" t="s">
        <v>41</v>
      </c>
      <c r="L126" t="s">
        <v>504</v>
      </c>
      <c r="M126" t="s">
        <v>41</v>
      </c>
      <c r="N126"/>
      <c r="O126" t="s">
        <v>557</v>
      </c>
      <c r="P126" t="s">
        <v>648</v>
      </c>
      <c r="Q126"/>
    </row>
    <row r="127" spans="1:17" x14ac:dyDescent="0.2">
      <c r="A127" t="s">
        <v>2537</v>
      </c>
      <c r="B127" t="s">
        <v>1842</v>
      </c>
      <c r="C127" t="s">
        <v>39</v>
      </c>
      <c r="D127" t="s">
        <v>453</v>
      </c>
      <c r="E127" t="s">
        <v>494</v>
      </c>
      <c r="F127" t="s">
        <v>443</v>
      </c>
      <c r="G127" t="s">
        <v>34</v>
      </c>
      <c r="H127" t="s">
        <v>2538</v>
      </c>
      <c r="I127" t="s">
        <v>2529</v>
      </c>
      <c r="J127" t="s">
        <v>459</v>
      </c>
      <c r="K127" t="s">
        <v>41</v>
      </c>
      <c r="L127" t="s">
        <v>504</v>
      </c>
      <c r="M127" t="s">
        <v>41</v>
      </c>
      <c r="N127"/>
      <c r="O127" t="s">
        <v>557</v>
      </c>
      <c r="P127" t="s">
        <v>648</v>
      </c>
      <c r="Q127"/>
    </row>
    <row r="128" spans="1:17" x14ac:dyDescent="0.2">
      <c r="A128" t="s">
        <v>2539</v>
      </c>
      <c r="B128" t="s">
        <v>1843</v>
      </c>
      <c r="C128" t="s">
        <v>39</v>
      </c>
      <c r="D128" t="s">
        <v>453</v>
      </c>
      <c r="E128" t="s">
        <v>494</v>
      </c>
      <c r="F128" t="s">
        <v>443</v>
      </c>
      <c r="G128" t="s">
        <v>34</v>
      </c>
      <c r="H128" t="s">
        <v>2540</v>
      </c>
      <c r="I128" t="s">
        <v>2541</v>
      </c>
      <c r="J128" t="s">
        <v>449</v>
      </c>
      <c r="K128" t="s">
        <v>41</v>
      </c>
      <c r="L128" t="s">
        <v>477</v>
      </c>
      <c r="M128" t="s">
        <v>41</v>
      </c>
      <c r="N128"/>
      <c r="O128" t="s">
        <v>502</v>
      </c>
      <c r="P128" t="s">
        <v>501</v>
      </c>
      <c r="Q128"/>
    </row>
    <row r="129" spans="1:17" x14ac:dyDescent="0.2">
      <c r="A129" t="s">
        <v>2542</v>
      </c>
      <c r="B129" t="s">
        <v>1845</v>
      </c>
      <c r="C129" t="s">
        <v>39</v>
      </c>
      <c r="D129" t="s">
        <v>453</v>
      </c>
      <c r="E129" t="s">
        <v>749</v>
      </c>
      <c r="F129" t="s">
        <v>443</v>
      </c>
      <c r="G129" t="s">
        <v>34</v>
      </c>
      <c r="H129" t="s">
        <v>2543</v>
      </c>
      <c r="I129" t="s">
        <v>2541</v>
      </c>
      <c r="J129" t="s">
        <v>449</v>
      </c>
      <c r="K129" t="s">
        <v>39</v>
      </c>
      <c r="L129" t="s">
        <v>477</v>
      </c>
      <c r="M129" t="s">
        <v>41</v>
      </c>
      <c r="N129"/>
      <c r="O129" t="s">
        <v>671</v>
      </c>
      <c r="P129" t="s">
        <v>2544</v>
      </c>
      <c r="Q129"/>
    </row>
    <row r="130" spans="1:17" x14ac:dyDescent="0.2">
      <c r="A130" t="s">
        <v>2545</v>
      </c>
      <c r="B130" t="s">
        <v>1846</v>
      </c>
      <c r="C130" t="s">
        <v>39</v>
      </c>
      <c r="D130" t="s">
        <v>453</v>
      </c>
      <c r="E130" t="s">
        <v>749</v>
      </c>
      <c r="F130" t="s">
        <v>443</v>
      </c>
      <c r="G130" t="s">
        <v>34</v>
      </c>
      <c r="H130" t="s">
        <v>1847</v>
      </c>
      <c r="I130" t="s">
        <v>1461</v>
      </c>
      <c r="J130" t="s">
        <v>459</v>
      </c>
      <c r="K130" t="s">
        <v>41</v>
      </c>
      <c r="L130" t="s">
        <v>504</v>
      </c>
      <c r="M130" t="s">
        <v>41</v>
      </c>
      <c r="N130"/>
      <c r="O130" t="s">
        <v>502</v>
      </c>
      <c r="P130" t="s">
        <v>525</v>
      </c>
      <c r="Q130"/>
    </row>
    <row r="131" spans="1:17" x14ac:dyDescent="0.2">
      <c r="A131" t="s">
        <v>2546</v>
      </c>
      <c r="B131" t="s">
        <v>1848</v>
      </c>
      <c r="C131" t="s">
        <v>39</v>
      </c>
      <c r="D131" t="s">
        <v>453</v>
      </c>
      <c r="E131" t="s">
        <v>749</v>
      </c>
      <c r="F131" t="s">
        <v>443</v>
      </c>
      <c r="G131" t="s">
        <v>34</v>
      </c>
      <c r="H131" t="s">
        <v>1849</v>
      </c>
      <c r="I131" t="s">
        <v>1461</v>
      </c>
      <c r="J131" t="s">
        <v>459</v>
      </c>
      <c r="K131" t="s">
        <v>41</v>
      </c>
      <c r="L131" t="s">
        <v>504</v>
      </c>
      <c r="M131" t="s">
        <v>41</v>
      </c>
      <c r="N131"/>
      <c r="O131" t="s">
        <v>502</v>
      </c>
      <c r="P131" t="s">
        <v>525</v>
      </c>
      <c r="Q131"/>
    </row>
    <row r="132" spans="1:17" x14ac:dyDescent="0.2">
      <c r="A132" t="s">
        <v>2547</v>
      </c>
      <c r="B132" t="s">
        <v>1850</v>
      </c>
      <c r="C132" t="s">
        <v>39</v>
      </c>
      <c r="D132" t="s">
        <v>453</v>
      </c>
      <c r="E132" t="s">
        <v>749</v>
      </c>
      <c r="F132" t="s">
        <v>443</v>
      </c>
      <c r="G132" t="s">
        <v>34</v>
      </c>
      <c r="H132" t="s">
        <v>1851</v>
      </c>
      <c r="I132" t="s">
        <v>1461</v>
      </c>
      <c r="J132" t="s">
        <v>459</v>
      </c>
      <c r="K132" t="s">
        <v>41</v>
      </c>
      <c r="L132" t="s">
        <v>138</v>
      </c>
      <c r="M132" t="s">
        <v>41</v>
      </c>
      <c r="N132"/>
      <c r="O132" t="s">
        <v>502</v>
      </c>
      <c r="P132" t="s">
        <v>525</v>
      </c>
      <c r="Q132"/>
    </row>
    <row r="133" spans="1:17" x14ac:dyDescent="0.2">
      <c r="A133" t="s">
        <v>2548</v>
      </c>
      <c r="B133" t="s">
        <v>1852</v>
      </c>
      <c r="C133" t="s">
        <v>39</v>
      </c>
      <c r="D133" t="s">
        <v>453</v>
      </c>
      <c r="E133" t="s">
        <v>749</v>
      </c>
      <c r="F133" t="s">
        <v>443</v>
      </c>
      <c r="G133" t="s">
        <v>34</v>
      </c>
      <c r="H133" t="s">
        <v>1853</v>
      </c>
      <c r="I133" t="s">
        <v>1461</v>
      </c>
      <c r="J133" t="s">
        <v>449</v>
      </c>
      <c r="K133" t="s">
        <v>41</v>
      </c>
      <c r="L133" t="s">
        <v>138</v>
      </c>
      <c r="M133" t="s">
        <v>41</v>
      </c>
      <c r="N133"/>
      <c r="O133" t="s">
        <v>502</v>
      </c>
      <c r="P133" t="s">
        <v>525</v>
      </c>
      <c r="Q133"/>
    </row>
    <row r="134" spans="1:17" x14ac:dyDescent="0.2">
      <c r="A134" t="s">
        <v>2549</v>
      </c>
      <c r="B134" t="s">
        <v>1854</v>
      </c>
      <c r="C134" t="s">
        <v>39</v>
      </c>
      <c r="D134" t="s">
        <v>453</v>
      </c>
      <c r="E134" t="s">
        <v>749</v>
      </c>
      <c r="F134" t="s">
        <v>443</v>
      </c>
      <c r="G134" t="s">
        <v>34</v>
      </c>
      <c r="H134" t="s">
        <v>1855</v>
      </c>
      <c r="I134" t="s">
        <v>1462</v>
      </c>
      <c r="J134" t="s">
        <v>449</v>
      </c>
      <c r="K134" t="s">
        <v>41</v>
      </c>
      <c r="L134" t="s">
        <v>286</v>
      </c>
      <c r="M134" t="s">
        <v>41</v>
      </c>
      <c r="N134"/>
      <c r="O134" t="s">
        <v>600</v>
      </c>
      <c r="P134" t="s">
        <v>495</v>
      </c>
      <c r="Q134"/>
    </row>
    <row r="135" spans="1:17" x14ac:dyDescent="0.2">
      <c r="A135" t="s">
        <v>2550</v>
      </c>
      <c r="B135" t="s">
        <v>1856</v>
      </c>
      <c r="C135" t="s">
        <v>39</v>
      </c>
      <c r="D135" t="s">
        <v>453</v>
      </c>
      <c r="E135" t="s">
        <v>461</v>
      </c>
      <c r="F135" t="s">
        <v>444</v>
      </c>
      <c r="G135" t="s">
        <v>529</v>
      </c>
      <c r="H135" t="s">
        <v>1857</v>
      </c>
      <c r="I135" t="s">
        <v>2551</v>
      </c>
      <c r="J135" t="s">
        <v>449</v>
      </c>
      <c r="K135" t="s">
        <v>39</v>
      </c>
      <c r="L135" t="s">
        <v>448</v>
      </c>
      <c r="M135" t="s">
        <v>41</v>
      </c>
      <c r="N135" t="s">
        <v>2552</v>
      </c>
      <c r="O135" t="s">
        <v>458</v>
      </c>
      <c r="P135" t="s">
        <v>523</v>
      </c>
      <c r="Q135" t="s">
        <v>466</v>
      </c>
    </row>
    <row r="136" spans="1:17" x14ac:dyDescent="0.2">
      <c r="A136" t="s">
        <v>2553</v>
      </c>
      <c r="B136" t="s">
        <v>1859</v>
      </c>
      <c r="C136" t="s">
        <v>39</v>
      </c>
      <c r="D136" t="s">
        <v>453</v>
      </c>
      <c r="E136" t="s">
        <v>731</v>
      </c>
      <c r="F136" t="s">
        <v>443</v>
      </c>
      <c r="G136" t="s">
        <v>34</v>
      </c>
      <c r="H136" t="s">
        <v>1860</v>
      </c>
      <c r="I136" t="s">
        <v>1111</v>
      </c>
      <c r="J136" t="s">
        <v>40</v>
      </c>
      <c r="K136" t="s">
        <v>41</v>
      </c>
      <c r="L136" t="s">
        <v>477</v>
      </c>
      <c r="M136" t="s">
        <v>41</v>
      </c>
      <c r="N136"/>
      <c r="O136" t="s">
        <v>446</v>
      </c>
      <c r="P136" t="s">
        <v>446</v>
      </c>
      <c r="Q136"/>
    </row>
    <row r="137" spans="1:17" x14ac:dyDescent="0.2">
      <c r="A137" t="s">
        <v>2554</v>
      </c>
      <c r="B137" t="s">
        <v>1861</v>
      </c>
      <c r="C137" t="s">
        <v>39</v>
      </c>
      <c r="D137" t="s">
        <v>453</v>
      </c>
      <c r="E137" t="s">
        <v>731</v>
      </c>
      <c r="F137" t="s">
        <v>443</v>
      </c>
      <c r="G137" t="s">
        <v>34</v>
      </c>
      <c r="H137" t="s">
        <v>1862</v>
      </c>
      <c r="I137" t="s">
        <v>1111</v>
      </c>
      <c r="J137" t="s">
        <v>459</v>
      </c>
      <c r="K137" t="s">
        <v>41</v>
      </c>
      <c r="L137" t="s">
        <v>477</v>
      </c>
      <c r="M137" t="s">
        <v>41</v>
      </c>
      <c r="N137"/>
      <c r="O137" t="s">
        <v>446</v>
      </c>
      <c r="P137" t="s">
        <v>482</v>
      </c>
      <c r="Q137"/>
    </row>
    <row r="138" spans="1:17" x14ac:dyDescent="0.2">
      <c r="A138" t="s">
        <v>2555</v>
      </c>
      <c r="B138" t="s">
        <v>1863</v>
      </c>
      <c r="C138" t="s">
        <v>39</v>
      </c>
      <c r="D138" t="s">
        <v>453</v>
      </c>
      <c r="E138" t="s">
        <v>749</v>
      </c>
      <c r="F138" t="s">
        <v>443</v>
      </c>
      <c r="G138" t="s">
        <v>34</v>
      </c>
      <c r="H138" t="s">
        <v>1864</v>
      </c>
      <c r="I138" t="s">
        <v>2556</v>
      </c>
      <c r="J138" t="s">
        <v>449</v>
      </c>
      <c r="K138" t="s">
        <v>41</v>
      </c>
      <c r="L138" t="s">
        <v>477</v>
      </c>
      <c r="M138" t="s">
        <v>41</v>
      </c>
      <c r="N138"/>
      <c r="O138" t="s">
        <v>600</v>
      </c>
      <c r="P138" t="s">
        <v>636</v>
      </c>
      <c r="Q138"/>
    </row>
    <row r="139" spans="1:17" x14ac:dyDescent="0.2">
      <c r="A139" t="s">
        <v>2557</v>
      </c>
      <c r="B139" t="s">
        <v>1865</v>
      </c>
      <c r="C139" t="s">
        <v>39</v>
      </c>
      <c r="D139" t="s">
        <v>453</v>
      </c>
      <c r="E139" t="s">
        <v>494</v>
      </c>
      <c r="F139" t="s">
        <v>444</v>
      </c>
      <c r="G139" t="s">
        <v>510</v>
      </c>
      <c r="H139" t="s">
        <v>1866</v>
      </c>
      <c r="I139" t="s">
        <v>2558</v>
      </c>
      <c r="J139" t="s">
        <v>449</v>
      </c>
      <c r="K139" t="s">
        <v>41</v>
      </c>
      <c r="L139" t="s">
        <v>286</v>
      </c>
      <c r="M139" t="s">
        <v>41</v>
      </c>
      <c r="N139"/>
      <c r="O139" t="s">
        <v>737</v>
      </c>
      <c r="P139" t="s">
        <v>737</v>
      </c>
      <c r="Q139" t="s">
        <v>735</v>
      </c>
    </row>
    <row r="140" spans="1:17" x14ac:dyDescent="0.2">
      <c r="A140" t="s">
        <v>2559</v>
      </c>
      <c r="B140" t="s">
        <v>1867</v>
      </c>
      <c r="C140" t="s">
        <v>39</v>
      </c>
      <c r="D140" t="s">
        <v>453</v>
      </c>
      <c r="E140" t="s">
        <v>494</v>
      </c>
      <c r="F140" t="s">
        <v>444</v>
      </c>
      <c r="G140" t="s">
        <v>510</v>
      </c>
      <c r="H140" t="s">
        <v>1868</v>
      </c>
      <c r="I140" t="s">
        <v>2558</v>
      </c>
      <c r="J140" t="s">
        <v>449</v>
      </c>
      <c r="K140" t="s">
        <v>41</v>
      </c>
      <c r="L140" t="s">
        <v>286</v>
      </c>
      <c r="M140" t="s">
        <v>41</v>
      </c>
      <c r="N140"/>
      <c r="O140" t="s">
        <v>469</v>
      </c>
      <c r="P140" t="s">
        <v>469</v>
      </c>
      <c r="Q140" t="s">
        <v>735</v>
      </c>
    </row>
    <row r="141" spans="1:17" x14ac:dyDescent="0.2">
      <c r="A141" t="s">
        <v>2560</v>
      </c>
      <c r="B141" t="s">
        <v>1869</v>
      </c>
      <c r="C141" t="s">
        <v>39</v>
      </c>
      <c r="D141" t="s">
        <v>453</v>
      </c>
      <c r="E141" t="s">
        <v>494</v>
      </c>
      <c r="F141" t="s">
        <v>444</v>
      </c>
      <c r="G141" t="s">
        <v>468</v>
      </c>
      <c r="H141" t="s">
        <v>2561</v>
      </c>
      <c r="I141" t="s">
        <v>2521</v>
      </c>
      <c r="J141" t="s">
        <v>459</v>
      </c>
      <c r="K141" t="s">
        <v>41</v>
      </c>
      <c r="L141" t="s">
        <v>112</v>
      </c>
      <c r="M141" t="s">
        <v>41</v>
      </c>
      <c r="N141"/>
      <c r="O141" t="s">
        <v>737</v>
      </c>
      <c r="P141" t="s">
        <v>737</v>
      </c>
      <c r="Q141" t="s">
        <v>471</v>
      </c>
    </row>
    <row r="142" spans="1:17" x14ac:dyDescent="0.2">
      <c r="A142" t="s">
        <v>2562</v>
      </c>
      <c r="B142" t="s">
        <v>1870</v>
      </c>
      <c r="C142" t="s">
        <v>39</v>
      </c>
      <c r="D142" t="s">
        <v>453</v>
      </c>
      <c r="E142" t="s">
        <v>461</v>
      </c>
      <c r="F142" t="s">
        <v>444</v>
      </c>
      <c r="G142" t="s">
        <v>468</v>
      </c>
      <c r="H142" t="s">
        <v>2563</v>
      </c>
      <c r="I142" t="s">
        <v>2564</v>
      </c>
      <c r="J142" t="s">
        <v>449</v>
      </c>
      <c r="K142" t="s">
        <v>39</v>
      </c>
      <c r="L142" t="s">
        <v>112</v>
      </c>
      <c r="M142" t="s">
        <v>41</v>
      </c>
      <c r="N142" t="s">
        <v>2565</v>
      </c>
      <c r="O142" t="s">
        <v>458</v>
      </c>
      <c r="P142" t="s">
        <v>636</v>
      </c>
      <c r="Q142" t="s">
        <v>735</v>
      </c>
    </row>
    <row r="143" spans="1:17" x14ac:dyDescent="0.2">
      <c r="A143" t="s">
        <v>2566</v>
      </c>
      <c r="B143" t="s">
        <v>1449</v>
      </c>
      <c r="C143" t="s">
        <v>39</v>
      </c>
      <c r="D143" t="s">
        <v>453</v>
      </c>
      <c r="E143" t="s">
        <v>749</v>
      </c>
      <c r="F143" t="s">
        <v>443</v>
      </c>
      <c r="G143" t="s">
        <v>34</v>
      </c>
      <c r="H143" t="s">
        <v>1871</v>
      </c>
      <c r="I143" t="s">
        <v>1888</v>
      </c>
      <c r="J143" t="s">
        <v>459</v>
      </c>
      <c r="K143" t="s">
        <v>41</v>
      </c>
      <c r="L143" t="s">
        <v>504</v>
      </c>
      <c r="M143" t="s">
        <v>41</v>
      </c>
      <c r="N143"/>
      <c r="O143" t="s">
        <v>600</v>
      </c>
      <c r="P143" t="s">
        <v>691</v>
      </c>
      <c r="Q143"/>
    </row>
    <row r="144" spans="1:17" x14ac:dyDescent="0.2">
      <c r="A144" t="s">
        <v>2567</v>
      </c>
      <c r="B144" t="s">
        <v>1450</v>
      </c>
      <c r="C144" t="s">
        <v>39</v>
      </c>
      <c r="D144" t="s">
        <v>453</v>
      </c>
      <c r="E144" t="s">
        <v>585</v>
      </c>
      <c r="F144" t="s">
        <v>444</v>
      </c>
      <c r="G144" t="s">
        <v>510</v>
      </c>
      <c r="H144" t="s">
        <v>1872</v>
      </c>
      <c r="I144" t="s">
        <v>455</v>
      </c>
      <c r="J144" t="s">
        <v>449</v>
      </c>
      <c r="K144" t="s">
        <v>41</v>
      </c>
      <c r="L144" t="s">
        <v>1451</v>
      </c>
      <c r="M144" t="s">
        <v>41</v>
      </c>
      <c r="N144" t="s">
        <v>1873</v>
      </c>
      <c r="O144" t="s">
        <v>446</v>
      </c>
      <c r="P144" t="s">
        <v>445</v>
      </c>
      <c r="Q144"/>
    </row>
    <row r="145" spans="1:17" x14ac:dyDescent="0.2">
      <c r="A145" t="s">
        <v>2568</v>
      </c>
      <c r="B145" t="s">
        <v>1108</v>
      </c>
      <c r="C145" t="s">
        <v>39</v>
      </c>
      <c r="D145" t="s">
        <v>453</v>
      </c>
      <c r="E145" t="s">
        <v>749</v>
      </c>
      <c r="F145" t="s">
        <v>443</v>
      </c>
      <c r="G145" t="s">
        <v>34</v>
      </c>
      <c r="H145" t="s">
        <v>1874</v>
      </c>
      <c r="I145" t="s">
        <v>2569</v>
      </c>
      <c r="J145" t="s">
        <v>449</v>
      </c>
      <c r="K145" t="s">
        <v>41</v>
      </c>
      <c r="L145" t="s">
        <v>448</v>
      </c>
      <c r="M145" t="s">
        <v>41</v>
      </c>
      <c r="N145"/>
      <c r="O145" t="s">
        <v>600</v>
      </c>
      <c r="P145" t="s">
        <v>521</v>
      </c>
      <c r="Q145"/>
    </row>
    <row r="146" spans="1:17" x14ac:dyDescent="0.2">
      <c r="A146" t="s">
        <v>2570</v>
      </c>
      <c r="B146" t="s">
        <v>1109</v>
      </c>
      <c r="C146" t="s">
        <v>39</v>
      </c>
      <c r="D146" t="s">
        <v>453</v>
      </c>
      <c r="E146" t="s">
        <v>494</v>
      </c>
      <c r="F146" t="s">
        <v>444</v>
      </c>
      <c r="G146" t="s">
        <v>535</v>
      </c>
      <c r="H146" t="s">
        <v>1875</v>
      </c>
      <c r="I146" t="s">
        <v>2571</v>
      </c>
      <c r="J146" t="s">
        <v>459</v>
      </c>
      <c r="K146" t="s">
        <v>41</v>
      </c>
      <c r="L146" t="s">
        <v>662</v>
      </c>
      <c r="M146" t="s">
        <v>41</v>
      </c>
      <c r="N146" t="s">
        <v>2572</v>
      </c>
      <c r="O146" t="s">
        <v>446</v>
      </c>
      <c r="P146" t="s">
        <v>482</v>
      </c>
      <c r="Q146" t="s">
        <v>679</v>
      </c>
    </row>
    <row r="147" spans="1:17" x14ac:dyDescent="0.2">
      <c r="A147" t="s">
        <v>2573</v>
      </c>
      <c r="B147" t="s">
        <v>1110</v>
      </c>
      <c r="C147" t="s">
        <v>39</v>
      </c>
      <c r="D147" t="s">
        <v>453</v>
      </c>
      <c r="E147" t="s">
        <v>494</v>
      </c>
      <c r="F147" t="s">
        <v>443</v>
      </c>
      <c r="G147" t="s">
        <v>34</v>
      </c>
      <c r="H147" t="s">
        <v>1876</v>
      </c>
      <c r="I147" t="s">
        <v>2574</v>
      </c>
      <c r="J147" t="s">
        <v>459</v>
      </c>
      <c r="K147" t="s">
        <v>41</v>
      </c>
      <c r="L147" t="s">
        <v>477</v>
      </c>
      <c r="M147" t="s">
        <v>41</v>
      </c>
      <c r="N147"/>
      <c r="O147" t="s">
        <v>600</v>
      </c>
      <c r="P147" t="s">
        <v>457</v>
      </c>
      <c r="Q147"/>
    </row>
    <row r="148" spans="1:17" x14ac:dyDescent="0.2">
      <c r="A148" t="s">
        <v>2575</v>
      </c>
      <c r="B148" t="s">
        <v>1112</v>
      </c>
      <c r="C148" t="s">
        <v>39</v>
      </c>
      <c r="D148" t="s">
        <v>453</v>
      </c>
      <c r="E148" t="s">
        <v>731</v>
      </c>
      <c r="F148" t="s">
        <v>443</v>
      </c>
      <c r="G148" t="s">
        <v>34</v>
      </c>
      <c r="H148" t="s">
        <v>1878</v>
      </c>
      <c r="I148" t="s">
        <v>1772</v>
      </c>
      <c r="J148" t="s">
        <v>449</v>
      </c>
      <c r="K148" t="s">
        <v>41</v>
      </c>
      <c r="L148" t="s">
        <v>477</v>
      </c>
      <c r="M148" t="s">
        <v>41</v>
      </c>
      <c r="N148"/>
      <c r="O148" t="s">
        <v>446</v>
      </c>
      <c r="P148" t="s">
        <v>482</v>
      </c>
      <c r="Q148"/>
    </row>
    <row r="149" spans="1:17" x14ac:dyDescent="0.2">
      <c r="A149" t="s">
        <v>2576</v>
      </c>
      <c r="B149" t="s">
        <v>1113</v>
      </c>
      <c r="C149" t="s">
        <v>39</v>
      </c>
      <c r="D149" t="s">
        <v>453</v>
      </c>
      <c r="E149" t="s">
        <v>731</v>
      </c>
      <c r="F149" t="s">
        <v>443</v>
      </c>
      <c r="G149" t="s">
        <v>34</v>
      </c>
      <c r="H149" t="s">
        <v>1879</v>
      </c>
      <c r="I149" t="s">
        <v>1772</v>
      </c>
      <c r="J149" t="s">
        <v>449</v>
      </c>
      <c r="K149" t="s">
        <v>41</v>
      </c>
      <c r="L149" t="s">
        <v>138</v>
      </c>
      <c r="M149" t="s">
        <v>41</v>
      </c>
      <c r="N149"/>
      <c r="O149" t="s">
        <v>446</v>
      </c>
      <c r="P149" t="s">
        <v>482</v>
      </c>
      <c r="Q149"/>
    </row>
    <row r="150" spans="1:17" x14ac:dyDescent="0.2">
      <c r="A150" t="s">
        <v>2577</v>
      </c>
      <c r="B150" t="s">
        <v>1114</v>
      </c>
      <c r="C150" t="s">
        <v>39</v>
      </c>
      <c r="D150" t="s">
        <v>453</v>
      </c>
      <c r="E150" t="s">
        <v>749</v>
      </c>
      <c r="F150" t="s">
        <v>443</v>
      </c>
      <c r="G150" t="s">
        <v>34</v>
      </c>
      <c r="H150" t="s">
        <v>1453</v>
      </c>
      <c r="I150" t="s">
        <v>2578</v>
      </c>
      <c r="J150" t="s">
        <v>459</v>
      </c>
      <c r="K150" t="s">
        <v>41</v>
      </c>
      <c r="L150" t="s">
        <v>504</v>
      </c>
      <c r="M150" t="s">
        <v>41</v>
      </c>
      <c r="N150"/>
      <c r="O150" t="s">
        <v>446</v>
      </c>
      <c r="P150" t="s">
        <v>482</v>
      </c>
      <c r="Q150"/>
    </row>
    <row r="151" spans="1:17" x14ac:dyDescent="0.2">
      <c r="A151" t="s">
        <v>2579</v>
      </c>
      <c r="B151" t="s">
        <v>1115</v>
      </c>
      <c r="C151" t="s">
        <v>39</v>
      </c>
      <c r="D151" t="s">
        <v>453</v>
      </c>
      <c r="E151" t="s">
        <v>749</v>
      </c>
      <c r="F151" t="s">
        <v>443</v>
      </c>
      <c r="G151" t="s">
        <v>34</v>
      </c>
      <c r="H151" t="s">
        <v>1454</v>
      </c>
      <c r="I151" t="s">
        <v>2578</v>
      </c>
      <c r="J151" t="s">
        <v>449</v>
      </c>
      <c r="K151" t="s">
        <v>41</v>
      </c>
      <c r="L151" t="s">
        <v>448</v>
      </c>
      <c r="M151" t="s">
        <v>41</v>
      </c>
      <c r="N151"/>
      <c r="O151" t="s">
        <v>446</v>
      </c>
      <c r="P151" t="s">
        <v>482</v>
      </c>
      <c r="Q151"/>
    </row>
    <row r="152" spans="1:17" x14ac:dyDescent="0.2">
      <c r="A152" t="s">
        <v>2580</v>
      </c>
      <c r="B152" t="s">
        <v>1116</v>
      </c>
      <c r="C152" t="s">
        <v>39</v>
      </c>
      <c r="D152" t="s">
        <v>453</v>
      </c>
      <c r="E152" t="s">
        <v>749</v>
      </c>
      <c r="F152" t="s">
        <v>443</v>
      </c>
      <c r="G152" t="s">
        <v>34</v>
      </c>
      <c r="H152" t="s">
        <v>1117</v>
      </c>
      <c r="I152" t="s">
        <v>2581</v>
      </c>
      <c r="J152" t="s">
        <v>449</v>
      </c>
      <c r="K152" t="s">
        <v>40</v>
      </c>
      <c r="L152" t="s">
        <v>448</v>
      </c>
      <c r="M152" t="s">
        <v>41</v>
      </c>
      <c r="N152"/>
      <c r="O152" t="s">
        <v>600</v>
      </c>
      <c r="P152" t="s">
        <v>491</v>
      </c>
      <c r="Q152"/>
    </row>
    <row r="153" spans="1:17" x14ac:dyDescent="0.2">
      <c r="A153" t="s">
        <v>2582</v>
      </c>
      <c r="B153" t="s">
        <v>1118</v>
      </c>
      <c r="C153" t="s">
        <v>39</v>
      </c>
      <c r="D153" t="s">
        <v>453</v>
      </c>
      <c r="E153" t="s">
        <v>749</v>
      </c>
      <c r="F153" t="s">
        <v>443</v>
      </c>
      <c r="G153" t="s">
        <v>34</v>
      </c>
      <c r="H153"/>
      <c r="I153" t="s">
        <v>2583</v>
      </c>
      <c r="J153" t="s">
        <v>40</v>
      </c>
      <c r="K153" t="s">
        <v>41</v>
      </c>
      <c r="L153" t="s">
        <v>448</v>
      </c>
      <c r="M153" t="s">
        <v>41</v>
      </c>
      <c r="N153"/>
      <c r="O153" t="s">
        <v>639</v>
      </c>
      <c r="P153" t="s">
        <v>495</v>
      </c>
      <c r="Q153"/>
    </row>
    <row r="154" spans="1:17" x14ac:dyDescent="0.2">
      <c r="A154" t="s">
        <v>2584</v>
      </c>
      <c r="B154" t="s">
        <v>1120</v>
      </c>
      <c r="C154" t="s">
        <v>39</v>
      </c>
      <c r="D154" t="s">
        <v>453</v>
      </c>
      <c r="E154" t="s">
        <v>494</v>
      </c>
      <c r="F154" t="s">
        <v>443</v>
      </c>
      <c r="G154" t="s">
        <v>34</v>
      </c>
      <c r="H154" t="s">
        <v>1880</v>
      </c>
      <c r="I154" t="s">
        <v>2585</v>
      </c>
      <c r="J154" t="s">
        <v>459</v>
      </c>
      <c r="K154" t="s">
        <v>41</v>
      </c>
      <c r="L154" t="s">
        <v>138</v>
      </c>
      <c r="M154" t="s">
        <v>41</v>
      </c>
      <c r="N154"/>
      <c r="O154" t="s">
        <v>600</v>
      </c>
      <c r="P154" t="s">
        <v>472</v>
      </c>
      <c r="Q154"/>
    </row>
    <row r="155" spans="1:17" x14ac:dyDescent="0.2">
      <c r="A155" t="s">
        <v>2586</v>
      </c>
      <c r="B155" t="s">
        <v>1121</v>
      </c>
      <c r="C155" t="s">
        <v>39</v>
      </c>
      <c r="D155" t="s">
        <v>453</v>
      </c>
      <c r="E155" t="s">
        <v>494</v>
      </c>
      <c r="F155" t="s">
        <v>444</v>
      </c>
      <c r="G155" t="s">
        <v>535</v>
      </c>
      <c r="H155" t="s">
        <v>1122</v>
      </c>
      <c r="I155" t="s">
        <v>2587</v>
      </c>
      <c r="J155" t="s">
        <v>449</v>
      </c>
      <c r="K155" t="s">
        <v>41</v>
      </c>
      <c r="L155" t="s">
        <v>138</v>
      </c>
      <c r="M155" t="s">
        <v>41</v>
      </c>
      <c r="N155"/>
      <c r="O155" t="s">
        <v>492</v>
      </c>
      <c r="P155" t="s">
        <v>521</v>
      </c>
      <c r="Q155" t="s">
        <v>466</v>
      </c>
    </row>
    <row r="156" spans="1:17" x14ac:dyDescent="0.2">
      <c r="A156" t="s">
        <v>2588</v>
      </c>
      <c r="B156" t="s">
        <v>1123</v>
      </c>
      <c r="C156" t="s">
        <v>39</v>
      </c>
      <c r="D156" t="s">
        <v>453</v>
      </c>
      <c r="E156" t="s">
        <v>494</v>
      </c>
      <c r="F156" t="s">
        <v>444</v>
      </c>
      <c r="G156" t="s">
        <v>529</v>
      </c>
      <c r="H156" t="s">
        <v>1882</v>
      </c>
      <c r="I156" t="s">
        <v>2589</v>
      </c>
      <c r="J156" t="s">
        <v>449</v>
      </c>
      <c r="K156" t="s">
        <v>41</v>
      </c>
      <c r="L156" t="s">
        <v>448</v>
      </c>
      <c r="M156" t="s">
        <v>41</v>
      </c>
      <c r="N156"/>
      <c r="O156" t="s">
        <v>446</v>
      </c>
      <c r="P156" t="s">
        <v>482</v>
      </c>
      <c r="Q156" t="s">
        <v>520</v>
      </c>
    </row>
    <row r="157" spans="1:17" x14ac:dyDescent="0.2">
      <c r="A157" t="s">
        <v>2590</v>
      </c>
      <c r="B157" t="s">
        <v>1124</v>
      </c>
      <c r="C157" t="s">
        <v>39</v>
      </c>
      <c r="D157" t="s">
        <v>453</v>
      </c>
      <c r="E157" t="s">
        <v>494</v>
      </c>
      <c r="F157" t="s">
        <v>443</v>
      </c>
      <c r="G157" t="s">
        <v>34</v>
      </c>
      <c r="H157" t="s">
        <v>404</v>
      </c>
      <c r="I157" t="s">
        <v>1893</v>
      </c>
      <c r="J157" t="s">
        <v>40</v>
      </c>
      <c r="K157" t="s">
        <v>41</v>
      </c>
      <c r="L157" t="s">
        <v>138</v>
      </c>
      <c r="M157" t="s">
        <v>41</v>
      </c>
      <c r="N157"/>
      <c r="O157" t="s">
        <v>600</v>
      </c>
      <c r="P157" t="s">
        <v>530</v>
      </c>
      <c r="Q157"/>
    </row>
    <row r="158" spans="1:17" x14ac:dyDescent="0.2">
      <c r="A158" t="s">
        <v>2591</v>
      </c>
      <c r="B158" t="s">
        <v>1125</v>
      </c>
      <c r="C158" t="s">
        <v>39</v>
      </c>
      <c r="D158" t="s">
        <v>453</v>
      </c>
      <c r="E158" t="s">
        <v>494</v>
      </c>
      <c r="F158" t="s">
        <v>444</v>
      </c>
      <c r="G158" t="s">
        <v>529</v>
      </c>
      <c r="H158" t="s">
        <v>1126</v>
      </c>
      <c r="I158" t="s">
        <v>2592</v>
      </c>
      <c r="J158" t="s">
        <v>459</v>
      </c>
      <c r="K158" t="s">
        <v>41</v>
      </c>
      <c r="L158" t="s">
        <v>138</v>
      </c>
      <c r="M158" t="s">
        <v>41</v>
      </c>
      <c r="N158"/>
      <c r="O158" t="s">
        <v>832</v>
      </c>
      <c r="P158" t="s">
        <v>724</v>
      </c>
      <c r="Q158" t="s">
        <v>679</v>
      </c>
    </row>
    <row r="159" spans="1:17" x14ac:dyDescent="0.2">
      <c r="A159" t="s">
        <v>2593</v>
      </c>
      <c r="B159" t="s">
        <v>1127</v>
      </c>
      <c r="C159" t="s">
        <v>39</v>
      </c>
      <c r="D159" t="s">
        <v>453</v>
      </c>
      <c r="E159" t="s">
        <v>494</v>
      </c>
      <c r="F159" t="s">
        <v>444</v>
      </c>
      <c r="G159" t="s">
        <v>529</v>
      </c>
      <c r="H159" t="s">
        <v>1128</v>
      </c>
      <c r="I159" t="s">
        <v>2594</v>
      </c>
      <c r="J159" t="s">
        <v>449</v>
      </c>
      <c r="K159" t="s">
        <v>41</v>
      </c>
      <c r="L159" t="s">
        <v>138</v>
      </c>
      <c r="M159" t="s">
        <v>41</v>
      </c>
      <c r="N159"/>
      <c r="O159" t="s">
        <v>832</v>
      </c>
      <c r="P159" t="s">
        <v>724</v>
      </c>
      <c r="Q159" t="s">
        <v>471</v>
      </c>
    </row>
    <row r="160" spans="1:17" x14ac:dyDescent="0.2">
      <c r="A160" t="s">
        <v>2595</v>
      </c>
      <c r="B160" t="s">
        <v>1129</v>
      </c>
      <c r="C160" t="s">
        <v>39</v>
      </c>
      <c r="D160" t="s">
        <v>453</v>
      </c>
      <c r="E160" t="s">
        <v>749</v>
      </c>
      <c r="F160" t="s">
        <v>443</v>
      </c>
      <c r="G160" t="s">
        <v>34</v>
      </c>
      <c r="H160" t="s">
        <v>1130</v>
      </c>
      <c r="I160" t="s">
        <v>2596</v>
      </c>
      <c r="J160" t="s">
        <v>449</v>
      </c>
      <c r="K160" t="s">
        <v>41</v>
      </c>
      <c r="L160" t="s">
        <v>448</v>
      </c>
      <c r="M160" t="s">
        <v>41</v>
      </c>
      <c r="N160"/>
      <c r="O160" t="s">
        <v>600</v>
      </c>
      <c r="P160" t="s">
        <v>525</v>
      </c>
      <c r="Q160"/>
    </row>
    <row r="161" spans="1:17" x14ac:dyDescent="0.2">
      <c r="A161" t="s">
        <v>2597</v>
      </c>
      <c r="B161" t="s">
        <v>1131</v>
      </c>
      <c r="C161" t="s">
        <v>39</v>
      </c>
      <c r="D161" t="s">
        <v>453</v>
      </c>
      <c r="E161" t="s">
        <v>585</v>
      </c>
      <c r="F161" t="s">
        <v>444</v>
      </c>
      <c r="G161" t="s">
        <v>529</v>
      </c>
      <c r="H161" t="s">
        <v>2598</v>
      </c>
      <c r="I161" t="s">
        <v>2498</v>
      </c>
      <c r="J161" t="s">
        <v>459</v>
      </c>
      <c r="K161" t="s">
        <v>41</v>
      </c>
      <c r="L161" t="s">
        <v>448</v>
      </c>
      <c r="M161" t="s">
        <v>41</v>
      </c>
      <c r="N161"/>
      <c r="O161" t="s">
        <v>446</v>
      </c>
      <c r="P161" t="s">
        <v>445</v>
      </c>
      <c r="Q161" t="s">
        <v>2599</v>
      </c>
    </row>
    <row r="162" spans="1:17" x14ac:dyDescent="0.2">
      <c r="A162" t="s">
        <v>2600</v>
      </c>
      <c r="B162" t="s">
        <v>1132</v>
      </c>
      <c r="C162" t="s">
        <v>39</v>
      </c>
      <c r="D162" t="s">
        <v>453</v>
      </c>
      <c r="E162" t="s">
        <v>585</v>
      </c>
      <c r="F162" t="s">
        <v>444</v>
      </c>
      <c r="G162" t="s">
        <v>529</v>
      </c>
      <c r="H162" t="s">
        <v>2601</v>
      </c>
      <c r="I162" t="s">
        <v>2498</v>
      </c>
      <c r="J162" t="s">
        <v>449</v>
      </c>
      <c r="K162" t="s">
        <v>41</v>
      </c>
      <c r="L162" t="s">
        <v>286</v>
      </c>
      <c r="M162" t="s">
        <v>41</v>
      </c>
      <c r="N162" t="s">
        <v>1883</v>
      </c>
      <c r="O162" t="s">
        <v>446</v>
      </c>
      <c r="P162" t="s">
        <v>445</v>
      </c>
      <c r="Q162" t="s">
        <v>2602</v>
      </c>
    </row>
    <row r="163" spans="1:17" x14ac:dyDescent="0.2">
      <c r="A163" t="s">
        <v>2603</v>
      </c>
      <c r="B163" t="s">
        <v>1133</v>
      </c>
      <c r="C163" t="s">
        <v>39</v>
      </c>
      <c r="D163" t="s">
        <v>453</v>
      </c>
      <c r="E163" t="s">
        <v>494</v>
      </c>
      <c r="F163" t="s">
        <v>444</v>
      </c>
      <c r="G163" t="s">
        <v>529</v>
      </c>
      <c r="H163" t="s">
        <v>1884</v>
      </c>
      <c r="I163" t="s">
        <v>2498</v>
      </c>
      <c r="J163" t="s">
        <v>459</v>
      </c>
      <c r="K163" t="s">
        <v>41</v>
      </c>
      <c r="L163" t="s">
        <v>448</v>
      </c>
      <c r="M163" t="s">
        <v>41</v>
      </c>
      <c r="N163"/>
      <c r="O163" t="s">
        <v>446</v>
      </c>
      <c r="P163" t="s">
        <v>482</v>
      </c>
      <c r="Q163"/>
    </row>
    <row r="164" spans="1:17" x14ac:dyDescent="0.2">
      <c r="A164" t="s">
        <v>2604</v>
      </c>
      <c r="B164" t="s">
        <v>1134</v>
      </c>
      <c r="C164" t="s">
        <v>39</v>
      </c>
      <c r="D164" t="s">
        <v>453</v>
      </c>
      <c r="E164" t="s">
        <v>494</v>
      </c>
      <c r="F164" t="s">
        <v>444</v>
      </c>
      <c r="G164" t="s">
        <v>529</v>
      </c>
      <c r="H164" t="s">
        <v>1885</v>
      </c>
      <c r="I164" t="s">
        <v>2498</v>
      </c>
      <c r="J164" t="s">
        <v>459</v>
      </c>
      <c r="K164" t="s">
        <v>41</v>
      </c>
      <c r="L164" t="s">
        <v>448</v>
      </c>
      <c r="M164" t="s">
        <v>41</v>
      </c>
      <c r="N164"/>
      <c r="O164" t="s">
        <v>446</v>
      </c>
      <c r="P164" t="s">
        <v>482</v>
      </c>
      <c r="Q164"/>
    </row>
    <row r="165" spans="1:17" x14ac:dyDescent="0.2">
      <c r="A165" t="s">
        <v>2605</v>
      </c>
      <c r="B165" t="s">
        <v>1135</v>
      </c>
      <c r="C165" t="s">
        <v>39</v>
      </c>
      <c r="D165" t="s">
        <v>453</v>
      </c>
      <c r="E165" t="s">
        <v>494</v>
      </c>
      <c r="F165" t="s">
        <v>443</v>
      </c>
      <c r="G165" t="s">
        <v>34</v>
      </c>
      <c r="H165" t="s">
        <v>1136</v>
      </c>
      <c r="I165" t="s">
        <v>1466</v>
      </c>
      <c r="J165" t="s">
        <v>449</v>
      </c>
      <c r="K165" t="s">
        <v>41</v>
      </c>
      <c r="L165" t="s">
        <v>138</v>
      </c>
      <c r="M165" t="s">
        <v>41</v>
      </c>
      <c r="N165"/>
      <c r="O165" t="s">
        <v>600</v>
      </c>
      <c r="P165" t="s">
        <v>467</v>
      </c>
      <c r="Q165"/>
    </row>
    <row r="166" spans="1:17" x14ac:dyDescent="0.2">
      <c r="A166" t="s">
        <v>2606</v>
      </c>
      <c r="B166" t="s">
        <v>1137</v>
      </c>
      <c r="C166" t="s">
        <v>39</v>
      </c>
      <c r="D166" t="s">
        <v>453</v>
      </c>
      <c r="E166" t="s">
        <v>461</v>
      </c>
      <c r="F166" t="s">
        <v>443</v>
      </c>
      <c r="G166" t="s">
        <v>34</v>
      </c>
      <c r="H166" t="s">
        <v>1138</v>
      </c>
      <c r="I166" t="s">
        <v>1466</v>
      </c>
      <c r="J166" t="s">
        <v>449</v>
      </c>
      <c r="K166" t="s">
        <v>39</v>
      </c>
      <c r="L166" t="s">
        <v>138</v>
      </c>
      <c r="M166" t="s">
        <v>41</v>
      </c>
      <c r="N166" t="s">
        <v>1455</v>
      </c>
      <c r="O166" t="s">
        <v>496</v>
      </c>
      <c r="P166" t="s">
        <v>496</v>
      </c>
      <c r="Q166"/>
    </row>
    <row r="167" spans="1:17" x14ac:dyDescent="0.2">
      <c r="A167" t="s">
        <v>2607</v>
      </c>
      <c r="B167" t="s">
        <v>1139</v>
      </c>
      <c r="C167" t="s">
        <v>39</v>
      </c>
      <c r="D167" t="s">
        <v>453</v>
      </c>
      <c r="E167" t="s">
        <v>494</v>
      </c>
      <c r="F167" t="s">
        <v>443</v>
      </c>
      <c r="G167" t="s">
        <v>34</v>
      </c>
      <c r="H167"/>
      <c r="I167" t="s">
        <v>1466</v>
      </c>
      <c r="J167" t="s">
        <v>40</v>
      </c>
      <c r="K167" t="s">
        <v>41</v>
      </c>
      <c r="L167" t="s">
        <v>138</v>
      </c>
      <c r="M167" t="s">
        <v>41</v>
      </c>
      <c r="N167"/>
      <c r="O167" t="s">
        <v>600</v>
      </c>
      <c r="P167" t="s">
        <v>467</v>
      </c>
      <c r="Q167"/>
    </row>
    <row r="168" spans="1:17" x14ac:dyDescent="0.2">
      <c r="A168" t="s">
        <v>2608</v>
      </c>
      <c r="B168" t="s">
        <v>1140</v>
      </c>
      <c r="C168" t="s">
        <v>39</v>
      </c>
      <c r="D168" t="s">
        <v>453</v>
      </c>
      <c r="E168" t="s">
        <v>585</v>
      </c>
      <c r="F168" t="s">
        <v>444</v>
      </c>
      <c r="G168" t="s">
        <v>1141</v>
      </c>
      <c r="H168" t="s">
        <v>1887</v>
      </c>
      <c r="I168" t="s">
        <v>2609</v>
      </c>
      <c r="J168" t="s">
        <v>459</v>
      </c>
      <c r="K168" t="s">
        <v>41</v>
      </c>
      <c r="L168" t="s">
        <v>537</v>
      </c>
      <c r="M168" t="s">
        <v>41</v>
      </c>
      <c r="N168"/>
      <c r="O168" t="s">
        <v>446</v>
      </c>
      <c r="P168" t="s">
        <v>445</v>
      </c>
      <c r="Q168" t="s">
        <v>679</v>
      </c>
    </row>
    <row r="169" spans="1:17" x14ac:dyDescent="0.2">
      <c r="A169" t="s">
        <v>2610</v>
      </c>
      <c r="B169" t="s">
        <v>1142</v>
      </c>
      <c r="C169" t="s">
        <v>39</v>
      </c>
      <c r="D169" t="s">
        <v>453</v>
      </c>
      <c r="E169" t="s">
        <v>494</v>
      </c>
      <c r="F169" t="s">
        <v>444</v>
      </c>
      <c r="G169" t="s">
        <v>451</v>
      </c>
      <c r="H169" t="s">
        <v>1143</v>
      </c>
      <c r="I169" t="s">
        <v>1470</v>
      </c>
      <c r="J169" t="s">
        <v>449</v>
      </c>
      <c r="K169" t="s">
        <v>41</v>
      </c>
      <c r="L169" t="s">
        <v>448</v>
      </c>
      <c r="M169" t="s">
        <v>41</v>
      </c>
      <c r="N169"/>
      <c r="O169" t="s">
        <v>531</v>
      </c>
      <c r="P169" t="s">
        <v>530</v>
      </c>
      <c r="Q169" t="s">
        <v>456</v>
      </c>
    </row>
    <row r="170" spans="1:17" x14ac:dyDescent="0.2">
      <c r="A170" t="s">
        <v>2611</v>
      </c>
      <c r="B170" t="s">
        <v>1145</v>
      </c>
      <c r="C170" t="s">
        <v>39</v>
      </c>
      <c r="D170" t="s">
        <v>453</v>
      </c>
      <c r="E170" t="s">
        <v>494</v>
      </c>
      <c r="F170" t="s">
        <v>444</v>
      </c>
      <c r="G170" t="s">
        <v>451</v>
      </c>
      <c r="H170" t="s">
        <v>1146</v>
      </c>
      <c r="I170" t="s">
        <v>2612</v>
      </c>
      <c r="J170" t="s">
        <v>459</v>
      </c>
      <c r="K170" t="s">
        <v>41</v>
      </c>
      <c r="L170" t="s">
        <v>477</v>
      </c>
      <c r="M170" t="s">
        <v>41</v>
      </c>
      <c r="N170"/>
      <c r="O170" t="s">
        <v>531</v>
      </c>
      <c r="P170" t="s">
        <v>530</v>
      </c>
      <c r="Q170" t="s">
        <v>456</v>
      </c>
    </row>
    <row r="171" spans="1:17" x14ac:dyDescent="0.2">
      <c r="A171" t="s">
        <v>2613</v>
      </c>
      <c r="B171" t="s">
        <v>1147</v>
      </c>
      <c r="C171" t="s">
        <v>39</v>
      </c>
      <c r="D171" t="s">
        <v>453</v>
      </c>
      <c r="E171" t="s">
        <v>494</v>
      </c>
      <c r="F171" t="s">
        <v>444</v>
      </c>
      <c r="G171" t="s">
        <v>451</v>
      </c>
      <c r="H171" t="s">
        <v>810</v>
      </c>
      <c r="I171" t="s">
        <v>1470</v>
      </c>
      <c r="J171" t="s">
        <v>459</v>
      </c>
      <c r="K171" t="s">
        <v>41</v>
      </c>
      <c r="L171" t="s">
        <v>286</v>
      </c>
      <c r="M171" t="s">
        <v>41</v>
      </c>
      <c r="N171"/>
      <c r="O171" t="s">
        <v>531</v>
      </c>
      <c r="P171" t="s">
        <v>530</v>
      </c>
      <c r="Q171" t="s">
        <v>456</v>
      </c>
    </row>
    <row r="172" spans="1:17" x14ac:dyDescent="0.2">
      <c r="A172" t="s">
        <v>2614</v>
      </c>
      <c r="B172" t="s">
        <v>1148</v>
      </c>
      <c r="C172" t="s">
        <v>39</v>
      </c>
      <c r="D172" t="s">
        <v>453</v>
      </c>
      <c r="E172" t="s">
        <v>494</v>
      </c>
      <c r="F172" t="s">
        <v>444</v>
      </c>
      <c r="G172" t="s">
        <v>451</v>
      </c>
      <c r="H172" t="s">
        <v>1149</v>
      </c>
      <c r="I172" t="s">
        <v>1470</v>
      </c>
      <c r="J172" t="s">
        <v>449</v>
      </c>
      <c r="K172" t="s">
        <v>41</v>
      </c>
      <c r="L172" t="s">
        <v>448</v>
      </c>
      <c r="M172" t="s">
        <v>41</v>
      </c>
      <c r="N172"/>
      <c r="O172" t="s">
        <v>531</v>
      </c>
      <c r="P172" t="s">
        <v>530</v>
      </c>
      <c r="Q172" t="s">
        <v>456</v>
      </c>
    </row>
    <row r="173" spans="1:17" x14ac:dyDescent="0.2">
      <c r="A173" t="s">
        <v>2615</v>
      </c>
      <c r="B173" t="s">
        <v>1150</v>
      </c>
      <c r="C173" t="s">
        <v>39</v>
      </c>
      <c r="D173" t="s">
        <v>453</v>
      </c>
      <c r="E173" t="s">
        <v>494</v>
      </c>
      <c r="F173" t="s">
        <v>444</v>
      </c>
      <c r="G173" t="s">
        <v>451</v>
      </c>
      <c r="H173" t="s">
        <v>1151</v>
      </c>
      <c r="I173" t="s">
        <v>1470</v>
      </c>
      <c r="J173" t="s">
        <v>449</v>
      </c>
      <c r="K173" t="s">
        <v>41</v>
      </c>
      <c r="L173" t="s">
        <v>286</v>
      </c>
      <c r="M173" t="s">
        <v>41</v>
      </c>
      <c r="N173"/>
      <c r="O173" t="s">
        <v>531</v>
      </c>
      <c r="P173" t="s">
        <v>530</v>
      </c>
      <c r="Q173" t="s">
        <v>456</v>
      </c>
    </row>
    <row r="174" spans="1:17" x14ac:dyDescent="0.2">
      <c r="A174" t="s">
        <v>2616</v>
      </c>
      <c r="B174" t="s">
        <v>1154</v>
      </c>
      <c r="C174" t="s">
        <v>39</v>
      </c>
      <c r="D174" t="s">
        <v>453</v>
      </c>
      <c r="E174" t="s">
        <v>731</v>
      </c>
      <c r="F174" t="s">
        <v>443</v>
      </c>
      <c r="G174" t="s">
        <v>34</v>
      </c>
      <c r="H174" t="s">
        <v>1889</v>
      </c>
      <c r="I174" t="s">
        <v>1458</v>
      </c>
      <c r="J174" t="s">
        <v>459</v>
      </c>
      <c r="K174" t="s">
        <v>41</v>
      </c>
      <c r="L174" t="s">
        <v>504</v>
      </c>
      <c r="M174" t="s">
        <v>41</v>
      </c>
      <c r="N174"/>
      <c r="O174" t="s">
        <v>446</v>
      </c>
      <c r="P174" t="s">
        <v>445</v>
      </c>
      <c r="Q174"/>
    </row>
    <row r="175" spans="1:17" x14ac:dyDescent="0.2">
      <c r="A175" t="s">
        <v>2617</v>
      </c>
      <c r="B175" t="s">
        <v>1155</v>
      </c>
      <c r="C175" t="s">
        <v>39</v>
      </c>
      <c r="D175" t="s">
        <v>453</v>
      </c>
      <c r="E175" t="s">
        <v>731</v>
      </c>
      <c r="F175" t="s">
        <v>443</v>
      </c>
      <c r="G175" t="s">
        <v>34</v>
      </c>
      <c r="H175" t="s">
        <v>1890</v>
      </c>
      <c r="I175" t="s">
        <v>1458</v>
      </c>
      <c r="J175" t="s">
        <v>459</v>
      </c>
      <c r="K175" t="s">
        <v>41</v>
      </c>
      <c r="L175" t="s">
        <v>504</v>
      </c>
      <c r="M175" t="s">
        <v>41</v>
      </c>
      <c r="N175"/>
      <c r="O175" t="s">
        <v>446</v>
      </c>
      <c r="P175" t="s">
        <v>482</v>
      </c>
      <c r="Q175"/>
    </row>
    <row r="176" spans="1:17" x14ac:dyDescent="0.2">
      <c r="A176" t="s">
        <v>2618</v>
      </c>
      <c r="B176" t="s">
        <v>1156</v>
      </c>
      <c r="C176" t="s">
        <v>39</v>
      </c>
      <c r="D176" t="s">
        <v>453</v>
      </c>
      <c r="E176" t="s">
        <v>731</v>
      </c>
      <c r="F176" t="s">
        <v>443</v>
      </c>
      <c r="G176" t="s">
        <v>34</v>
      </c>
      <c r="H176" t="s">
        <v>1891</v>
      </c>
      <c r="I176" t="s">
        <v>1458</v>
      </c>
      <c r="J176" t="s">
        <v>459</v>
      </c>
      <c r="K176" t="s">
        <v>41</v>
      </c>
      <c r="L176" t="s">
        <v>504</v>
      </c>
      <c r="M176" t="s">
        <v>41</v>
      </c>
      <c r="N176"/>
      <c r="O176" t="s">
        <v>446</v>
      </c>
      <c r="P176" t="s">
        <v>482</v>
      </c>
      <c r="Q176"/>
    </row>
    <row r="177" spans="1:17" x14ac:dyDescent="0.2">
      <c r="A177" t="s">
        <v>2619</v>
      </c>
      <c r="B177" t="s">
        <v>1157</v>
      </c>
      <c r="C177" t="s">
        <v>39</v>
      </c>
      <c r="D177" t="s">
        <v>453</v>
      </c>
      <c r="E177" t="s">
        <v>731</v>
      </c>
      <c r="F177" t="s">
        <v>443</v>
      </c>
      <c r="G177" t="s">
        <v>34</v>
      </c>
      <c r="H177" t="s">
        <v>1892</v>
      </c>
      <c r="I177" t="s">
        <v>1458</v>
      </c>
      <c r="J177" t="s">
        <v>459</v>
      </c>
      <c r="K177" t="s">
        <v>41</v>
      </c>
      <c r="L177" t="s">
        <v>138</v>
      </c>
      <c r="M177" t="s">
        <v>41</v>
      </c>
      <c r="N177"/>
      <c r="O177" t="s">
        <v>446</v>
      </c>
      <c r="P177" t="s">
        <v>482</v>
      </c>
      <c r="Q177"/>
    </row>
    <row r="178" spans="1:17" x14ac:dyDescent="0.2">
      <c r="A178" t="s">
        <v>2620</v>
      </c>
      <c r="B178" t="s">
        <v>1159</v>
      </c>
      <c r="C178" t="s">
        <v>39</v>
      </c>
      <c r="D178" t="s">
        <v>453</v>
      </c>
      <c r="E178" t="s">
        <v>585</v>
      </c>
      <c r="F178" t="s">
        <v>444</v>
      </c>
      <c r="G178" t="s">
        <v>1160</v>
      </c>
      <c r="H178" t="s">
        <v>1161</v>
      </c>
      <c r="I178" t="s">
        <v>2621</v>
      </c>
      <c r="J178" t="s">
        <v>459</v>
      </c>
      <c r="K178" t="s">
        <v>41</v>
      </c>
      <c r="L178" t="s">
        <v>138</v>
      </c>
      <c r="M178" t="s">
        <v>41</v>
      </c>
      <c r="N178"/>
      <c r="O178" t="s">
        <v>446</v>
      </c>
      <c r="P178" t="s">
        <v>445</v>
      </c>
      <c r="Q178" t="s">
        <v>716</v>
      </c>
    </row>
    <row r="179" spans="1:17" x14ac:dyDescent="0.2">
      <c r="A179" t="s">
        <v>2622</v>
      </c>
      <c r="B179" t="s">
        <v>1087</v>
      </c>
      <c r="C179" t="s">
        <v>39</v>
      </c>
      <c r="D179" t="s">
        <v>453</v>
      </c>
      <c r="E179" t="s">
        <v>494</v>
      </c>
      <c r="F179" t="s">
        <v>443</v>
      </c>
      <c r="G179" t="s">
        <v>34</v>
      </c>
      <c r="H179" t="s">
        <v>1162</v>
      </c>
      <c r="I179" t="s">
        <v>1467</v>
      </c>
      <c r="J179" t="s">
        <v>449</v>
      </c>
      <c r="K179" t="s">
        <v>41</v>
      </c>
      <c r="L179" t="s">
        <v>286</v>
      </c>
      <c r="M179" t="s">
        <v>41</v>
      </c>
      <c r="N179"/>
      <c r="O179" t="s">
        <v>446</v>
      </c>
      <c r="P179" t="s">
        <v>482</v>
      </c>
      <c r="Q179"/>
    </row>
    <row r="180" spans="1:17" x14ac:dyDescent="0.2">
      <c r="A180" t="s">
        <v>2623</v>
      </c>
      <c r="B180" t="s">
        <v>1088</v>
      </c>
      <c r="C180" t="s">
        <v>39</v>
      </c>
      <c r="D180" t="s">
        <v>453</v>
      </c>
      <c r="E180" t="s">
        <v>461</v>
      </c>
      <c r="F180" t="s">
        <v>443</v>
      </c>
      <c r="G180" t="s">
        <v>34</v>
      </c>
      <c r="H180" t="s">
        <v>2624</v>
      </c>
      <c r="I180" t="s">
        <v>1467</v>
      </c>
      <c r="J180" t="s">
        <v>459</v>
      </c>
      <c r="K180" t="s">
        <v>39</v>
      </c>
      <c r="L180" t="s">
        <v>504</v>
      </c>
      <c r="M180" t="s">
        <v>41</v>
      </c>
      <c r="N180" t="s">
        <v>2625</v>
      </c>
      <c r="O180" t="s">
        <v>557</v>
      </c>
      <c r="P180" t="s">
        <v>2626</v>
      </c>
      <c r="Q180"/>
    </row>
    <row r="181" spans="1:17" x14ac:dyDescent="0.2">
      <c r="A181" t="s">
        <v>2627</v>
      </c>
      <c r="B181" t="s">
        <v>1090</v>
      </c>
      <c r="C181" t="s">
        <v>39</v>
      </c>
      <c r="D181" t="s">
        <v>453</v>
      </c>
      <c r="E181" t="s">
        <v>461</v>
      </c>
      <c r="F181" t="s">
        <v>444</v>
      </c>
      <c r="G181" t="s">
        <v>529</v>
      </c>
      <c r="H181" t="s">
        <v>1163</v>
      </c>
      <c r="I181" t="s">
        <v>1462</v>
      </c>
      <c r="J181" t="s">
        <v>449</v>
      </c>
      <c r="K181" t="s">
        <v>39</v>
      </c>
      <c r="L181" t="s">
        <v>112</v>
      </c>
      <c r="M181" t="s">
        <v>41</v>
      </c>
      <c r="N181" t="s">
        <v>1894</v>
      </c>
      <c r="O181" t="s">
        <v>492</v>
      </c>
      <c r="P181" t="s">
        <v>624</v>
      </c>
      <c r="Q181" t="s">
        <v>650</v>
      </c>
    </row>
    <row r="182" spans="1:17" x14ac:dyDescent="0.2">
      <c r="A182" t="s">
        <v>2628</v>
      </c>
      <c r="B182" t="s">
        <v>1091</v>
      </c>
      <c r="C182" t="s">
        <v>39</v>
      </c>
      <c r="D182" t="s">
        <v>453</v>
      </c>
      <c r="E182" t="s">
        <v>461</v>
      </c>
      <c r="F182" t="s">
        <v>444</v>
      </c>
      <c r="G182" t="s">
        <v>1092</v>
      </c>
      <c r="H182" t="s">
        <v>1164</v>
      </c>
      <c r="I182" t="s">
        <v>1935</v>
      </c>
      <c r="J182" t="s">
        <v>459</v>
      </c>
      <c r="K182" t="s">
        <v>39</v>
      </c>
      <c r="L182" t="s">
        <v>138</v>
      </c>
      <c r="M182" t="s">
        <v>41</v>
      </c>
      <c r="N182" t="s">
        <v>1093</v>
      </c>
      <c r="O182" t="s">
        <v>446</v>
      </c>
      <c r="P182" t="s">
        <v>482</v>
      </c>
      <c r="Q182"/>
    </row>
    <row r="183" spans="1:17" x14ac:dyDescent="0.2">
      <c r="A183" t="s">
        <v>2629</v>
      </c>
      <c r="B183" t="s">
        <v>873</v>
      </c>
      <c r="C183" t="s">
        <v>39</v>
      </c>
      <c r="D183" t="s">
        <v>453</v>
      </c>
      <c r="E183" t="s">
        <v>585</v>
      </c>
      <c r="F183" t="s">
        <v>444</v>
      </c>
      <c r="G183" t="s">
        <v>633</v>
      </c>
      <c r="H183" t="s">
        <v>1895</v>
      </c>
      <c r="I183" t="s">
        <v>2630</v>
      </c>
      <c r="J183" t="s">
        <v>459</v>
      </c>
      <c r="K183" t="s">
        <v>41</v>
      </c>
      <c r="L183" t="s">
        <v>138</v>
      </c>
      <c r="M183" t="s">
        <v>41</v>
      </c>
      <c r="N183" t="s">
        <v>1896</v>
      </c>
      <c r="O183" t="s">
        <v>446</v>
      </c>
      <c r="P183" t="s">
        <v>445</v>
      </c>
      <c r="Q183" t="s">
        <v>679</v>
      </c>
    </row>
    <row r="184" spans="1:17" x14ac:dyDescent="0.2">
      <c r="A184" t="s">
        <v>2631</v>
      </c>
      <c r="B184" t="s">
        <v>872</v>
      </c>
      <c r="C184" t="s">
        <v>39</v>
      </c>
      <c r="D184" t="s">
        <v>453</v>
      </c>
      <c r="E184" t="s">
        <v>494</v>
      </c>
      <c r="F184" t="s">
        <v>444</v>
      </c>
      <c r="G184" t="s">
        <v>489</v>
      </c>
      <c r="H184" t="s">
        <v>871</v>
      </c>
      <c r="I184" t="s">
        <v>2632</v>
      </c>
      <c r="J184" t="s">
        <v>449</v>
      </c>
      <c r="K184" t="s">
        <v>41</v>
      </c>
      <c r="L184" t="s">
        <v>537</v>
      </c>
      <c r="M184" t="s">
        <v>41</v>
      </c>
      <c r="N184"/>
      <c r="O184" t="s">
        <v>645</v>
      </c>
      <c r="P184" t="s">
        <v>530</v>
      </c>
      <c r="Q184" t="s">
        <v>471</v>
      </c>
    </row>
    <row r="185" spans="1:17" x14ac:dyDescent="0.2">
      <c r="A185" t="s">
        <v>2633</v>
      </c>
      <c r="B185" t="s">
        <v>870</v>
      </c>
      <c r="C185" t="s">
        <v>39</v>
      </c>
      <c r="D185" t="s">
        <v>453</v>
      </c>
      <c r="E185" t="s">
        <v>461</v>
      </c>
      <c r="F185" t="s">
        <v>444</v>
      </c>
      <c r="G185" t="s">
        <v>489</v>
      </c>
      <c r="H185" t="s">
        <v>1897</v>
      </c>
      <c r="I185" t="s">
        <v>2634</v>
      </c>
      <c r="J185" t="s">
        <v>459</v>
      </c>
      <c r="K185" t="s">
        <v>39</v>
      </c>
      <c r="L185" t="s">
        <v>537</v>
      </c>
      <c r="M185" t="s">
        <v>41</v>
      </c>
      <c r="N185" t="s">
        <v>2635</v>
      </c>
      <c r="O185" t="s">
        <v>492</v>
      </c>
      <c r="P185" t="s">
        <v>727</v>
      </c>
      <c r="Q185" t="s">
        <v>679</v>
      </c>
    </row>
    <row r="186" spans="1:17" x14ac:dyDescent="0.2">
      <c r="A186" t="s">
        <v>2636</v>
      </c>
      <c r="B186" t="s">
        <v>869</v>
      </c>
      <c r="C186" t="s">
        <v>39</v>
      </c>
      <c r="D186" t="s">
        <v>453</v>
      </c>
      <c r="E186" t="s">
        <v>461</v>
      </c>
      <c r="F186" t="s">
        <v>444</v>
      </c>
      <c r="G186" t="s">
        <v>489</v>
      </c>
      <c r="H186" t="s">
        <v>868</v>
      </c>
      <c r="I186" t="s">
        <v>2637</v>
      </c>
      <c r="J186" t="s">
        <v>459</v>
      </c>
      <c r="K186" t="s">
        <v>39</v>
      </c>
      <c r="L186" t="s">
        <v>537</v>
      </c>
      <c r="M186" t="s">
        <v>41</v>
      </c>
      <c r="N186" t="s">
        <v>2638</v>
      </c>
      <c r="O186" t="s">
        <v>645</v>
      </c>
      <c r="P186" t="s">
        <v>530</v>
      </c>
      <c r="Q186" t="s">
        <v>735</v>
      </c>
    </row>
    <row r="187" spans="1:17" x14ac:dyDescent="0.2">
      <c r="A187" t="s">
        <v>2639</v>
      </c>
      <c r="B187" t="s">
        <v>863</v>
      </c>
      <c r="C187" t="s">
        <v>39</v>
      </c>
      <c r="D187" t="s">
        <v>453</v>
      </c>
      <c r="E187" t="s">
        <v>494</v>
      </c>
      <c r="F187" t="s">
        <v>444</v>
      </c>
      <c r="G187" t="s">
        <v>857</v>
      </c>
      <c r="H187" t="s">
        <v>1898</v>
      </c>
      <c r="I187" t="s">
        <v>2640</v>
      </c>
      <c r="J187" t="s">
        <v>449</v>
      </c>
      <c r="K187" t="s">
        <v>41</v>
      </c>
      <c r="L187" t="s">
        <v>138</v>
      </c>
      <c r="M187" t="s">
        <v>41</v>
      </c>
      <c r="N187"/>
      <c r="O187" t="s">
        <v>681</v>
      </c>
      <c r="P187" t="s">
        <v>862</v>
      </c>
      <c r="Q187" t="s">
        <v>511</v>
      </c>
    </row>
    <row r="188" spans="1:17" x14ac:dyDescent="0.2">
      <c r="A188" t="s">
        <v>2641</v>
      </c>
      <c r="B188" t="s">
        <v>861</v>
      </c>
      <c r="C188" t="s">
        <v>39</v>
      </c>
      <c r="D188" t="s">
        <v>453</v>
      </c>
      <c r="E188" t="s">
        <v>494</v>
      </c>
      <c r="F188" t="s">
        <v>444</v>
      </c>
      <c r="G188" t="s">
        <v>857</v>
      </c>
      <c r="H188" t="s">
        <v>1166</v>
      </c>
      <c r="I188" t="s">
        <v>2594</v>
      </c>
      <c r="J188" t="s">
        <v>449</v>
      </c>
      <c r="K188" t="s">
        <v>41</v>
      </c>
      <c r="L188" t="s">
        <v>138</v>
      </c>
      <c r="M188" t="s">
        <v>41</v>
      </c>
      <c r="N188"/>
      <c r="O188" t="s">
        <v>645</v>
      </c>
      <c r="P188" t="s">
        <v>521</v>
      </c>
      <c r="Q188" t="s">
        <v>716</v>
      </c>
    </row>
    <row r="189" spans="1:17" x14ac:dyDescent="0.2">
      <c r="A189" t="s">
        <v>2642</v>
      </c>
      <c r="B189" t="s">
        <v>860</v>
      </c>
      <c r="C189" t="s">
        <v>39</v>
      </c>
      <c r="D189" t="s">
        <v>453</v>
      </c>
      <c r="E189" t="s">
        <v>682</v>
      </c>
      <c r="F189" t="s">
        <v>443</v>
      </c>
      <c r="G189" t="s">
        <v>34</v>
      </c>
      <c r="H189" t="s">
        <v>859</v>
      </c>
      <c r="I189" t="s">
        <v>1468</v>
      </c>
      <c r="J189" t="s">
        <v>449</v>
      </c>
      <c r="K189" t="s">
        <v>41</v>
      </c>
      <c r="L189" t="s">
        <v>138</v>
      </c>
      <c r="M189" t="s">
        <v>41</v>
      </c>
      <c r="N189"/>
      <c r="O189" t="s">
        <v>446</v>
      </c>
      <c r="P189" t="s">
        <v>482</v>
      </c>
      <c r="Q189"/>
    </row>
    <row r="190" spans="1:17" x14ac:dyDescent="0.2">
      <c r="A190" t="s">
        <v>2643</v>
      </c>
      <c r="B190" t="s">
        <v>858</v>
      </c>
      <c r="C190" t="s">
        <v>39</v>
      </c>
      <c r="D190" t="s">
        <v>453</v>
      </c>
      <c r="E190" t="s">
        <v>494</v>
      </c>
      <c r="F190" t="s">
        <v>444</v>
      </c>
      <c r="G190" t="s">
        <v>857</v>
      </c>
      <c r="H190" t="s">
        <v>856</v>
      </c>
      <c r="I190" t="s">
        <v>2644</v>
      </c>
      <c r="J190" t="s">
        <v>449</v>
      </c>
      <c r="K190" t="s">
        <v>41</v>
      </c>
      <c r="L190" t="s">
        <v>286</v>
      </c>
      <c r="M190" t="s">
        <v>41</v>
      </c>
      <c r="N190"/>
      <c r="O190" t="s">
        <v>832</v>
      </c>
      <c r="P190" t="s">
        <v>831</v>
      </c>
      <c r="Q190" t="s">
        <v>716</v>
      </c>
    </row>
    <row r="191" spans="1:17" x14ac:dyDescent="0.2">
      <c r="A191" t="s">
        <v>2645</v>
      </c>
      <c r="B191" t="s">
        <v>855</v>
      </c>
      <c r="C191" t="s">
        <v>39</v>
      </c>
      <c r="D191" t="s">
        <v>453</v>
      </c>
      <c r="E191" t="s">
        <v>494</v>
      </c>
      <c r="F191" t="s">
        <v>444</v>
      </c>
      <c r="G191" t="s">
        <v>468</v>
      </c>
      <c r="H191" t="s">
        <v>854</v>
      </c>
      <c r="I191" t="s">
        <v>2646</v>
      </c>
      <c r="J191" t="s">
        <v>449</v>
      </c>
      <c r="K191" t="s">
        <v>41</v>
      </c>
      <c r="L191" t="s">
        <v>286</v>
      </c>
      <c r="M191" t="s">
        <v>41</v>
      </c>
      <c r="N191" t="s">
        <v>1900</v>
      </c>
      <c r="O191" t="s">
        <v>469</v>
      </c>
      <c r="P191" t="s">
        <v>469</v>
      </c>
      <c r="Q191" t="s">
        <v>456</v>
      </c>
    </row>
    <row r="192" spans="1:17" x14ac:dyDescent="0.2">
      <c r="A192" t="s">
        <v>2647</v>
      </c>
      <c r="B192" t="s">
        <v>853</v>
      </c>
      <c r="C192" t="s">
        <v>39</v>
      </c>
      <c r="D192" t="s">
        <v>453</v>
      </c>
      <c r="E192" t="s">
        <v>461</v>
      </c>
      <c r="F192" t="s">
        <v>443</v>
      </c>
      <c r="G192" t="s">
        <v>34</v>
      </c>
      <c r="H192" t="s">
        <v>1094</v>
      </c>
      <c r="I192" t="s">
        <v>1881</v>
      </c>
      <c r="J192" t="s">
        <v>459</v>
      </c>
      <c r="K192" t="s">
        <v>39</v>
      </c>
      <c r="L192" t="s">
        <v>138</v>
      </c>
      <c r="M192" t="s">
        <v>41</v>
      </c>
      <c r="N192" t="s">
        <v>1459</v>
      </c>
      <c r="O192" t="s">
        <v>557</v>
      </c>
      <c r="P192" t="s">
        <v>2648</v>
      </c>
      <c r="Q192"/>
    </row>
    <row r="193" spans="1:17" x14ac:dyDescent="0.2">
      <c r="A193" t="s">
        <v>2649</v>
      </c>
      <c r="B193" t="s">
        <v>851</v>
      </c>
      <c r="C193" t="s">
        <v>39</v>
      </c>
      <c r="D193" t="s">
        <v>453</v>
      </c>
      <c r="E193" t="s">
        <v>494</v>
      </c>
      <c r="F193" t="s">
        <v>444</v>
      </c>
      <c r="G193" t="s">
        <v>489</v>
      </c>
      <c r="H193" t="s">
        <v>850</v>
      </c>
      <c r="I193" t="s">
        <v>2650</v>
      </c>
      <c r="J193" t="s">
        <v>459</v>
      </c>
      <c r="K193" t="s">
        <v>41</v>
      </c>
      <c r="L193" t="s">
        <v>138</v>
      </c>
      <c r="M193" t="s">
        <v>41</v>
      </c>
      <c r="N193"/>
      <c r="O193" t="s">
        <v>458</v>
      </c>
      <c r="P193" t="s">
        <v>512</v>
      </c>
      <c r="Q193" t="s">
        <v>735</v>
      </c>
    </row>
    <row r="194" spans="1:17" x14ac:dyDescent="0.2">
      <c r="A194" t="s">
        <v>2651</v>
      </c>
      <c r="B194" t="s">
        <v>849</v>
      </c>
      <c r="C194" t="s">
        <v>39</v>
      </c>
      <c r="D194" t="s">
        <v>453</v>
      </c>
      <c r="E194" t="s">
        <v>461</v>
      </c>
      <c r="F194" t="s">
        <v>444</v>
      </c>
      <c r="G194" t="s">
        <v>489</v>
      </c>
      <c r="H194" t="s">
        <v>2652</v>
      </c>
      <c r="I194" t="s">
        <v>2653</v>
      </c>
      <c r="J194" t="s">
        <v>459</v>
      </c>
      <c r="K194" t="s">
        <v>39</v>
      </c>
      <c r="L194" t="s">
        <v>477</v>
      </c>
      <c r="M194" t="s">
        <v>41</v>
      </c>
      <c r="N194" t="s">
        <v>1901</v>
      </c>
      <c r="O194" t="s">
        <v>446</v>
      </c>
      <c r="P194" t="s">
        <v>445</v>
      </c>
      <c r="Q194" t="s">
        <v>511</v>
      </c>
    </row>
    <row r="195" spans="1:17" x14ac:dyDescent="0.2">
      <c r="A195" t="s">
        <v>2654</v>
      </c>
      <c r="B195" t="s">
        <v>847</v>
      </c>
      <c r="C195" t="s">
        <v>39</v>
      </c>
      <c r="D195" t="s">
        <v>453</v>
      </c>
      <c r="E195" t="s">
        <v>494</v>
      </c>
      <c r="F195" t="s">
        <v>443</v>
      </c>
      <c r="G195" t="s">
        <v>34</v>
      </c>
      <c r="H195" t="s">
        <v>846</v>
      </c>
      <c r="I195" t="s">
        <v>1469</v>
      </c>
      <c r="J195" t="s">
        <v>459</v>
      </c>
      <c r="K195" t="s">
        <v>41</v>
      </c>
      <c r="L195" t="s">
        <v>138</v>
      </c>
      <c r="M195" t="s">
        <v>41</v>
      </c>
      <c r="N195"/>
      <c r="O195" t="s">
        <v>446</v>
      </c>
      <c r="P195" t="s">
        <v>482</v>
      </c>
      <c r="Q195"/>
    </row>
    <row r="196" spans="1:17" x14ac:dyDescent="0.2">
      <c r="A196" t="s">
        <v>2655</v>
      </c>
      <c r="B196" t="s">
        <v>845</v>
      </c>
      <c r="C196" t="s">
        <v>39</v>
      </c>
      <c r="D196" t="s">
        <v>453</v>
      </c>
      <c r="E196" t="s">
        <v>570</v>
      </c>
      <c r="F196" t="s">
        <v>444</v>
      </c>
      <c r="G196" t="s">
        <v>489</v>
      </c>
      <c r="H196" t="s">
        <v>2656</v>
      </c>
      <c r="I196" t="s">
        <v>2657</v>
      </c>
      <c r="J196" t="s">
        <v>449</v>
      </c>
      <c r="K196" t="s">
        <v>41</v>
      </c>
      <c r="L196" t="s">
        <v>286</v>
      </c>
      <c r="M196" t="s">
        <v>41</v>
      </c>
      <c r="N196"/>
      <c r="O196" t="s">
        <v>446</v>
      </c>
      <c r="P196" t="s">
        <v>445</v>
      </c>
      <c r="Q196" t="s">
        <v>679</v>
      </c>
    </row>
    <row r="197" spans="1:17" x14ac:dyDescent="0.2">
      <c r="A197" t="s">
        <v>2658</v>
      </c>
      <c r="B197" t="s">
        <v>844</v>
      </c>
      <c r="C197" t="s">
        <v>39</v>
      </c>
      <c r="D197" t="s">
        <v>453</v>
      </c>
      <c r="E197" t="s">
        <v>570</v>
      </c>
      <c r="F197" t="s">
        <v>444</v>
      </c>
      <c r="G197" t="s">
        <v>489</v>
      </c>
      <c r="H197" t="s">
        <v>1902</v>
      </c>
      <c r="I197" t="s">
        <v>2659</v>
      </c>
      <c r="J197" t="s">
        <v>449</v>
      </c>
      <c r="K197" t="s">
        <v>41</v>
      </c>
      <c r="L197" t="s">
        <v>112</v>
      </c>
      <c r="M197" t="s">
        <v>41</v>
      </c>
      <c r="N197"/>
      <c r="O197" t="s">
        <v>492</v>
      </c>
      <c r="P197" t="s">
        <v>491</v>
      </c>
      <c r="Q197" t="s">
        <v>471</v>
      </c>
    </row>
    <row r="198" spans="1:17" x14ac:dyDescent="0.2">
      <c r="A198" t="s">
        <v>2660</v>
      </c>
      <c r="B198" t="s">
        <v>841</v>
      </c>
      <c r="C198" t="s">
        <v>39</v>
      </c>
      <c r="D198" t="s">
        <v>453</v>
      </c>
      <c r="E198" t="s">
        <v>494</v>
      </c>
      <c r="F198" t="s">
        <v>444</v>
      </c>
      <c r="G198" t="s">
        <v>468</v>
      </c>
      <c r="H198" t="s">
        <v>840</v>
      </c>
      <c r="I198" t="s">
        <v>2661</v>
      </c>
      <c r="J198" t="s">
        <v>449</v>
      </c>
      <c r="K198" t="s">
        <v>41</v>
      </c>
      <c r="L198" t="s">
        <v>448</v>
      </c>
      <c r="M198" t="s">
        <v>41</v>
      </c>
      <c r="N198"/>
      <c r="O198" t="s">
        <v>458</v>
      </c>
      <c r="P198" t="s">
        <v>509</v>
      </c>
      <c r="Q198" t="s">
        <v>735</v>
      </c>
    </row>
    <row r="199" spans="1:17" x14ac:dyDescent="0.2">
      <c r="A199" t="s">
        <v>2662</v>
      </c>
      <c r="B199" t="s">
        <v>1167</v>
      </c>
      <c r="C199" t="s">
        <v>39</v>
      </c>
      <c r="D199" t="s">
        <v>453</v>
      </c>
      <c r="E199" t="s">
        <v>461</v>
      </c>
      <c r="F199" t="s">
        <v>443</v>
      </c>
      <c r="G199" t="s">
        <v>34</v>
      </c>
      <c r="H199" t="s">
        <v>1168</v>
      </c>
      <c r="I199" t="s">
        <v>2663</v>
      </c>
      <c r="J199" t="s">
        <v>459</v>
      </c>
      <c r="K199" t="s">
        <v>39</v>
      </c>
      <c r="L199" t="s">
        <v>138</v>
      </c>
      <c r="M199" t="s">
        <v>41</v>
      </c>
      <c r="N199"/>
      <c r="O199" t="s">
        <v>671</v>
      </c>
      <c r="P199" t="s">
        <v>1169</v>
      </c>
      <c r="Q199"/>
    </row>
    <row r="200" spans="1:17" x14ac:dyDescent="0.2">
      <c r="A200" t="s">
        <v>2664</v>
      </c>
      <c r="B200" t="s">
        <v>839</v>
      </c>
      <c r="C200" t="s">
        <v>39</v>
      </c>
      <c r="D200" t="s">
        <v>453</v>
      </c>
      <c r="E200" t="s">
        <v>461</v>
      </c>
      <c r="F200" t="s">
        <v>443</v>
      </c>
      <c r="G200" t="s">
        <v>34</v>
      </c>
      <c r="H200" t="s">
        <v>1170</v>
      </c>
      <c r="I200" t="s">
        <v>2663</v>
      </c>
      <c r="J200" t="s">
        <v>459</v>
      </c>
      <c r="K200" t="s">
        <v>39</v>
      </c>
      <c r="L200" t="s">
        <v>138</v>
      </c>
      <c r="M200" t="s">
        <v>41</v>
      </c>
      <c r="N200"/>
      <c r="O200" t="s">
        <v>671</v>
      </c>
      <c r="P200" t="s">
        <v>1169</v>
      </c>
      <c r="Q200"/>
    </row>
    <row r="201" spans="1:17" x14ac:dyDescent="0.2">
      <c r="A201" t="s">
        <v>2665</v>
      </c>
      <c r="B201" t="s">
        <v>838</v>
      </c>
      <c r="C201" t="s">
        <v>39</v>
      </c>
      <c r="D201" t="s">
        <v>453</v>
      </c>
      <c r="E201" t="s">
        <v>461</v>
      </c>
      <c r="F201" t="s">
        <v>443</v>
      </c>
      <c r="G201" t="s">
        <v>34</v>
      </c>
      <c r="H201" t="s">
        <v>1171</v>
      </c>
      <c r="I201" t="s">
        <v>1929</v>
      </c>
      <c r="J201" t="s">
        <v>459</v>
      </c>
      <c r="K201" t="s">
        <v>39</v>
      </c>
      <c r="L201" t="s">
        <v>448</v>
      </c>
      <c r="M201" t="s">
        <v>41</v>
      </c>
      <c r="N201" t="s">
        <v>837</v>
      </c>
      <c r="O201" t="s">
        <v>671</v>
      </c>
      <c r="P201" t="s">
        <v>1172</v>
      </c>
      <c r="Q201"/>
    </row>
    <row r="202" spans="1:17" x14ac:dyDescent="0.2">
      <c r="A202" t="s">
        <v>2666</v>
      </c>
      <c r="B202" t="s">
        <v>834</v>
      </c>
      <c r="C202" t="s">
        <v>39</v>
      </c>
      <c r="D202" t="s">
        <v>453</v>
      </c>
      <c r="E202" t="s">
        <v>461</v>
      </c>
      <c r="F202" t="s">
        <v>444</v>
      </c>
      <c r="G202" t="s">
        <v>451</v>
      </c>
      <c r="H202" t="s">
        <v>833</v>
      </c>
      <c r="I202" t="s">
        <v>2667</v>
      </c>
      <c r="J202" t="s">
        <v>459</v>
      </c>
      <c r="K202" t="s">
        <v>39</v>
      </c>
      <c r="L202" t="s">
        <v>448</v>
      </c>
      <c r="M202" t="s">
        <v>41</v>
      </c>
      <c r="N202" t="s">
        <v>1903</v>
      </c>
      <c r="O202" t="s">
        <v>492</v>
      </c>
      <c r="P202" t="s">
        <v>472</v>
      </c>
      <c r="Q202" t="s">
        <v>735</v>
      </c>
    </row>
    <row r="203" spans="1:17" x14ac:dyDescent="0.2">
      <c r="A203" t="s">
        <v>2668</v>
      </c>
      <c r="B203" t="s">
        <v>830</v>
      </c>
      <c r="C203" t="s">
        <v>39</v>
      </c>
      <c r="D203" t="s">
        <v>453</v>
      </c>
      <c r="E203" t="s">
        <v>494</v>
      </c>
      <c r="F203" t="s">
        <v>443</v>
      </c>
      <c r="G203" t="s">
        <v>34</v>
      </c>
      <c r="H203" t="s">
        <v>1904</v>
      </c>
      <c r="I203" t="s">
        <v>2669</v>
      </c>
      <c r="J203" t="s">
        <v>449</v>
      </c>
      <c r="K203" t="s">
        <v>41</v>
      </c>
      <c r="L203" t="s">
        <v>477</v>
      </c>
      <c r="M203" t="s">
        <v>41</v>
      </c>
      <c r="N203"/>
      <c r="O203" t="s">
        <v>600</v>
      </c>
      <c r="P203" t="s">
        <v>539</v>
      </c>
      <c r="Q203"/>
    </row>
    <row r="204" spans="1:17" x14ac:dyDescent="0.2">
      <c r="A204" t="s">
        <v>2670</v>
      </c>
      <c r="B204" t="s">
        <v>829</v>
      </c>
      <c r="C204" t="s">
        <v>39</v>
      </c>
      <c r="D204" t="s">
        <v>453</v>
      </c>
      <c r="E204" t="s">
        <v>585</v>
      </c>
      <c r="F204" t="s">
        <v>443</v>
      </c>
      <c r="G204" t="s">
        <v>34</v>
      </c>
      <c r="H204" t="s">
        <v>828</v>
      </c>
      <c r="I204" t="s">
        <v>1905</v>
      </c>
      <c r="J204" t="s">
        <v>449</v>
      </c>
      <c r="K204" t="s">
        <v>41</v>
      </c>
      <c r="L204" t="s">
        <v>138</v>
      </c>
      <c r="M204" t="s">
        <v>41</v>
      </c>
      <c r="N204"/>
      <c r="O204" t="s">
        <v>446</v>
      </c>
      <c r="P204" t="s">
        <v>445</v>
      </c>
      <c r="Q204"/>
    </row>
    <row r="205" spans="1:17" x14ac:dyDescent="0.2">
      <c r="A205" t="s">
        <v>2671</v>
      </c>
      <c r="B205" t="s">
        <v>827</v>
      </c>
      <c r="C205" t="s">
        <v>39</v>
      </c>
      <c r="D205" t="s">
        <v>453</v>
      </c>
      <c r="E205" t="s">
        <v>461</v>
      </c>
      <c r="F205" t="s">
        <v>444</v>
      </c>
      <c r="G205" t="s">
        <v>510</v>
      </c>
      <c r="H205" t="s">
        <v>826</v>
      </c>
      <c r="I205" t="s">
        <v>2672</v>
      </c>
      <c r="J205" t="s">
        <v>459</v>
      </c>
      <c r="K205" t="s">
        <v>39</v>
      </c>
      <c r="L205" t="s">
        <v>138</v>
      </c>
      <c r="M205" t="s">
        <v>41</v>
      </c>
      <c r="N205" t="s">
        <v>1906</v>
      </c>
      <c r="O205" t="s">
        <v>492</v>
      </c>
      <c r="P205" t="s">
        <v>509</v>
      </c>
      <c r="Q205" t="s">
        <v>466</v>
      </c>
    </row>
    <row r="206" spans="1:17" x14ac:dyDescent="0.2">
      <c r="A206" t="s">
        <v>2673</v>
      </c>
      <c r="B206" t="s">
        <v>825</v>
      </c>
      <c r="C206" t="s">
        <v>39</v>
      </c>
      <c r="D206" t="s">
        <v>453</v>
      </c>
      <c r="E206" t="s">
        <v>461</v>
      </c>
      <c r="F206" t="s">
        <v>444</v>
      </c>
      <c r="G206" t="s">
        <v>451</v>
      </c>
      <c r="H206" t="s">
        <v>1173</v>
      </c>
      <c r="I206" t="s">
        <v>2674</v>
      </c>
      <c r="J206" t="s">
        <v>459</v>
      </c>
      <c r="K206" t="s">
        <v>39</v>
      </c>
      <c r="L206" t="s">
        <v>448</v>
      </c>
      <c r="M206" t="s">
        <v>41</v>
      </c>
      <c r="N206" t="s">
        <v>1907</v>
      </c>
      <c r="O206" t="s">
        <v>458</v>
      </c>
      <c r="P206" t="s">
        <v>624</v>
      </c>
      <c r="Q206" t="s">
        <v>466</v>
      </c>
    </row>
    <row r="207" spans="1:17" x14ac:dyDescent="0.2">
      <c r="A207" t="s">
        <v>2675</v>
      </c>
      <c r="B207" t="s">
        <v>823</v>
      </c>
      <c r="C207" t="s">
        <v>39</v>
      </c>
      <c r="D207" t="s">
        <v>453</v>
      </c>
      <c r="E207" t="s">
        <v>585</v>
      </c>
      <c r="F207" t="s">
        <v>444</v>
      </c>
      <c r="G207" t="s">
        <v>529</v>
      </c>
      <c r="H207" t="s">
        <v>822</v>
      </c>
      <c r="I207" t="s">
        <v>2676</v>
      </c>
      <c r="J207" t="s">
        <v>459</v>
      </c>
      <c r="K207" t="s">
        <v>41</v>
      </c>
      <c r="L207" t="s">
        <v>448</v>
      </c>
      <c r="M207" t="s">
        <v>41</v>
      </c>
      <c r="N207" t="s">
        <v>821</v>
      </c>
      <c r="O207" t="s">
        <v>446</v>
      </c>
      <c r="P207" t="s">
        <v>445</v>
      </c>
      <c r="Q207"/>
    </row>
    <row r="208" spans="1:17" x14ac:dyDescent="0.2">
      <c r="A208" t="s">
        <v>2677</v>
      </c>
      <c r="B208" t="s">
        <v>820</v>
      </c>
      <c r="C208" t="s">
        <v>39</v>
      </c>
      <c r="D208" t="s">
        <v>453</v>
      </c>
      <c r="E208" t="s">
        <v>494</v>
      </c>
      <c r="F208" t="s">
        <v>443</v>
      </c>
      <c r="G208" t="s">
        <v>34</v>
      </c>
      <c r="H208" t="s">
        <v>819</v>
      </c>
      <c r="I208" t="s">
        <v>2669</v>
      </c>
      <c r="J208" t="s">
        <v>449</v>
      </c>
      <c r="K208" t="s">
        <v>41</v>
      </c>
      <c r="L208" t="s">
        <v>138</v>
      </c>
      <c r="M208" t="s">
        <v>41</v>
      </c>
      <c r="N208"/>
      <c r="O208" t="s">
        <v>446</v>
      </c>
      <c r="P208" t="s">
        <v>482</v>
      </c>
      <c r="Q208"/>
    </row>
    <row r="209" spans="1:17" x14ac:dyDescent="0.2">
      <c r="A209" t="s">
        <v>2678</v>
      </c>
      <c r="B209" t="s">
        <v>818</v>
      </c>
      <c r="C209" t="s">
        <v>39</v>
      </c>
      <c r="D209" t="s">
        <v>453</v>
      </c>
      <c r="E209" t="s">
        <v>585</v>
      </c>
      <c r="F209" t="s">
        <v>443</v>
      </c>
      <c r="G209" t="s">
        <v>548</v>
      </c>
      <c r="H209" t="s">
        <v>2679</v>
      </c>
      <c r="I209" t="s">
        <v>2680</v>
      </c>
      <c r="J209" t="s">
        <v>449</v>
      </c>
      <c r="K209" t="s">
        <v>41</v>
      </c>
      <c r="L209" t="s">
        <v>477</v>
      </c>
      <c r="M209" t="s">
        <v>41</v>
      </c>
      <c r="N209" t="s">
        <v>2681</v>
      </c>
      <c r="O209" t="s">
        <v>446</v>
      </c>
      <c r="P209" t="s">
        <v>445</v>
      </c>
      <c r="Q209"/>
    </row>
    <row r="210" spans="1:17" x14ac:dyDescent="0.2">
      <c r="A210" t="s">
        <v>2682</v>
      </c>
      <c r="B210" t="s">
        <v>817</v>
      </c>
      <c r="C210" t="s">
        <v>39</v>
      </c>
      <c r="D210" t="s">
        <v>453</v>
      </c>
      <c r="E210" t="s">
        <v>461</v>
      </c>
      <c r="F210" t="s">
        <v>443</v>
      </c>
      <c r="G210" t="s">
        <v>34</v>
      </c>
      <c r="H210" t="s">
        <v>1909</v>
      </c>
      <c r="I210" t="s">
        <v>2680</v>
      </c>
      <c r="J210" t="s">
        <v>449</v>
      </c>
      <c r="K210" t="s">
        <v>39</v>
      </c>
      <c r="L210" t="s">
        <v>448</v>
      </c>
      <c r="M210" t="s">
        <v>41</v>
      </c>
      <c r="N210" t="s">
        <v>2683</v>
      </c>
      <c r="O210" t="s">
        <v>557</v>
      </c>
      <c r="P210" t="s">
        <v>561</v>
      </c>
      <c r="Q210"/>
    </row>
    <row r="211" spans="1:17" x14ac:dyDescent="0.2">
      <c r="A211" t="s">
        <v>2684</v>
      </c>
      <c r="B211" t="s">
        <v>816</v>
      </c>
      <c r="C211" t="s">
        <v>39</v>
      </c>
      <c r="D211" t="s">
        <v>453</v>
      </c>
      <c r="E211" t="s">
        <v>461</v>
      </c>
      <c r="F211" t="s">
        <v>443</v>
      </c>
      <c r="G211" t="s">
        <v>34</v>
      </c>
      <c r="H211" t="s">
        <v>1910</v>
      </c>
      <c r="I211" t="s">
        <v>2680</v>
      </c>
      <c r="J211" t="s">
        <v>459</v>
      </c>
      <c r="K211" t="s">
        <v>39</v>
      </c>
      <c r="L211" t="s">
        <v>138</v>
      </c>
      <c r="M211" t="s">
        <v>41</v>
      </c>
      <c r="N211" t="s">
        <v>2685</v>
      </c>
      <c r="O211" t="s">
        <v>557</v>
      </c>
      <c r="P211" t="s">
        <v>561</v>
      </c>
      <c r="Q211"/>
    </row>
    <row r="212" spans="1:17" x14ac:dyDescent="0.2">
      <c r="A212" t="s">
        <v>2686</v>
      </c>
      <c r="B212" t="s">
        <v>815</v>
      </c>
      <c r="C212" t="s">
        <v>39</v>
      </c>
      <c r="D212" t="s">
        <v>453</v>
      </c>
      <c r="E212" t="s">
        <v>461</v>
      </c>
      <c r="F212" t="s">
        <v>443</v>
      </c>
      <c r="G212" t="s">
        <v>548</v>
      </c>
      <c r="H212" t="s">
        <v>1911</v>
      </c>
      <c r="I212" t="s">
        <v>2680</v>
      </c>
      <c r="J212" t="s">
        <v>449</v>
      </c>
      <c r="K212" t="s">
        <v>39</v>
      </c>
      <c r="L212" t="s">
        <v>138</v>
      </c>
      <c r="M212" t="s">
        <v>41</v>
      </c>
      <c r="N212" t="s">
        <v>2687</v>
      </c>
      <c r="O212" t="s">
        <v>557</v>
      </c>
      <c r="P212" t="s">
        <v>561</v>
      </c>
      <c r="Q212"/>
    </row>
    <row r="213" spans="1:17" x14ac:dyDescent="0.2">
      <c r="A213" t="s">
        <v>2688</v>
      </c>
      <c r="B213" t="s">
        <v>814</v>
      </c>
      <c r="C213" t="s">
        <v>39</v>
      </c>
      <c r="D213" t="s">
        <v>453</v>
      </c>
      <c r="E213" t="s">
        <v>461</v>
      </c>
      <c r="F213" t="s">
        <v>443</v>
      </c>
      <c r="G213" t="s">
        <v>34</v>
      </c>
      <c r="H213" t="s">
        <v>1912</v>
      </c>
      <c r="I213" t="s">
        <v>2680</v>
      </c>
      <c r="J213" t="s">
        <v>449</v>
      </c>
      <c r="K213" t="s">
        <v>39</v>
      </c>
      <c r="L213" t="s">
        <v>138</v>
      </c>
      <c r="M213" t="s">
        <v>41</v>
      </c>
      <c r="N213" t="s">
        <v>2689</v>
      </c>
      <c r="O213" t="s">
        <v>557</v>
      </c>
      <c r="P213" t="s">
        <v>561</v>
      </c>
      <c r="Q213"/>
    </row>
    <row r="214" spans="1:17" x14ac:dyDescent="0.2">
      <c r="A214" t="s">
        <v>2690</v>
      </c>
      <c r="B214" t="s">
        <v>813</v>
      </c>
      <c r="C214" t="s">
        <v>39</v>
      </c>
      <c r="D214" t="s">
        <v>453</v>
      </c>
      <c r="E214" t="s">
        <v>731</v>
      </c>
      <c r="F214" t="s">
        <v>443</v>
      </c>
      <c r="G214" t="s">
        <v>34</v>
      </c>
      <c r="H214" t="s">
        <v>812</v>
      </c>
      <c r="I214" t="s">
        <v>1468</v>
      </c>
      <c r="J214" t="s">
        <v>459</v>
      </c>
      <c r="K214" t="s">
        <v>41</v>
      </c>
      <c r="L214" t="s">
        <v>477</v>
      </c>
      <c r="M214" t="s">
        <v>41</v>
      </c>
      <c r="N214"/>
      <c r="O214" t="s">
        <v>502</v>
      </c>
      <c r="P214" t="s">
        <v>630</v>
      </c>
      <c r="Q214"/>
    </row>
    <row r="215" spans="1:17" x14ac:dyDescent="0.2">
      <c r="A215" t="s">
        <v>2691</v>
      </c>
      <c r="B215" t="s">
        <v>811</v>
      </c>
      <c r="C215" t="s">
        <v>39</v>
      </c>
      <c r="D215" t="s">
        <v>453</v>
      </c>
      <c r="E215" t="s">
        <v>731</v>
      </c>
      <c r="F215" t="s">
        <v>443</v>
      </c>
      <c r="G215" t="s">
        <v>34</v>
      </c>
      <c r="H215" t="s">
        <v>810</v>
      </c>
      <c r="I215" t="s">
        <v>1468</v>
      </c>
      <c r="J215" t="s">
        <v>459</v>
      </c>
      <c r="K215" t="s">
        <v>41</v>
      </c>
      <c r="L215" t="s">
        <v>477</v>
      </c>
      <c r="M215" t="s">
        <v>41</v>
      </c>
      <c r="N215"/>
      <c r="O215" t="s">
        <v>502</v>
      </c>
      <c r="P215" t="s">
        <v>630</v>
      </c>
      <c r="Q215"/>
    </row>
    <row r="216" spans="1:17" x14ac:dyDescent="0.2">
      <c r="A216" t="s">
        <v>2692</v>
      </c>
      <c r="B216" t="s">
        <v>809</v>
      </c>
      <c r="C216" t="s">
        <v>39</v>
      </c>
      <c r="D216" t="s">
        <v>453</v>
      </c>
      <c r="E216" t="s">
        <v>494</v>
      </c>
      <c r="F216" t="s">
        <v>443</v>
      </c>
      <c r="G216" t="s">
        <v>34</v>
      </c>
      <c r="H216" t="s">
        <v>2693</v>
      </c>
      <c r="I216" t="s">
        <v>1468</v>
      </c>
      <c r="J216" t="s">
        <v>459</v>
      </c>
      <c r="K216" t="s">
        <v>41</v>
      </c>
      <c r="L216" t="s">
        <v>477</v>
      </c>
      <c r="M216" t="s">
        <v>41</v>
      </c>
      <c r="N216"/>
      <c r="O216" t="s">
        <v>502</v>
      </c>
      <c r="P216" t="s">
        <v>630</v>
      </c>
      <c r="Q216"/>
    </row>
    <row r="217" spans="1:17" x14ac:dyDescent="0.2">
      <c r="A217" t="s">
        <v>2694</v>
      </c>
      <c r="B217" t="s">
        <v>808</v>
      </c>
      <c r="C217" t="s">
        <v>39</v>
      </c>
      <c r="D217" t="s">
        <v>453</v>
      </c>
      <c r="E217" t="s">
        <v>731</v>
      </c>
      <c r="F217" t="s">
        <v>443</v>
      </c>
      <c r="G217" t="s">
        <v>34</v>
      </c>
      <c r="H217" t="s">
        <v>807</v>
      </c>
      <c r="I217" t="s">
        <v>1468</v>
      </c>
      <c r="J217" t="s">
        <v>449</v>
      </c>
      <c r="K217" t="s">
        <v>41</v>
      </c>
      <c r="L217" t="s">
        <v>477</v>
      </c>
      <c r="M217" t="s">
        <v>41</v>
      </c>
      <c r="N217"/>
      <c r="O217" t="s">
        <v>502</v>
      </c>
      <c r="P217" t="s">
        <v>630</v>
      </c>
      <c r="Q217"/>
    </row>
    <row r="218" spans="1:17" x14ac:dyDescent="0.2">
      <c r="A218" t="s">
        <v>2695</v>
      </c>
      <c r="B218" t="s">
        <v>806</v>
      </c>
      <c r="C218" t="s">
        <v>39</v>
      </c>
      <c r="D218" t="s">
        <v>453</v>
      </c>
      <c r="E218" t="s">
        <v>494</v>
      </c>
      <c r="F218" t="s">
        <v>443</v>
      </c>
      <c r="G218" t="s">
        <v>34</v>
      </c>
      <c r="H218" t="s">
        <v>805</v>
      </c>
      <c r="I218" t="s">
        <v>2696</v>
      </c>
      <c r="J218" t="s">
        <v>449</v>
      </c>
      <c r="K218" t="s">
        <v>41</v>
      </c>
      <c r="L218" t="s">
        <v>477</v>
      </c>
      <c r="M218" t="s">
        <v>41</v>
      </c>
      <c r="N218"/>
      <c r="O218" t="s">
        <v>502</v>
      </c>
      <c r="P218" t="s">
        <v>630</v>
      </c>
      <c r="Q218"/>
    </row>
    <row r="219" spans="1:17" x14ac:dyDescent="0.2">
      <c r="A219" t="s">
        <v>2697</v>
      </c>
      <c r="B219" t="s">
        <v>804</v>
      </c>
      <c r="C219" t="s">
        <v>455</v>
      </c>
      <c r="D219" t="s">
        <v>453</v>
      </c>
      <c r="E219" t="s">
        <v>585</v>
      </c>
      <c r="F219" t="s">
        <v>443</v>
      </c>
      <c r="G219" t="s">
        <v>34</v>
      </c>
      <c r="H219" t="s">
        <v>1174</v>
      </c>
      <c r="I219" t="s">
        <v>1920</v>
      </c>
      <c r="J219" t="s">
        <v>459</v>
      </c>
      <c r="K219" t="s">
        <v>41</v>
      </c>
      <c r="L219" t="s">
        <v>138</v>
      </c>
      <c r="M219" t="s">
        <v>41</v>
      </c>
      <c r="N219"/>
      <c r="O219" t="s">
        <v>446</v>
      </c>
      <c r="P219" t="s">
        <v>445</v>
      </c>
      <c r="Q219"/>
    </row>
    <row r="220" spans="1:17" x14ac:dyDescent="0.2">
      <c r="A220" t="s">
        <v>2698</v>
      </c>
      <c r="B220" t="s">
        <v>803</v>
      </c>
      <c r="C220" t="s">
        <v>39</v>
      </c>
      <c r="D220" t="s">
        <v>453</v>
      </c>
      <c r="E220" t="s">
        <v>494</v>
      </c>
      <c r="F220" t="s">
        <v>443</v>
      </c>
      <c r="G220" t="s">
        <v>34</v>
      </c>
      <c r="H220" t="s">
        <v>1175</v>
      </c>
      <c r="I220" t="s">
        <v>455</v>
      </c>
      <c r="J220" t="s">
        <v>449</v>
      </c>
      <c r="K220" t="s">
        <v>41</v>
      </c>
      <c r="L220" t="s">
        <v>286</v>
      </c>
      <c r="M220" t="s">
        <v>41</v>
      </c>
      <c r="N220"/>
      <c r="O220" t="s">
        <v>446</v>
      </c>
      <c r="P220" t="s">
        <v>482</v>
      </c>
      <c r="Q220"/>
    </row>
    <row r="221" spans="1:17" x14ac:dyDescent="0.2">
      <c r="A221" t="s">
        <v>2699</v>
      </c>
      <c r="B221" t="s">
        <v>801</v>
      </c>
      <c r="C221" t="s">
        <v>455</v>
      </c>
      <c r="D221" t="s">
        <v>453</v>
      </c>
      <c r="E221" t="s">
        <v>490</v>
      </c>
      <c r="F221" t="s">
        <v>443</v>
      </c>
      <c r="G221" t="s">
        <v>34</v>
      </c>
      <c r="H221" t="s">
        <v>2700</v>
      </c>
      <c r="I221" t="s">
        <v>2701</v>
      </c>
      <c r="J221" t="s">
        <v>449</v>
      </c>
      <c r="K221" t="s">
        <v>39</v>
      </c>
      <c r="L221" t="s">
        <v>138</v>
      </c>
      <c r="M221" t="s">
        <v>41</v>
      </c>
      <c r="N221" t="s">
        <v>2702</v>
      </c>
      <c r="O221" t="s">
        <v>557</v>
      </c>
      <c r="P221" t="s">
        <v>2626</v>
      </c>
      <c r="Q221"/>
    </row>
    <row r="222" spans="1:17" x14ac:dyDescent="0.2">
      <c r="A222" t="s">
        <v>2703</v>
      </c>
      <c r="B222" t="s">
        <v>800</v>
      </c>
      <c r="C222" t="s">
        <v>39</v>
      </c>
      <c r="D222" t="s">
        <v>453</v>
      </c>
      <c r="E222" t="s">
        <v>490</v>
      </c>
      <c r="F222" t="s">
        <v>443</v>
      </c>
      <c r="G222" t="s">
        <v>34</v>
      </c>
      <c r="H222" t="s">
        <v>2704</v>
      </c>
      <c r="I222" t="s">
        <v>2701</v>
      </c>
      <c r="J222" t="s">
        <v>449</v>
      </c>
      <c r="K222" t="s">
        <v>39</v>
      </c>
      <c r="L222" t="s">
        <v>504</v>
      </c>
      <c r="M222" t="s">
        <v>41</v>
      </c>
      <c r="N222" t="s">
        <v>2705</v>
      </c>
      <c r="O222" t="s">
        <v>557</v>
      </c>
      <c r="P222" t="s">
        <v>2626</v>
      </c>
      <c r="Q222"/>
    </row>
    <row r="223" spans="1:17" x14ac:dyDescent="0.2">
      <c r="A223" t="s">
        <v>2706</v>
      </c>
      <c r="B223" t="s">
        <v>797</v>
      </c>
      <c r="C223" t="s">
        <v>39</v>
      </c>
      <c r="D223" t="s">
        <v>453</v>
      </c>
      <c r="E223" t="s">
        <v>461</v>
      </c>
      <c r="F223" t="s">
        <v>444</v>
      </c>
      <c r="G223" t="s">
        <v>510</v>
      </c>
      <c r="H223" t="s">
        <v>1176</v>
      </c>
      <c r="I223" t="s">
        <v>1800</v>
      </c>
      <c r="J223" t="s">
        <v>459</v>
      </c>
      <c r="K223" t="s">
        <v>39</v>
      </c>
      <c r="L223" t="s">
        <v>448</v>
      </c>
      <c r="M223" t="s">
        <v>41</v>
      </c>
      <c r="N223" t="s">
        <v>1177</v>
      </c>
      <c r="O223" t="s">
        <v>446</v>
      </c>
      <c r="P223" t="s">
        <v>482</v>
      </c>
      <c r="Q223" t="s">
        <v>456</v>
      </c>
    </row>
    <row r="224" spans="1:17" x14ac:dyDescent="0.2">
      <c r="A224" t="s">
        <v>2707</v>
      </c>
      <c r="B224" t="s">
        <v>796</v>
      </c>
      <c r="C224" t="s">
        <v>39</v>
      </c>
      <c r="D224" t="s">
        <v>453</v>
      </c>
      <c r="E224" t="s">
        <v>461</v>
      </c>
      <c r="F224" t="s">
        <v>444</v>
      </c>
      <c r="G224" t="s">
        <v>510</v>
      </c>
      <c r="H224" t="s">
        <v>1178</v>
      </c>
      <c r="I224" t="s">
        <v>1800</v>
      </c>
      <c r="J224" t="s">
        <v>459</v>
      </c>
      <c r="K224" t="s">
        <v>39</v>
      </c>
      <c r="L224" t="s">
        <v>112</v>
      </c>
      <c r="M224" t="s">
        <v>41</v>
      </c>
      <c r="N224" t="s">
        <v>1179</v>
      </c>
      <c r="O224" t="s">
        <v>446</v>
      </c>
      <c r="P224" t="s">
        <v>482</v>
      </c>
      <c r="Q224" t="s">
        <v>456</v>
      </c>
    </row>
    <row r="225" spans="1:17" x14ac:dyDescent="0.2">
      <c r="A225" t="s">
        <v>2708</v>
      </c>
      <c r="B225" t="s">
        <v>795</v>
      </c>
      <c r="C225" t="s">
        <v>39</v>
      </c>
      <c r="D225" t="s">
        <v>453</v>
      </c>
      <c r="E225" t="s">
        <v>494</v>
      </c>
      <c r="F225" t="s">
        <v>443</v>
      </c>
      <c r="G225" t="s">
        <v>34</v>
      </c>
      <c r="H225" t="s">
        <v>794</v>
      </c>
      <c r="I225" t="s">
        <v>1899</v>
      </c>
      <c r="J225" t="s">
        <v>459</v>
      </c>
      <c r="K225" t="s">
        <v>41</v>
      </c>
      <c r="L225" t="s">
        <v>477</v>
      </c>
      <c r="M225" t="s">
        <v>41</v>
      </c>
      <c r="N225"/>
      <c r="O225" t="s">
        <v>446</v>
      </c>
      <c r="P225" t="s">
        <v>482</v>
      </c>
      <c r="Q225"/>
    </row>
    <row r="226" spans="1:17" x14ac:dyDescent="0.2">
      <c r="A226" t="s">
        <v>2709</v>
      </c>
      <c r="B226" t="s">
        <v>793</v>
      </c>
      <c r="C226" t="s">
        <v>39</v>
      </c>
      <c r="D226" t="s">
        <v>453</v>
      </c>
      <c r="E226" t="s">
        <v>461</v>
      </c>
      <c r="F226" t="s">
        <v>443</v>
      </c>
      <c r="G226" t="s">
        <v>34</v>
      </c>
      <c r="H226" t="s">
        <v>1180</v>
      </c>
      <c r="I226" t="s">
        <v>1917</v>
      </c>
      <c r="J226" t="s">
        <v>449</v>
      </c>
      <c r="K226" t="s">
        <v>39</v>
      </c>
      <c r="L226" t="s">
        <v>504</v>
      </c>
      <c r="M226" t="s">
        <v>41</v>
      </c>
      <c r="N226"/>
      <c r="O226" t="s">
        <v>463</v>
      </c>
      <c r="P226" t="s">
        <v>831</v>
      </c>
      <c r="Q226"/>
    </row>
    <row r="227" spans="1:17" x14ac:dyDescent="0.2">
      <c r="A227" t="s">
        <v>2710</v>
      </c>
      <c r="B227" t="s">
        <v>790</v>
      </c>
      <c r="C227" t="s">
        <v>39</v>
      </c>
      <c r="D227" t="s">
        <v>453</v>
      </c>
      <c r="E227" t="s">
        <v>461</v>
      </c>
      <c r="F227" t="s">
        <v>443</v>
      </c>
      <c r="G227" t="s">
        <v>34</v>
      </c>
      <c r="H227" t="s">
        <v>1181</v>
      </c>
      <c r="I227" t="s">
        <v>2711</v>
      </c>
      <c r="J227" t="s">
        <v>449</v>
      </c>
      <c r="K227" t="s">
        <v>39</v>
      </c>
      <c r="L227" t="s">
        <v>286</v>
      </c>
      <c r="M227" t="s">
        <v>41</v>
      </c>
      <c r="N227"/>
      <c r="O227" t="s">
        <v>463</v>
      </c>
      <c r="P227" t="s">
        <v>831</v>
      </c>
      <c r="Q227"/>
    </row>
    <row r="228" spans="1:17" x14ac:dyDescent="0.2">
      <c r="A228" t="s">
        <v>2712</v>
      </c>
      <c r="B228" t="s">
        <v>789</v>
      </c>
      <c r="C228" t="s">
        <v>39</v>
      </c>
      <c r="D228" t="s">
        <v>453</v>
      </c>
      <c r="E228" t="s">
        <v>461</v>
      </c>
      <c r="F228" t="s">
        <v>443</v>
      </c>
      <c r="G228" t="s">
        <v>34</v>
      </c>
      <c r="H228" t="s">
        <v>1182</v>
      </c>
      <c r="I228" t="s">
        <v>2711</v>
      </c>
      <c r="J228" t="s">
        <v>459</v>
      </c>
      <c r="K228" t="s">
        <v>39</v>
      </c>
      <c r="L228" t="s">
        <v>286</v>
      </c>
      <c r="M228" t="s">
        <v>41</v>
      </c>
      <c r="N228"/>
      <c r="O228" t="s">
        <v>463</v>
      </c>
      <c r="P228" t="s">
        <v>831</v>
      </c>
      <c r="Q228"/>
    </row>
    <row r="229" spans="1:17" x14ac:dyDescent="0.2">
      <c r="A229" t="s">
        <v>2713</v>
      </c>
      <c r="B229" t="s">
        <v>788</v>
      </c>
      <c r="C229" t="s">
        <v>39</v>
      </c>
      <c r="D229" t="s">
        <v>453</v>
      </c>
      <c r="E229" t="s">
        <v>461</v>
      </c>
      <c r="F229" t="s">
        <v>443</v>
      </c>
      <c r="G229" t="s">
        <v>34</v>
      </c>
      <c r="H229" t="s">
        <v>787</v>
      </c>
      <c r="I229" t="s">
        <v>2404</v>
      </c>
      <c r="J229" t="s">
        <v>449</v>
      </c>
      <c r="K229" t="s">
        <v>39</v>
      </c>
      <c r="L229" t="s">
        <v>448</v>
      </c>
      <c r="M229" t="s">
        <v>41</v>
      </c>
      <c r="N229" t="s">
        <v>2714</v>
      </c>
      <c r="O229" t="s">
        <v>446</v>
      </c>
      <c r="P229" t="s">
        <v>482</v>
      </c>
      <c r="Q229"/>
    </row>
    <row r="230" spans="1:17" x14ac:dyDescent="0.2">
      <c r="A230" t="s">
        <v>2715</v>
      </c>
      <c r="B230" t="s">
        <v>786</v>
      </c>
      <c r="C230" t="s">
        <v>39</v>
      </c>
      <c r="D230" t="s">
        <v>453</v>
      </c>
      <c r="E230" t="s">
        <v>494</v>
      </c>
      <c r="F230" t="s">
        <v>443</v>
      </c>
      <c r="G230" t="s">
        <v>34</v>
      </c>
      <c r="H230" t="s">
        <v>785</v>
      </c>
      <c r="I230" t="s">
        <v>2404</v>
      </c>
      <c r="J230" t="s">
        <v>459</v>
      </c>
      <c r="K230" t="s">
        <v>39</v>
      </c>
      <c r="L230" t="s">
        <v>537</v>
      </c>
      <c r="M230" t="s">
        <v>41</v>
      </c>
      <c r="N230" t="s">
        <v>2716</v>
      </c>
      <c r="O230" t="s">
        <v>446</v>
      </c>
      <c r="P230" t="s">
        <v>482</v>
      </c>
      <c r="Q230"/>
    </row>
    <row r="231" spans="1:17" x14ac:dyDescent="0.2">
      <c r="A231" t="s">
        <v>2717</v>
      </c>
      <c r="B231" t="s">
        <v>784</v>
      </c>
      <c r="C231" t="s">
        <v>39</v>
      </c>
      <c r="D231" t="s">
        <v>453</v>
      </c>
      <c r="E231" t="s">
        <v>494</v>
      </c>
      <c r="F231" t="s">
        <v>444</v>
      </c>
      <c r="G231" t="s">
        <v>510</v>
      </c>
      <c r="H231" t="s">
        <v>1914</v>
      </c>
      <c r="I231" t="s">
        <v>2718</v>
      </c>
      <c r="J231" t="s">
        <v>459</v>
      </c>
      <c r="K231" t="s">
        <v>41</v>
      </c>
      <c r="L231" t="s">
        <v>448</v>
      </c>
      <c r="M231" t="s">
        <v>41</v>
      </c>
      <c r="N231"/>
      <c r="O231" t="s">
        <v>492</v>
      </c>
      <c r="P231" t="s">
        <v>636</v>
      </c>
      <c r="Q231" t="s">
        <v>511</v>
      </c>
    </row>
    <row r="232" spans="1:17" x14ac:dyDescent="0.2">
      <c r="A232" t="s">
        <v>2719</v>
      </c>
      <c r="B232" t="s">
        <v>783</v>
      </c>
      <c r="C232" t="s">
        <v>39</v>
      </c>
      <c r="D232" t="s">
        <v>453</v>
      </c>
      <c r="E232" t="s">
        <v>682</v>
      </c>
      <c r="F232" t="s">
        <v>443</v>
      </c>
      <c r="G232" t="s">
        <v>34</v>
      </c>
      <c r="H232" t="s">
        <v>782</v>
      </c>
      <c r="I232" t="s">
        <v>2720</v>
      </c>
      <c r="J232" t="s">
        <v>449</v>
      </c>
      <c r="K232" t="s">
        <v>41</v>
      </c>
      <c r="L232" t="s">
        <v>477</v>
      </c>
      <c r="M232" t="s">
        <v>41</v>
      </c>
      <c r="N232"/>
      <c r="O232" t="s">
        <v>496</v>
      </c>
      <c r="P232" t="s">
        <v>630</v>
      </c>
      <c r="Q232"/>
    </row>
    <row r="233" spans="1:17" x14ac:dyDescent="0.2">
      <c r="A233" t="s">
        <v>2721</v>
      </c>
      <c r="B233" t="s">
        <v>414</v>
      </c>
      <c r="C233" t="s">
        <v>39</v>
      </c>
      <c r="D233" t="s">
        <v>453</v>
      </c>
      <c r="E233" t="s">
        <v>461</v>
      </c>
      <c r="F233" t="s">
        <v>444</v>
      </c>
      <c r="G233" t="s">
        <v>535</v>
      </c>
      <c r="H233" t="s">
        <v>1915</v>
      </c>
      <c r="I233" t="s">
        <v>2722</v>
      </c>
      <c r="J233" t="s">
        <v>459</v>
      </c>
      <c r="K233" t="s">
        <v>39</v>
      </c>
      <c r="L233" t="s">
        <v>138</v>
      </c>
      <c r="M233" t="s">
        <v>41</v>
      </c>
      <c r="N233" t="s">
        <v>1183</v>
      </c>
      <c r="O233" t="s">
        <v>446</v>
      </c>
      <c r="P233" t="s">
        <v>482</v>
      </c>
      <c r="Q233" t="s">
        <v>511</v>
      </c>
    </row>
    <row r="234" spans="1:17" x14ac:dyDescent="0.2">
      <c r="A234" t="s">
        <v>2723</v>
      </c>
      <c r="B234" t="s">
        <v>781</v>
      </c>
      <c r="C234" t="s">
        <v>39</v>
      </c>
      <c r="D234" t="s">
        <v>453</v>
      </c>
      <c r="E234" t="s">
        <v>494</v>
      </c>
      <c r="F234" t="s">
        <v>443</v>
      </c>
      <c r="G234" t="s">
        <v>34</v>
      </c>
      <c r="H234" t="s">
        <v>780</v>
      </c>
      <c r="I234" t="s">
        <v>1930</v>
      </c>
      <c r="J234" t="s">
        <v>449</v>
      </c>
      <c r="K234" t="s">
        <v>41</v>
      </c>
      <c r="L234" t="s">
        <v>138</v>
      </c>
      <c r="M234" t="s">
        <v>41</v>
      </c>
      <c r="N234" t="s">
        <v>779</v>
      </c>
      <c r="O234" t="s">
        <v>446</v>
      </c>
      <c r="P234" t="s">
        <v>482</v>
      </c>
      <c r="Q234"/>
    </row>
    <row r="235" spans="1:17" x14ac:dyDescent="0.2">
      <c r="A235" t="s">
        <v>2724</v>
      </c>
      <c r="B235" t="s">
        <v>777</v>
      </c>
      <c r="C235" t="s">
        <v>39</v>
      </c>
      <c r="D235" t="s">
        <v>453</v>
      </c>
      <c r="E235" t="s">
        <v>731</v>
      </c>
      <c r="F235" t="s">
        <v>443</v>
      </c>
      <c r="G235" t="s">
        <v>34</v>
      </c>
      <c r="H235" t="s">
        <v>1184</v>
      </c>
      <c r="I235" t="s">
        <v>2680</v>
      </c>
      <c r="J235" t="s">
        <v>459</v>
      </c>
      <c r="K235" t="s">
        <v>41</v>
      </c>
      <c r="L235" t="s">
        <v>504</v>
      </c>
      <c r="M235" t="s">
        <v>41</v>
      </c>
      <c r="N235"/>
      <c r="O235" t="s">
        <v>446</v>
      </c>
      <c r="P235" t="s">
        <v>482</v>
      </c>
      <c r="Q235"/>
    </row>
    <row r="236" spans="1:17" x14ac:dyDescent="0.2">
      <c r="A236" t="s">
        <v>2725</v>
      </c>
      <c r="B236" t="s">
        <v>776</v>
      </c>
      <c r="C236" t="s">
        <v>39</v>
      </c>
      <c r="D236" t="s">
        <v>453</v>
      </c>
      <c r="E236" t="s">
        <v>731</v>
      </c>
      <c r="F236" t="s">
        <v>443</v>
      </c>
      <c r="G236" t="s">
        <v>34</v>
      </c>
      <c r="H236" t="s">
        <v>1185</v>
      </c>
      <c r="I236" t="s">
        <v>2680</v>
      </c>
      <c r="J236" t="s">
        <v>449</v>
      </c>
      <c r="K236" t="s">
        <v>41</v>
      </c>
      <c r="L236" t="s">
        <v>138</v>
      </c>
      <c r="M236" t="s">
        <v>41</v>
      </c>
      <c r="N236"/>
      <c r="O236" t="s">
        <v>446</v>
      </c>
      <c r="P236" t="s">
        <v>482</v>
      </c>
      <c r="Q236"/>
    </row>
    <row r="237" spans="1:17" x14ac:dyDescent="0.2">
      <c r="A237" t="s">
        <v>2726</v>
      </c>
      <c r="B237" t="s">
        <v>773</v>
      </c>
      <c r="C237" t="s">
        <v>39</v>
      </c>
      <c r="D237" t="s">
        <v>453</v>
      </c>
      <c r="E237" t="s">
        <v>461</v>
      </c>
      <c r="F237" t="s">
        <v>443</v>
      </c>
      <c r="G237" t="s">
        <v>548</v>
      </c>
      <c r="H237" t="s">
        <v>771</v>
      </c>
      <c r="I237" t="s">
        <v>2727</v>
      </c>
      <c r="J237" t="s">
        <v>459</v>
      </c>
      <c r="K237" t="s">
        <v>39</v>
      </c>
      <c r="L237" t="s">
        <v>286</v>
      </c>
      <c r="M237" t="s">
        <v>41</v>
      </c>
      <c r="N237"/>
      <c r="O237" t="s">
        <v>463</v>
      </c>
      <c r="P237" t="s">
        <v>462</v>
      </c>
      <c r="Q237"/>
    </row>
    <row r="238" spans="1:17" x14ac:dyDescent="0.2">
      <c r="A238" t="s">
        <v>2728</v>
      </c>
      <c r="B238" t="s">
        <v>770</v>
      </c>
      <c r="C238" t="s">
        <v>39</v>
      </c>
      <c r="D238" t="s">
        <v>453</v>
      </c>
      <c r="E238" t="s">
        <v>494</v>
      </c>
      <c r="F238" t="s">
        <v>443</v>
      </c>
      <c r="G238" t="s">
        <v>34</v>
      </c>
      <c r="H238" t="s">
        <v>769</v>
      </c>
      <c r="I238" t="s">
        <v>1144</v>
      </c>
      <c r="J238" t="s">
        <v>459</v>
      </c>
      <c r="K238" t="s">
        <v>41</v>
      </c>
      <c r="L238" t="s">
        <v>477</v>
      </c>
      <c r="M238" t="s">
        <v>41</v>
      </c>
      <c r="N238"/>
      <c r="O238" t="s">
        <v>446</v>
      </c>
      <c r="P238" t="s">
        <v>482</v>
      </c>
      <c r="Q238"/>
    </row>
    <row r="239" spans="1:17" x14ac:dyDescent="0.2">
      <c r="A239" t="s">
        <v>2729</v>
      </c>
      <c r="B239" t="s">
        <v>765</v>
      </c>
      <c r="C239" t="s">
        <v>39</v>
      </c>
      <c r="D239" t="s">
        <v>453</v>
      </c>
      <c r="E239" t="s">
        <v>461</v>
      </c>
      <c r="F239" t="s">
        <v>444</v>
      </c>
      <c r="G239" t="s">
        <v>460</v>
      </c>
      <c r="H239" t="s">
        <v>764</v>
      </c>
      <c r="I239" t="s">
        <v>1200</v>
      </c>
      <c r="J239" t="s">
        <v>459</v>
      </c>
      <c r="K239" t="s">
        <v>39</v>
      </c>
      <c r="L239" t="s">
        <v>138</v>
      </c>
      <c r="M239" t="s">
        <v>41</v>
      </c>
      <c r="N239" t="s">
        <v>763</v>
      </c>
      <c r="O239" t="s">
        <v>446</v>
      </c>
      <c r="P239" t="s">
        <v>482</v>
      </c>
      <c r="Q239"/>
    </row>
    <row r="240" spans="1:17" x14ac:dyDescent="0.2">
      <c r="A240" t="s">
        <v>2730</v>
      </c>
      <c r="B240" t="s">
        <v>422</v>
      </c>
      <c r="C240" t="s">
        <v>39</v>
      </c>
      <c r="D240" t="s">
        <v>453</v>
      </c>
      <c r="E240" t="s">
        <v>461</v>
      </c>
      <c r="F240" t="s">
        <v>444</v>
      </c>
      <c r="G240" t="s">
        <v>489</v>
      </c>
      <c r="H240" t="s">
        <v>762</v>
      </c>
      <c r="I240" t="s">
        <v>2731</v>
      </c>
      <c r="J240" t="s">
        <v>449</v>
      </c>
      <c r="K240" t="s">
        <v>39</v>
      </c>
      <c r="L240" t="s">
        <v>448</v>
      </c>
      <c r="M240" t="s">
        <v>41</v>
      </c>
      <c r="N240" t="s">
        <v>1916</v>
      </c>
      <c r="O240" t="s">
        <v>446</v>
      </c>
      <c r="P240" t="s">
        <v>482</v>
      </c>
      <c r="Q240" t="s">
        <v>761</v>
      </c>
    </row>
    <row r="241" spans="1:17" x14ac:dyDescent="0.2">
      <c r="A241" t="s">
        <v>2732</v>
      </c>
      <c r="B241" t="s">
        <v>759</v>
      </c>
      <c r="C241" t="s">
        <v>39</v>
      </c>
      <c r="D241" t="s">
        <v>453</v>
      </c>
      <c r="E241" t="s">
        <v>749</v>
      </c>
      <c r="F241" t="s">
        <v>569</v>
      </c>
      <c r="G241" t="s">
        <v>568</v>
      </c>
      <c r="H241" t="s">
        <v>758</v>
      </c>
      <c r="I241" t="s">
        <v>1905</v>
      </c>
      <c r="J241" t="s">
        <v>449</v>
      </c>
      <c r="K241" t="s">
        <v>41</v>
      </c>
      <c r="L241" t="s">
        <v>662</v>
      </c>
      <c r="M241" t="s">
        <v>41</v>
      </c>
      <c r="N241"/>
      <c r="O241" t="s">
        <v>566</v>
      </c>
      <c r="P241" t="s">
        <v>748</v>
      </c>
      <c r="Q241" t="s">
        <v>758</v>
      </c>
    </row>
    <row r="242" spans="1:17" x14ac:dyDescent="0.2">
      <c r="A242" t="s">
        <v>2733</v>
      </c>
      <c r="B242" t="s">
        <v>757</v>
      </c>
      <c r="C242" t="s">
        <v>39</v>
      </c>
      <c r="D242" t="s">
        <v>453</v>
      </c>
      <c r="E242" t="s">
        <v>749</v>
      </c>
      <c r="F242" t="s">
        <v>569</v>
      </c>
      <c r="G242" t="s">
        <v>568</v>
      </c>
      <c r="H242" t="s">
        <v>756</v>
      </c>
      <c r="I242" t="s">
        <v>1905</v>
      </c>
      <c r="J242" t="s">
        <v>459</v>
      </c>
      <c r="K242" t="s">
        <v>41</v>
      </c>
      <c r="L242" t="s">
        <v>286</v>
      </c>
      <c r="M242" t="s">
        <v>41</v>
      </c>
      <c r="N242"/>
      <c r="O242" t="s">
        <v>566</v>
      </c>
      <c r="P242" t="s">
        <v>748</v>
      </c>
      <c r="Q242" t="s">
        <v>756</v>
      </c>
    </row>
    <row r="243" spans="1:17" x14ac:dyDescent="0.2">
      <c r="A243" t="s">
        <v>2734</v>
      </c>
      <c r="B243" t="s">
        <v>755</v>
      </c>
      <c r="C243" t="s">
        <v>39</v>
      </c>
      <c r="D243" t="s">
        <v>453</v>
      </c>
      <c r="E243" t="s">
        <v>749</v>
      </c>
      <c r="F243" t="s">
        <v>569</v>
      </c>
      <c r="G243" t="s">
        <v>568</v>
      </c>
      <c r="H243" t="s">
        <v>754</v>
      </c>
      <c r="I243" t="s">
        <v>1905</v>
      </c>
      <c r="J243" t="s">
        <v>449</v>
      </c>
      <c r="K243" t="s">
        <v>41</v>
      </c>
      <c r="L243" t="s">
        <v>286</v>
      </c>
      <c r="M243" t="s">
        <v>41</v>
      </c>
      <c r="N243"/>
      <c r="O243" t="s">
        <v>566</v>
      </c>
      <c r="P243" t="s">
        <v>748</v>
      </c>
      <c r="Q243" t="s">
        <v>753</v>
      </c>
    </row>
    <row r="244" spans="1:17" x14ac:dyDescent="0.2">
      <c r="A244" t="s">
        <v>2735</v>
      </c>
      <c r="B244" t="s">
        <v>752</v>
      </c>
      <c r="C244" t="s">
        <v>39</v>
      </c>
      <c r="D244" t="s">
        <v>453</v>
      </c>
      <c r="E244" t="s">
        <v>749</v>
      </c>
      <c r="F244" t="s">
        <v>569</v>
      </c>
      <c r="G244" t="s">
        <v>568</v>
      </c>
      <c r="H244" t="s">
        <v>751</v>
      </c>
      <c r="I244" t="s">
        <v>1905</v>
      </c>
      <c r="J244" t="s">
        <v>459</v>
      </c>
      <c r="K244" t="s">
        <v>41</v>
      </c>
      <c r="L244" t="s">
        <v>286</v>
      </c>
      <c r="M244" t="s">
        <v>41</v>
      </c>
      <c r="N244"/>
      <c r="O244" t="s">
        <v>566</v>
      </c>
      <c r="P244" t="s">
        <v>748</v>
      </c>
      <c r="Q244" t="s">
        <v>751</v>
      </c>
    </row>
    <row r="245" spans="1:17" x14ac:dyDescent="0.2">
      <c r="A245" t="s">
        <v>2736</v>
      </c>
      <c r="B245" t="s">
        <v>750</v>
      </c>
      <c r="C245" t="s">
        <v>39</v>
      </c>
      <c r="D245" t="s">
        <v>453</v>
      </c>
      <c r="E245" t="s">
        <v>749</v>
      </c>
      <c r="F245" t="s">
        <v>569</v>
      </c>
      <c r="G245" t="s">
        <v>568</v>
      </c>
      <c r="H245" t="s">
        <v>747</v>
      </c>
      <c r="I245" t="s">
        <v>1905</v>
      </c>
      <c r="J245" t="s">
        <v>449</v>
      </c>
      <c r="K245" t="s">
        <v>41</v>
      </c>
      <c r="L245" t="s">
        <v>138</v>
      </c>
      <c r="M245" t="s">
        <v>41</v>
      </c>
      <c r="N245"/>
      <c r="O245" t="s">
        <v>566</v>
      </c>
      <c r="P245" t="s">
        <v>748</v>
      </c>
      <c r="Q245" t="s">
        <v>747</v>
      </c>
    </row>
    <row r="246" spans="1:17" x14ac:dyDescent="0.2">
      <c r="A246" t="s">
        <v>2737</v>
      </c>
      <c r="B246" t="s">
        <v>403</v>
      </c>
      <c r="C246" t="s">
        <v>39</v>
      </c>
      <c r="D246" t="s">
        <v>453</v>
      </c>
      <c r="E246" t="s">
        <v>461</v>
      </c>
      <c r="F246" t="s">
        <v>444</v>
      </c>
      <c r="G246" t="s">
        <v>529</v>
      </c>
      <c r="H246" t="s">
        <v>1186</v>
      </c>
      <c r="I246" t="s">
        <v>2738</v>
      </c>
      <c r="J246" t="s">
        <v>449</v>
      </c>
      <c r="K246" t="s">
        <v>39</v>
      </c>
      <c r="L246" t="s">
        <v>286</v>
      </c>
      <c r="M246" t="s">
        <v>41</v>
      </c>
      <c r="N246" t="s">
        <v>1918</v>
      </c>
      <c r="O246" t="s">
        <v>446</v>
      </c>
      <c r="P246" t="s">
        <v>482</v>
      </c>
      <c r="Q246" t="s">
        <v>456</v>
      </c>
    </row>
    <row r="247" spans="1:17" x14ac:dyDescent="0.2">
      <c r="A247" t="s">
        <v>2739</v>
      </c>
      <c r="B247" t="s">
        <v>370</v>
      </c>
      <c r="C247" t="s">
        <v>39</v>
      </c>
      <c r="D247" t="s">
        <v>453</v>
      </c>
      <c r="E247" t="s">
        <v>461</v>
      </c>
      <c r="F247" t="s">
        <v>444</v>
      </c>
      <c r="G247" t="s">
        <v>529</v>
      </c>
      <c r="H247" t="s">
        <v>1919</v>
      </c>
      <c r="I247" t="s">
        <v>2731</v>
      </c>
      <c r="J247" t="s">
        <v>459</v>
      </c>
      <c r="K247" t="s">
        <v>39</v>
      </c>
      <c r="L247" t="s">
        <v>537</v>
      </c>
      <c r="M247" t="s">
        <v>41</v>
      </c>
      <c r="N247" t="s">
        <v>1188</v>
      </c>
      <c r="O247" t="s">
        <v>446</v>
      </c>
      <c r="P247" t="s">
        <v>482</v>
      </c>
      <c r="Q247" t="s">
        <v>456</v>
      </c>
    </row>
    <row r="248" spans="1:17" x14ac:dyDescent="0.2">
      <c r="A248" t="s">
        <v>2740</v>
      </c>
      <c r="B248" t="s">
        <v>743</v>
      </c>
      <c r="C248" t="s">
        <v>39</v>
      </c>
      <c r="D248" t="s">
        <v>453</v>
      </c>
      <c r="E248" t="s">
        <v>494</v>
      </c>
      <c r="F248" t="s">
        <v>443</v>
      </c>
      <c r="G248" t="s">
        <v>34</v>
      </c>
      <c r="H248" t="s">
        <v>1868</v>
      </c>
      <c r="I248" t="s">
        <v>1928</v>
      </c>
      <c r="J248" t="s">
        <v>449</v>
      </c>
      <c r="K248" t="s">
        <v>41</v>
      </c>
      <c r="L248" t="s">
        <v>448</v>
      </c>
      <c r="M248" t="s">
        <v>41</v>
      </c>
      <c r="N248"/>
      <c r="O248" t="s">
        <v>639</v>
      </c>
      <c r="P248" t="s">
        <v>491</v>
      </c>
      <c r="Q248"/>
    </row>
    <row r="249" spans="1:17" x14ac:dyDescent="0.2">
      <c r="A249" t="s">
        <v>2741</v>
      </c>
      <c r="B249" t="s">
        <v>333</v>
      </c>
      <c r="C249" t="s">
        <v>39</v>
      </c>
      <c r="D249" t="s">
        <v>453</v>
      </c>
      <c r="E249" t="s">
        <v>461</v>
      </c>
      <c r="F249" t="s">
        <v>444</v>
      </c>
      <c r="G249" t="s">
        <v>451</v>
      </c>
      <c r="H249" t="s">
        <v>334</v>
      </c>
      <c r="I249" t="s">
        <v>1922</v>
      </c>
      <c r="J249" t="s">
        <v>459</v>
      </c>
      <c r="K249" t="s">
        <v>39</v>
      </c>
      <c r="L249" t="s">
        <v>742</v>
      </c>
      <c r="M249" t="s">
        <v>41</v>
      </c>
      <c r="N249" t="s">
        <v>741</v>
      </c>
      <c r="O249" t="s">
        <v>492</v>
      </c>
      <c r="P249" t="s">
        <v>525</v>
      </c>
      <c r="Q249" t="s">
        <v>511</v>
      </c>
    </row>
    <row r="250" spans="1:17" x14ac:dyDescent="0.2">
      <c r="A250" t="s">
        <v>2742</v>
      </c>
      <c r="B250" t="s">
        <v>740</v>
      </c>
      <c r="C250" t="s">
        <v>39</v>
      </c>
      <c r="D250" t="s">
        <v>453</v>
      </c>
      <c r="E250" t="s">
        <v>585</v>
      </c>
      <c r="F250" t="s">
        <v>443</v>
      </c>
      <c r="G250" t="s">
        <v>34</v>
      </c>
      <c r="H250" t="s">
        <v>739</v>
      </c>
      <c r="I250" t="s">
        <v>2743</v>
      </c>
      <c r="J250" t="s">
        <v>459</v>
      </c>
      <c r="K250" t="s">
        <v>41</v>
      </c>
      <c r="L250" t="s">
        <v>138</v>
      </c>
      <c r="M250" t="s">
        <v>41</v>
      </c>
      <c r="N250"/>
      <c r="O250" t="s">
        <v>446</v>
      </c>
      <c r="P250" t="s">
        <v>445</v>
      </c>
      <c r="Q250"/>
    </row>
    <row r="251" spans="1:17" x14ac:dyDescent="0.2">
      <c r="A251" t="s">
        <v>2744</v>
      </c>
      <c r="B251" t="s">
        <v>430</v>
      </c>
      <c r="C251" t="s">
        <v>39</v>
      </c>
      <c r="D251" t="s">
        <v>453</v>
      </c>
      <c r="E251" t="s">
        <v>461</v>
      </c>
      <c r="F251" t="s">
        <v>444</v>
      </c>
      <c r="G251" t="s">
        <v>529</v>
      </c>
      <c r="H251" t="s">
        <v>431</v>
      </c>
      <c r="I251" t="s">
        <v>2745</v>
      </c>
      <c r="J251" t="s">
        <v>459</v>
      </c>
      <c r="K251" t="s">
        <v>39</v>
      </c>
      <c r="L251" t="s">
        <v>138</v>
      </c>
      <c r="M251" t="s">
        <v>41</v>
      </c>
      <c r="N251" t="s">
        <v>738</v>
      </c>
      <c r="O251" t="s">
        <v>458</v>
      </c>
      <c r="P251" t="s">
        <v>698</v>
      </c>
      <c r="Q251" t="s">
        <v>511</v>
      </c>
    </row>
    <row r="252" spans="1:17" x14ac:dyDescent="0.2">
      <c r="A252" t="s">
        <v>2746</v>
      </c>
      <c r="B252" t="s">
        <v>327</v>
      </c>
      <c r="C252" t="s">
        <v>39</v>
      </c>
      <c r="D252" t="s">
        <v>453</v>
      </c>
      <c r="E252" t="s">
        <v>461</v>
      </c>
      <c r="F252" t="s">
        <v>444</v>
      </c>
      <c r="G252" t="s">
        <v>535</v>
      </c>
      <c r="H252" t="s">
        <v>2747</v>
      </c>
      <c r="I252" t="s">
        <v>2748</v>
      </c>
      <c r="J252" t="s">
        <v>459</v>
      </c>
      <c r="K252" t="s">
        <v>39</v>
      </c>
      <c r="L252" t="s">
        <v>138</v>
      </c>
      <c r="M252" t="s">
        <v>41</v>
      </c>
      <c r="N252" t="s">
        <v>736</v>
      </c>
      <c r="O252" t="s">
        <v>446</v>
      </c>
      <c r="P252" t="s">
        <v>482</v>
      </c>
      <c r="Q252" t="s">
        <v>735</v>
      </c>
    </row>
    <row r="253" spans="1:17" x14ac:dyDescent="0.2">
      <c r="A253" t="s">
        <v>2749</v>
      </c>
      <c r="B253" t="s">
        <v>734</v>
      </c>
      <c r="C253" t="s">
        <v>39</v>
      </c>
      <c r="D253" t="s">
        <v>453</v>
      </c>
      <c r="E253" t="s">
        <v>585</v>
      </c>
      <c r="F253" t="s">
        <v>443</v>
      </c>
      <c r="G253" t="s">
        <v>34</v>
      </c>
      <c r="H253" t="s">
        <v>733</v>
      </c>
      <c r="I253" t="s">
        <v>2498</v>
      </c>
      <c r="J253" t="s">
        <v>449</v>
      </c>
      <c r="K253" t="s">
        <v>41</v>
      </c>
      <c r="L253" t="s">
        <v>138</v>
      </c>
      <c r="M253" t="s">
        <v>41</v>
      </c>
      <c r="N253"/>
      <c r="O253" t="s">
        <v>446</v>
      </c>
      <c r="P253" t="s">
        <v>445</v>
      </c>
      <c r="Q253"/>
    </row>
    <row r="254" spans="1:17" x14ac:dyDescent="0.2">
      <c r="A254" t="s">
        <v>2750</v>
      </c>
      <c r="B254" t="s">
        <v>732</v>
      </c>
      <c r="C254" t="s">
        <v>39</v>
      </c>
      <c r="D254" t="s">
        <v>453</v>
      </c>
      <c r="E254" t="s">
        <v>494</v>
      </c>
      <c r="F254" t="s">
        <v>443</v>
      </c>
      <c r="G254" t="s">
        <v>34</v>
      </c>
      <c r="H254" t="s">
        <v>1921</v>
      </c>
      <c r="I254" t="s">
        <v>1144</v>
      </c>
      <c r="J254" t="s">
        <v>449</v>
      </c>
      <c r="K254" t="s">
        <v>41</v>
      </c>
      <c r="L254" t="s">
        <v>138</v>
      </c>
      <c r="M254" t="s">
        <v>41</v>
      </c>
      <c r="N254"/>
      <c r="O254" t="s">
        <v>446</v>
      </c>
      <c r="P254" t="s">
        <v>482</v>
      </c>
      <c r="Q254"/>
    </row>
    <row r="255" spans="1:17" x14ac:dyDescent="0.2">
      <c r="A255" t="s">
        <v>2751</v>
      </c>
      <c r="B255" t="s">
        <v>355</v>
      </c>
      <c r="C255" t="s">
        <v>39</v>
      </c>
      <c r="D255" t="s">
        <v>453</v>
      </c>
      <c r="E255" t="s">
        <v>461</v>
      </c>
      <c r="F255" t="s">
        <v>444</v>
      </c>
      <c r="G255" t="s">
        <v>510</v>
      </c>
      <c r="H255" t="s">
        <v>356</v>
      </c>
      <c r="I255" t="s">
        <v>2752</v>
      </c>
      <c r="J255" t="s">
        <v>449</v>
      </c>
      <c r="K255" t="s">
        <v>39</v>
      </c>
      <c r="L255" t="s">
        <v>537</v>
      </c>
      <c r="M255" t="s">
        <v>41</v>
      </c>
      <c r="N255" t="s">
        <v>728</v>
      </c>
      <c r="O255" t="s">
        <v>458</v>
      </c>
      <c r="P255" t="s">
        <v>727</v>
      </c>
      <c r="Q255" t="s">
        <v>520</v>
      </c>
    </row>
    <row r="256" spans="1:17" x14ac:dyDescent="0.2">
      <c r="A256" t="s">
        <v>2753</v>
      </c>
      <c r="B256" t="s">
        <v>726</v>
      </c>
      <c r="C256" t="s">
        <v>39</v>
      </c>
      <c r="D256" t="s">
        <v>453</v>
      </c>
      <c r="E256" t="s">
        <v>461</v>
      </c>
      <c r="F256" t="s">
        <v>443</v>
      </c>
      <c r="G256" t="s">
        <v>34</v>
      </c>
      <c r="H256" t="s">
        <v>725</v>
      </c>
      <c r="I256" t="s">
        <v>2754</v>
      </c>
      <c r="J256" t="s">
        <v>449</v>
      </c>
      <c r="K256" t="s">
        <v>39</v>
      </c>
      <c r="L256" t="s">
        <v>138</v>
      </c>
      <c r="M256" t="s">
        <v>41</v>
      </c>
      <c r="N256"/>
      <c r="O256" t="s">
        <v>463</v>
      </c>
      <c r="P256" t="s">
        <v>724</v>
      </c>
      <c r="Q256"/>
    </row>
    <row r="257" spans="1:17" x14ac:dyDescent="0.2">
      <c r="A257" t="s">
        <v>2755</v>
      </c>
      <c r="B257" t="s">
        <v>321</v>
      </c>
      <c r="C257" t="s">
        <v>39</v>
      </c>
      <c r="D257" t="s">
        <v>453</v>
      </c>
      <c r="E257" t="s">
        <v>461</v>
      </c>
      <c r="F257" t="s">
        <v>444</v>
      </c>
      <c r="G257" t="s">
        <v>529</v>
      </c>
      <c r="H257" t="s">
        <v>322</v>
      </c>
      <c r="I257" t="s">
        <v>1929</v>
      </c>
      <c r="J257" t="s">
        <v>459</v>
      </c>
      <c r="K257" t="s">
        <v>39</v>
      </c>
      <c r="L257" t="s">
        <v>448</v>
      </c>
      <c r="M257" t="s">
        <v>41</v>
      </c>
      <c r="N257" t="s">
        <v>723</v>
      </c>
      <c r="O257" t="s">
        <v>492</v>
      </c>
      <c r="P257" t="s">
        <v>630</v>
      </c>
      <c r="Q257" t="s">
        <v>456</v>
      </c>
    </row>
    <row r="258" spans="1:17" x14ac:dyDescent="0.2">
      <c r="A258" t="s">
        <v>2756</v>
      </c>
      <c r="B258" t="s">
        <v>722</v>
      </c>
      <c r="C258" t="s">
        <v>39</v>
      </c>
      <c r="D258" t="s">
        <v>453</v>
      </c>
      <c r="E258" t="s">
        <v>461</v>
      </c>
      <c r="F258" t="s">
        <v>443</v>
      </c>
      <c r="G258" t="s">
        <v>34</v>
      </c>
      <c r="H258" t="s">
        <v>721</v>
      </c>
      <c r="I258" t="s">
        <v>2757</v>
      </c>
      <c r="J258" t="s">
        <v>449</v>
      </c>
      <c r="K258" t="s">
        <v>39</v>
      </c>
      <c r="L258" t="s">
        <v>138</v>
      </c>
      <c r="M258" t="s">
        <v>41</v>
      </c>
      <c r="N258"/>
      <c r="O258" t="s">
        <v>463</v>
      </c>
      <c r="P258" t="s">
        <v>558</v>
      </c>
      <c r="Q258"/>
    </row>
    <row r="259" spans="1:17" x14ac:dyDescent="0.2">
      <c r="A259" t="s">
        <v>2758</v>
      </c>
      <c r="B259" t="s">
        <v>720</v>
      </c>
      <c r="C259" t="s">
        <v>39</v>
      </c>
      <c r="D259" t="s">
        <v>453</v>
      </c>
      <c r="E259" t="s">
        <v>494</v>
      </c>
      <c r="F259" t="s">
        <v>444</v>
      </c>
      <c r="G259" t="s">
        <v>529</v>
      </c>
      <c r="H259" t="s">
        <v>719</v>
      </c>
      <c r="I259" t="s">
        <v>2759</v>
      </c>
      <c r="J259" t="s">
        <v>449</v>
      </c>
      <c r="K259" t="s">
        <v>41</v>
      </c>
      <c r="L259" t="s">
        <v>286</v>
      </c>
      <c r="M259" t="s">
        <v>41</v>
      </c>
      <c r="N259"/>
      <c r="O259" t="s">
        <v>492</v>
      </c>
      <c r="P259" t="s">
        <v>495</v>
      </c>
      <c r="Q259" t="s">
        <v>716</v>
      </c>
    </row>
    <row r="260" spans="1:17" x14ac:dyDescent="0.2">
      <c r="A260" t="s">
        <v>2760</v>
      </c>
      <c r="B260" t="s">
        <v>718</v>
      </c>
      <c r="C260" t="s">
        <v>39</v>
      </c>
      <c r="D260" t="s">
        <v>453</v>
      </c>
      <c r="E260" t="s">
        <v>494</v>
      </c>
      <c r="F260" t="s">
        <v>444</v>
      </c>
      <c r="G260" t="s">
        <v>489</v>
      </c>
      <c r="H260" t="s">
        <v>717</v>
      </c>
      <c r="I260" t="s">
        <v>2650</v>
      </c>
      <c r="J260" t="s">
        <v>449</v>
      </c>
      <c r="K260" t="s">
        <v>41</v>
      </c>
      <c r="L260" t="s">
        <v>286</v>
      </c>
      <c r="M260" t="s">
        <v>41</v>
      </c>
      <c r="N260"/>
      <c r="O260" t="s">
        <v>492</v>
      </c>
      <c r="P260" t="s">
        <v>467</v>
      </c>
      <c r="Q260" t="s">
        <v>716</v>
      </c>
    </row>
    <row r="261" spans="1:17" x14ac:dyDescent="0.2">
      <c r="A261" t="s">
        <v>2761</v>
      </c>
      <c r="B261" t="s">
        <v>435</v>
      </c>
      <c r="C261" t="s">
        <v>39</v>
      </c>
      <c r="D261" t="s">
        <v>453</v>
      </c>
      <c r="E261" t="s">
        <v>461</v>
      </c>
      <c r="F261" t="s">
        <v>444</v>
      </c>
      <c r="G261" t="s">
        <v>489</v>
      </c>
      <c r="H261" t="s">
        <v>436</v>
      </c>
      <c r="I261" t="s">
        <v>2757</v>
      </c>
      <c r="J261" t="s">
        <v>449</v>
      </c>
      <c r="K261" t="s">
        <v>39</v>
      </c>
      <c r="L261" t="s">
        <v>286</v>
      </c>
      <c r="M261" t="s">
        <v>41</v>
      </c>
      <c r="N261" t="s">
        <v>1923</v>
      </c>
      <c r="O261" t="s">
        <v>458</v>
      </c>
      <c r="P261" t="s">
        <v>457</v>
      </c>
      <c r="Q261" t="s">
        <v>716</v>
      </c>
    </row>
    <row r="262" spans="1:17" x14ac:dyDescent="0.2">
      <c r="A262" t="s">
        <v>2762</v>
      </c>
      <c r="B262" t="s">
        <v>715</v>
      </c>
      <c r="C262" t="s">
        <v>39</v>
      </c>
      <c r="D262" t="s">
        <v>453</v>
      </c>
      <c r="E262" t="s">
        <v>494</v>
      </c>
      <c r="F262" t="s">
        <v>444</v>
      </c>
      <c r="G262" t="s">
        <v>489</v>
      </c>
      <c r="H262" t="s">
        <v>714</v>
      </c>
      <c r="I262" t="s">
        <v>2650</v>
      </c>
      <c r="J262" t="s">
        <v>449</v>
      </c>
      <c r="K262" t="s">
        <v>41</v>
      </c>
      <c r="L262" t="s">
        <v>448</v>
      </c>
      <c r="M262" t="s">
        <v>41</v>
      </c>
      <c r="N262"/>
      <c r="O262" t="s">
        <v>492</v>
      </c>
      <c r="P262" t="s">
        <v>691</v>
      </c>
      <c r="Q262" t="s">
        <v>471</v>
      </c>
    </row>
    <row r="263" spans="1:17" x14ac:dyDescent="0.2">
      <c r="A263" t="s">
        <v>2763</v>
      </c>
      <c r="B263" t="s">
        <v>713</v>
      </c>
      <c r="C263" t="s">
        <v>39</v>
      </c>
      <c r="D263" t="s">
        <v>453</v>
      </c>
      <c r="E263" t="s">
        <v>461</v>
      </c>
      <c r="F263" t="s">
        <v>444</v>
      </c>
      <c r="G263" t="s">
        <v>489</v>
      </c>
      <c r="H263" t="s">
        <v>1924</v>
      </c>
      <c r="I263" t="s">
        <v>2759</v>
      </c>
      <c r="J263" t="s">
        <v>459</v>
      </c>
      <c r="K263" t="s">
        <v>39</v>
      </c>
      <c r="L263" t="s">
        <v>286</v>
      </c>
      <c r="M263" t="s">
        <v>41</v>
      </c>
      <c r="N263" t="s">
        <v>1190</v>
      </c>
      <c r="O263" t="s">
        <v>446</v>
      </c>
      <c r="P263" t="s">
        <v>482</v>
      </c>
      <c r="Q263" t="s">
        <v>471</v>
      </c>
    </row>
    <row r="264" spans="1:17" x14ac:dyDescent="0.2">
      <c r="A264" t="s">
        <v>2764</v>
      </c>
      <c r="B264" t="s">
        <v>711</v>
      </c>
      <c r="C264" t="s">
        <v>39</v>
      </c>
      <c r="D264" t="s">
        <v>453</v>
      </c>
      <c r="E264" t="s">
        <v>494</v>
      </c>
      <c r="F264" t="s">
        <v>444</v>
      </c>
      <c r="G264" t="s">
        <v>529</v>
      </c>
      <c r="H264" t="s">
        <v>710</v>
      </c>
      <c r="I264" t="s">
        <v>2765</v>
      </c>
      <c r="J264" t="s">
        <v>449</v>
      </c>
      <c r="K264" t="s">
        <v>41</v>
      </c>
      <c r="L264" t="s">
        <v>138</v>
      </c>
      <c r="M264" t="s">
        <v>41</v>
      </c>
      <c r="N264" t="s">
        <v>709</v>
      </c>
      <c r="O264" t="s">
        <v>446</v>
      </c>
      <c r="P264" t="s">
        <v>482</v>
      </c>
      <c r="Q264" t="s">
        <v>520</v>
      </c>
    </row>
    <row r="265" spans="1:17" x14ac:dyDescent="0.2">
      <c r="A265" t="s">
        <v>2766</v>
      </c>
      <c r="B265" t="s">
        <v>708</v>
      </c>
      <c r="C265" t="s">
        <v>39</v>
      </c>
      <c r="D265" t="s">
        <v>453</v>
      </c>
      <c r="E265" t="s">
        <v>494</v>
      </c>
      <c r="F265" t="s">
        <v>443</v>
      </c>
      <c r="G265" t="s">
        <v>34</v>
      </c>
      <c r="H265" t="s">
        <v>707</v>
      </c>
      <c r="I265" t="s">
        <v>1908</v>
      </c>
      <c r="J265" t="s">
        <v>459</v>
      </c>
      <c r="K265" t="s">
        <v>41</v>
      </c>
      <c r="L265" t="s">
        <v>138</v>
      </c>
      <c r="M265" t="s">
        <v>41</v>
      </c>
      <c r="N265"/>
      <c r="O265" t="s">
        <v>446</v>
      </c>
      <c r="P265" t="s">
        <v>482</v>
      </c>
      <c r="Q265"/>
    </row>
    <row r="266" spans="1:17" x14ac:dyDescent="0.2">
      <c r="A266" t="s">
        <v>2767</v>
      </c>
      <c r="B266" t="s">
        <v>361</v>
      </c>
      <c r="C266" t="s">
        <v>39</v>
      </c>
      <c r="D266" t="s">
        <v>453</v>
      </c>
      <c r="E266" t="s">
        <v>1771</v>
      </c>
      <c r="F266" t="s">
        <v>444</v>
      </c>
      <c r="G266" t="s">
        <v>529</v>
      </c>
      <c r="H266" t="s">
        <v>362</v>
      </c>
      <c r="I266" t="s">
        <v>2768</v>
      </c>
      <c r="J266" t="s">
        <v>459</v>
      </c>
      <c r="K266" t="s">
        <v>39</v>
      </c>
      <c r="L266" t="s">
        <v>112</v>
      </c>
      <c r="M266" t="s">
        <v>41</v>
      </c>
      <c r="N266" t="s">
        <v>706</v>
      </c>
      <c r="O266" t="s">
        <v>1761</v>
      </c>
      <c r="P266" t="s">
        <v>1762</v>
      </c>
      <c r="Q266" t="s">
        <v>466</v>
      </c>
    </row>
    <row r="267" spans="1:17" x14ac:dyDescent="0.2">
      <c r="A267" t="s">
        <v>2769</v>
      </c>
      <c r="B267" t="s">
        <v>316</v>
      </c>
      <c r="C267" t="s">
        <v>39</v>
      </c>
      <c r="D267" t="s">
        <v>453</v>
      </c>
      <c r="E267" t="s">
        <v>461</v>
      </c>
      <c r="F267" t="s">
        <v>444</v>
      </c>
      <c r="G267" t="s">
        <v>529</v>
      </c>
      <c r="H267" t="s">
        <v>705</v>
      </c>
      <c r="I267" t="s">
        <v>2770</v>
      </c>
      <c r="J267" t="s">
        <v>459</v>
      </c>
      <c r="K267" t="s">
        <v>39</v>
      </c>
      <c r="L267" t="s">
        <v>448</v>
      </c>
      <c r="M267" t="s">
        <v>41</v>
      </c>
      <c r="N267" t="s">
        <v>704</v>
      </c>
      <c r="O267" t="s">
        <v>446</v>
      </c>
      <c r="P267" t="s">
        <v>482</v>
      </c>
      <c r="Q267" t="s">
        <v>456</v>
      </c>
    </row>
    <row r="268" spans="1:17" x14ac:dyDescent="0.2">
      <c r="A268" t="s">
        <v>2771</v>
      </c>
      <c r="B268" t="s">
        <v>292</v>
      </c>
      <c r="C268" t="s">
        <v>39</v>
      </c>
      <c r="D268" t="s">
        <v>453</v>
      </c>
      <c r="E268" t="s">
        <v>461</v>
      </c>
      <c r="F268" t="s">
        <v>444</v>
      </c>
      <c r="G268" t="s">
        <v>460</v>
      </c>
      <c r="H268" t="s">
        <v>703</v>
      </c>
      <c r="I268" t="s">
        <v>2772</v>
      </c>
      <c r="J268" t="s">
        <v>449</v>
      </c>
      <c r="K268" t="s">
        <v>39</v>
      </c>
      <c r="L268" t="s">
        <v>448</v>
      </c>
      <c r="M268" t="s">
        <v>41</v>
      </c>
      <c r="N268" t="s">
        <v>702</v>
      </c>
      <c r="O268" t="s">
        <v>446</v>
      </c>
      <c r="P268" t="s">
        <v>482</v>
      </c>
      <c r="Q268" t="s">
        <v>471</v>
      </c>
    </row>
    <row r="269" spans="1:17" x14ac:dyDescent="0.2">
      <c r="A269" t="s">
        <v>2773</v>
      </c>
      <c r="B269" t="s">
        <v>701</v>
      </c>
      <c r="C269" t="s">
        <v>39</v>
      </c>
      <c r="D269" t="s">
        <v>453</v>
      </c>
      <c r="E269" t="s">
        <v>461</v>
      </c>
      <c r="F269" t="s">
        <v>443</v>
      </c>
      <c r="G269" t="s">
        <v>34</v>
      </c>
      <c r="H269" t="s">
        <v>1925</v>
      </c>
      <c r="I269" t="s">
        <v>2772</v>
      </c>
      <c r="J269" t="s">
        <v>449</v>
      </c>
      <c r="K269" t="s">
        <v>39</v>
      </c>
      <c r="L269" t="s">
        <v>448</v>
      </c>
      <c r="M269" t="s">
        <v>41</v>
      </c>
      <c r="N269"/>
      <c r="O269" t="s">
        <v>463</v>
      </c>
      <c r="P269" t="s">
        <v>724</v>
      </c>
      <c r="Q269"/>
    </row>
    <row r="270" spans="1:17" x14ac:dyDescent="0.2">
      <c r="A270" t="s">
        <v>2774</v>
      </c>
      <c r="B270" t="s">
        <v>311</v>
      </c>
      <c r="C270" t="s">
        <v>39</v>
      </c>
      <c r="D270" t="s">
        <v>453</v>
      </c>
      <c r="E270" t="s">
        <v>461</v>
      </c>
      <c r="F270" t="s">
        <v>444</v>
      </c>
      <c r="G270" t="s">
        <v>68</v>
      </c>
      <c r="H270" t="s">
        <v>312</v>
      </c>
      <c r="I270" t="s">
        <v>2775</v>
      </c>
      <c r="J270" t="s">
        <v>459</v>
      </c>
      <c r="K270" t="s">
        <v>39</v>
      </c>
      <c r="L270" t="s">
        <v>138</v>
      </c>
      <c r="M270" t="s">
        <v>41</v>
      </c>
      <c r="N270" t="s">
        <v>699</v>
      </c>
      <c r="O270" t="s">
        <v>492</v>
      </c>
      <c r="P270" t="s">
        <v>698</v>
      </c>
      <c r="Q270" t="s">
        <v>511</v>
      </c>
    </row>
    <row r="271" spans="1:17" x14ac:dyDescent="0.2">
      <c r="A271" t="s">
        <v>2776</v>
      </c>
      <c r="B271" t="s">
        <v>697</v>
      </c>
      <c r="C271" t="s">
        <v>39</v>
      </c>
      <c r="D271" t="s">
        <v>453</v>
      </c>
      <c r="E271" t="s">
        <v>494</v>
      </c>
      <c r="F271" t="s">
        <v>443</v>
      </c>
      <c r="G271" t="s">
        <v>34</v>
      </c>
      <c r="H271" t="s">
        <v>696</v>
      </c>
      <c r="I271" t="s">
        <v>2777</v>
      </c>
      <c r="J271" t="s">
        <v>449</v>
      </c>
      <c r="K271" t="s">
        <v>41</v>
      </c>
      <c r="L271" t="s">
        <v>286</v>
      </c>
      <c r="M271" t="s">
        <v>41</v>
      </c>
      <c r="N271"/>
      <c r="O271" t="s">
        <v>446</v>
      </c>
      <c r="P271" t="s">
        <v>482</v>
      </c>
      <c r="Q271"/>
    </row>
    <row r="272" spans="1:17" x14ac:dyDescent="0.2">
      <c r="A272" t="s">
        <v>2778</v>
      </c>
      <c r="B272" t="s">
        <v>695</v>
      </c>
      <c r="C272" t="s">
        <v>39</v>
      </c>
      <c r="D272" t="s">
        <v>453</v>
      </c>
      <c r="E272" t="s">
        <v>494</v>
      </c>
      <c r="F272" t="s">
        <v>443</v>
      </c>
      <c r="G272" t="s">
        <v>34</v>
      </c>
      <c r="H272" t="s">
        <v>694</v>
      </c>
      <c r="I272" t="s">
        <v>2777</v>
      </c>
      <c r="J272" t="s">
        <v>459</v>
      </c>
      <c r="K272" t="s">
        <v>41</v>
      </c>
      <c r="L272" t="s">
        <v>138</v>
      </c>
      <c r="M272" t="s">
        <v>41</v>
      </c>
      <c r="N272"/>
      <c r="O272" t="s">
        <v>446</v>
      </c>
      <c r="P272" t="s">
        <v>482</v>
      </c>
      <c r="Q272"/>
    </row>
    <row r="273" spans="1:17" x14ac:dyDescent="0.2">
      <c r="A273" t="s">
        <v>2779</v>
      </c>
      <c r="B273" t="s">
        <v>693</v>
      </c>
      <c r="C273" t="s">
        <v>39</v>
      </c>
      <c r="D273" t="s">
        <v>453</v>
      </c>
      <c r="E273" t="s">
        <v>461</v>
      </c>
      <c r="F273" t="s">
        <v>443</v>
      </c>
      <c r="G273" t="s">
        <v>34</v>
      </c>
      <c r="H273" t="s">
        <v>692</v>
      </c>
      <c r="I273" t="s">
        <v>2780</v>
      </c>
      <c r="J273" t="s">
        <v>459</v>
      </c>
      <c r="K273" t="s">
        <v>39</v>
      </c>
      <c r="L273" t="s">
        <v>138</v>
      </c>
      <c r="M273" t="s">
        <v>41</v>
      </c>
      <c r="N273" t="s">
        <v>1926</v>
      </c>
      <c r="O273" t="s">
        <v>496</v>
      </c>
      <c r="P273" t="s">
        <v>691</v>
      </c>
      <c r="Q273"/>
    </row>
    <row r="274" spans="1:17" x14ac:dyDescent="0.2">
      <c r="A274" t="s">
        <v>2781</v>
      </c>
      <c r="B274" t="s">
        <v>690</v>
      </c>
      <c r="C274" t="s">
        <v>39</v>
      </c>
      <c r="D274" t="s">
        <v>453</v>
      </c>
      <c r="E274" t="s">
        <v>461</v>
      </c>
      <c r="F274" t="s">
        <v>444</v>
      </c>
      <c r="G274" t="s">
        <v>460</v>
      </c>
      <c r="H274" t="s">
        <v>1927</v>
      </c>
      <c r="I274" t="s">
        <v>2630</v>
      </c>
      <c r="J274" t="s">
        <v>459</v>
      </c>
      <c r="K274" t="s">
        <v>39</v>
      </c>
      <c r="L274" t="s">
        <v>138</v>
      </c>
      <c r="M274" t="s">
        <v>41</v>
      </c>
      <c r="N274" t="s">
        <v>689</v>
      </c>
      <c r="O274" t="s">
        <v>458</v>
      </c>
      <c r="P274" t="s">
        <v>658</v>
      </c>
      <c r="Q274" t="s">
        <v>466</v>
      </c>
    </row>
    <row r="275" spans="1:17" x14ac:dyDescent="0.2">
      <c r="A275" t="s">
        <v>2782</v>
      </c>
      <c r="B275" t="s">
        <v>688</v>
      </c>
      <c r="C275" t="s">
        <v>39</v>
      </c>
      <c r="D275" t="s">
        <v>453</v>
      </c>
      <c r="E275" t="s">
        <v>494</v>
      </c>
      <c r="F275" t="s">
        <v>443</v>
      </c>
      <c r="G275" t="s">
        <v>34</v>
      </c>
      <c r="H275" t="s">
        <v>687</v>
      </c>
      <c r="I275" t="s">
        <v>1457</v>
      </c>
      <c r="J275" t="s">
        <v>459</v>
      </c>
      <c r="K275" t="s">
        <v>41</v>
      </c>
      <c r="L275" t="s">
        <v>477</v>
      </c>
      <c r="M275" t="s">
        <v>41</v>
      </c>
      <c r="N275" t="s">
        <v>1191</v>
      </c>
      <c r="O275" t="s">
        <v>446</v>
      </c>
      <c r="P275" t="s">
        <v>482</v>
      </c>
      <c r="Q275"/>
    </row>
    <row r="276" spans="1:17" x14ac:dyDescent="0.2">
      <c r="A276" t="s">
        <v>2783</v>
      </c>
      <c r="B276" t="s">
        <v>686</v>
      </c>
      <c r="C276" t="s">
        <v>39</v>
      </c>
      <c r="D276" t="s">
        <v>453</v>
      </c>
      <c r="E276" t="s">
        <v>494</v>
      </c>
      <c r="F276" t="s">
        <v>443</v>
      </c>
      <c r="G276" t="s">
        <v>34</v>
      </c>
      <c r="H276" t="s">
        <v>685</v>
      </c>
      <c r="I276" t="s">
        <v>1457</v>
      </c>
      <c r="J276" t="s">
        <v>459</v>
      </c>
      <c r="K276" t="s">
        <v>41</v>
      </c>
      <c r="L276" t="s">
        <v>448</v>
      </c>
      <c r="M276" t="s">
        <v>41</v>
      </c>
      <c r="N276" t="s">
        <v>1192</v>
      </c>
      <c r="O276" t="s">
        <v>446</v>
      </c>
      <c r="P276" t="s">
        <v>482</v>
      </c>
      <c r="Q276"/>
    </row>
    <row r="277" spans="1:17" x14ac:dyDescent="0.2">
      <c r="A277" t="s">
        <v>2784</v>
      </c>
      <c r="B277" t="s">
        <v>684</v>
      </c>
      <c r="C277" t="s">
        <v>39</v>
      </c>
      <c r="D277" t="s">
        <v>453</v>
      </c>
      <c r="E277" t="s">
        <v>461</v>
      </c>
      <c r="F277" t="s">
        <v>443</v>
      </c>
      <c r="G277" t="s">
        <v>34</v>
      </c>
      <c r="H277" t="s">
        <v>683</v>
      </c>
      <c r="I277" t="s">
        <v>2785</v>
      </c>
      <c r="J277" t="s">
        <v>459</v>
      </c>
      <c r="K277" t="s">
        <v>39</v>
      </c>
      <c r="L277" t="s">
        <v>477</v>
      </c>
      <c r="M277" t="s">
        <v>41</v>
      </c>
      <c r="N277"/>
      <c r="O277" t="s">
        <v>463</v>
      </c>
      <c r="P277" t="s">
        <v>462</v>
      </c>
      <c r="Q277"/>
    </row>
    <row r="278" spans="1:17" x14ac:dyDescent="0.2">
      <c r="A278" t="s">
        <v>2786</v>
      </c>
      <c r="B278" t="s">
        <v>406</v>
      </c>
      <c r="C278" t="s">
        <v>39</v>
      </c>
      <c r="D278" t="s">
        <v>453</v>
      </c>
      <c r="E278" t="s">
        <v>461</v>
      </c>
      <c r="F278" t="s">
        <v>444</v>
      </c>
      <c r="G278" t="s">
        <v>489</v>
      </c>
      <c r="H278" t="s">
        <v>407</v>
      </c>
      <c r="I278" t="s">
        <v>2787</v>
      </c>
      <c r="J278" t="s">
        <v>459</v>
      </c>
      <c r="K278" t="s">
        <v>39</v>
      </c>
      <c r="L278" t="s">
        <v>138</v>
      </c>
      <c r="M278" t="s">
        <v>41</v>
      </c>
      <c r="N278" t="s">
        <v>1193</v>
      </c>
      <c r="O278" t="s">
        <v>492</v>
      </c>
      <c r="P278" t="s">
        <v>457</v>
      </c>
      <c r="Q278" t="s">
        <v>471</v>
      </c>
    </row>
    <row r="279" spans="1:17" x14ac:dyDescent="0.2">
      <c r="A279" t="s">
        <v>2788</v>
      </c>
      <c r="B279" t="s">
        <v>387</v>
      </c>
      <c r="C279" t="s">
        <v>39</v>
      </c>
      <c r="D279" t="s">
        <v>453</v>
      </c>
      <c r="E279" t="s">
        <v>461</v>
      </c>
      <c r="F279" t="s">
        <v>444</v>
      </c>
      <c r="G279" t="s">
        <v>632</v>
      </c>
      <c r="H279" t="s">
        <v>388</v>
      </c>
      <c r="I279" t="s">
        <v>2787</v>
      </c>
      <c r="J279" t="s">
        <v>449</v>
      </c>
      <c r="K279" t="s">
        <v>39</v>
      </c>
      <c r="L279" t="s">
        <v>138</v>
      </c>
      <c r="M279" t="s">
        <v>41</v>
      </c>
      <c r="N279" t="s">
        <v>2789</v>
      </c>
      <c r="O279" t="s">
        <v>458</v>
      </c>
      <c r="P279" t="s">
        <v>691</v>
      </c>
      <c r="Q279" t="s">
        <v>679</v>
      </c>
    </row>
    <row r="280" spans="1:17" x14ac:dyDescent="0.2">
      <c r="A280" t="s">
        <v>2790</v>
      </c>
      <c r="B280" t="s">
        <v>263</v>
      </c>
      <c r="C280" t="s">
        <v>39</v>
      </c>
      <c r="D280" t="s">
        <v>453</v>
      </c>
      <c r="E280" t="s">
        <v>461</v>
      </c>
      <c r="F280" t="s">
        <v>444</v>
      </c>
      <c r="G280" t="s">
        <v>68</v>
      </c>
      <c r="H280" t="s">
        <v>264</v>
      </c>
      <c r="I280" t="s">
        <v>2791</v>
      </c>
      <c r="J280" t="s">
        <v>459</v>
      </c>
      <c r="K280" t="s">
        <v>39</v>
      </c>
      <c r="L280" t="s">
        <v>678</v>
      </c>
      <c r="M280" t="s">
        <v>41</v>
      </c>
      <c r="N280" t="s">
        <v>677</v>
      </c>
      <c r="O280" t="s">
        <v>492</v>
      </c>
      <c r="P280" t="s">
        <v>676</v>
      </c>
      <c r="Q280" t="s">
        <v>629</v>
      </c>
    </row>
    <row r="281" spans="1:17" x14ac:dyDescent="0.2">
      <c r="A281" t="s">
        <v>2792</v>
      </c>
      <c r="B281" t="s">
        <v>278</v>
      </c>
      <c r="C281" t="s">
        <v>39</v>
      </c>
      <c r="D281" t="s">
        <v>453</v>
      </c>
      <c r="E281" t="s">
        <v>461</v>
      </c>
      <c r="F281" t="s">
        <v>444</v>
      </c>
      <c r="G281" t="s">
        <v>72</v>
      </c>
      <c r="H281" t="s">
        <v>675</v>
      </c>
      <c r="I281" t="s">
        <v>2793</v>
      </c>
      <c r="J281" t="s">
        <v>449</v>
      </c>
      <c r="K281" t="s">
        <v>39</v>
      </c>
      <c r="L281" t="s">
        <v>138</v>
      </c>
      <c r="M281" t="s">
        <v>41</v>
      </c>
      <c r="N281" t="s">
        <v>674</v>
      </c>
      <c r="O281" t="s">
        <v>446</v>
      </c>
      <c r="P281" t="s">
        <v>482</v>
      </c>
      <c r="Q281" t="s">
        <v>511</v>
      </c>
    </row>
    <row r="282" spans="1:17" x14ac:dyDescent="0.2">
      <c r="A282" t="s">
        <v>2794</v>
      </c>
      <c r="B282" t="s">
        <v>673</v>
      </c>
      <c r="C282" t="s">
        <v>39</v>
      </c>
      <c r="D282" t="s">
        <v>453</v>
      </c>
      <c r="E282" t="s">
        <v>682</v>
      </c>
      <c r="F282" t="s">
        <v>443</v>
      </c>
      <c r="G282" t="s">
        <v>34</v>
      </c>
      <c r="H282" t="s">
        <v>672</v>
      </c>
      <c r="I282" t="s">
        <v>2795</v>
      </c>
      <c r="J282" t="s">
        <v>459</v>
      </c>
      <c r="K282" t="s">
        <v>39</v>
      </c>
      <c r="L282" t="s">
        <v>286</v>
      </c>
      <c r="M282" t="s">
        <v>41</v>
      </c>
      <c r="N282"/>
      <c r="O282" t="s">
        <v>671</v>
      </c>
      <c r="P282" t="s">
        <v>1194</v>
      </c>
      <c r="Q282"/>
    </row>
    <row r="283" spans="1:17" x14ac:dyDescent="0.2">
      <c r="A283" t="s">
        <v>2796</v>
      </c>
      <c r="B283" t="s">
        <v>250</v>
      </c>
      <c r="C283" t="s">
        <v>39</v>
      </c>
      <c r="D283" t="s">
        <v>453</v>
      </c>
      <c r="E283" t="s">
        <v>461</v>
      </c>
      <c r="F283" t="s">
        <v>444</v>
      </c>
      <c r="G283" t="s">
        <v>535</v>
      </c>
      <c r="H283" t="s">
        <v>670</v>
      </c>
      <c r="I283" t="s">
        <v>2797</v>
      </c>
      <c r="J283" t="s">
        <v>459</v>
      </c>
      <c r="K283" t="s">
        <v>39</v>
      </c>
      <c r="L283" t="s">
        <v>138</v>
      </c>
      <c r="M283" t="s">
        <v>41</v>
      </c>
      <c r="N283" t="s">
        <v>669</v>
      </c>
      <c r="O283" t="s">
        <v>446</v>
      </c>
      <c r="P283" t="s">
        <v>482</v>
      </c>
      <c r="Q283" t="s">
        <v>629</v>
      </c>
    </row>
    <row r="284" spans="1:17" x14ac:dyDescent="0.2">
      <c r="A284" t="s">
        <v>2798</v>
      </c>
      <c r="B284" t="s">
        <v>668</v>
      </c>
      <c r="C284" t="s">
        <v>39</v>
      </c>
      <c r="D284" t="s">
        <v>453</v>
      </c>
      <c r="E284" t="s">
        <v>461</v>
      </c>
      <c r="F284" t="s">
        <v>443</v>
      </c>
      <c r="G284" t="s">
        <v>34</v>
      </c>
      <c r="H284" t="s">
        <v>667</v>
      </c>
      <c r="I284" t="s">
        <v>2799</v>
      </c>
      <c r="J284" t="s">
        <v>459</v>
      </c>
      <c r="K284" t="s">
        <v>39</v>
      </c>
      <c r="L284" t="s">
        <v>138</v>
      </c>
      <c r="M284" t="s">
        <v>41</v>
      </c>
      <c r="N284"/>
      <c r="O284" t="s">
        <v>463</v>
      </c>
      <c r="P284" t="s">
        <v>462</v>
      </c>
      <c r="Q284"/>
    </row>
    <row r="285" spans="1:17" x14ac:dyDescent="0.2">
      <c r="A285" t="s">
        <v>2800</v>
      </c>
      <c r="B285" t="s">
        <v>245</v>
      </c>
      <c r="C285" t="s">
        <v>39</v>
      </c>
      <c r="D285" t="s">
        <v>453</v>
      </c>
      <c r="E285" t="s">
        <v>461</v>
      </c>
      <c r="F285" t="s">
        <v>444</v>
      </c>
      <c r="G285" t="s">
        <v>510</v>
      </c>
      <c r="H285" t="s">
        <v>666</v>
      </c>
      <c r="I285" t="s">
        <v>2801</v>
      </c>
      <c r="J285" t="s">
        <v>449</v>
      </c>
      <c r="K285" t="s">
        <v>39</v>
      </c>
      <c r="L285" t="s">
        <v>477</v>
      </c>
      <c r="M285" t="s">
        <v>41</v>
      </c>
      <c r="N285" t="s">
        <v>665</v>
      </c>
      <c r="O285" t="s">
        <v>492</v>
      </c>
      <c r="P285" t="s">
        <v>539</v>
      </c>
      <c r="Q285" t="s">
        <v>629</v>
      </c>
    </row>
    <row r="286" spans="1:17" x14ac:dyDescent="0.2">
      <c r="A286" t="s">
        <v>2802</v>
      </c>
      <c r="B286" t="s">
        <v>395</v>
      </c>
      <c r="C286" t="s">
        <v>39</v>
      </c>
      <c r="D286" t="s">
        <v>453</v>
      </c>
      <c r="E286" t="s">
        <v>461</v>
      </c>
      <c r="F286" t="s">
        <v>444</v>
      </c>
      <c r="G286" t="s">
        <v>664</v>
      </c>
      <c r="H286" t="s">
        <v>663</v>
      </c>
      <c r="I286" t="s">
        <v>2803</v>
      </c>
      <c r="J286" t="s">
        <v>459</v>
      </c>
      <c r="K286" t="s">
        <v>39</v>
      </c>
      <c r="L286" t="s">
        <v>662</v>
      </c>
      <c r="M286" t="s">
        <v>41</v>
      </c>
      <c r="N286" t="s">
        <v>661</v>
      </c>
      <c r="O286" t="s">
        <v>446</v>
      </c>
      <c r="P286" t="s">
        <v>482</v>
      </c>
      <c r="Q286" t="s">
        <v>456</v>
      </c>
    </row>
    <row r="287" spans="1:17" x14ac:dyDescent="0.2">
      <c r="A287" t="s">
        <v>2804</v>
      </c>
      <c r="B287" t="s">
        <v>660</v>
      </c>
      <c r="C287" t="s">
        <v>39</v>
      </c>
      <c r="D287" t="s">
        <v>453</v>
      </c>
      <c r="E287" t="s">
        <v>461</v>
      </c>
      <c r="F287" t="s">
        <v>443</v>
      </c>
      <c r="G287" t="s">
        <v>34</v>
      </c>
      <c r="H287" t="s">
        <v>659</v>
      </c>
      <c r="I287" t="s">
        <v>2805</v>
      </c>
      <c r="J287" t="s">
        <v>459</v>
      </c>
      <c r="K287" t="s">
        <v>39</v>
      </c>
      <c r="L287" t="s">
        <v>504</v>
      </c>
      <c r="M287" t="s">
        <v>41</v>
      </c>
      <c r="N287" t="s">
        <v>2806</v>
      </c>
      <c r="O287" t="s">
        <v>496</v>
      </c>
      <c r="P287" t="s">
        <v>472</v>
      </c>
      <c r="Q287"/>
    </row>
    <row r="288" spans="1:17" x14ac:dyDescent="0.2">
      <c r="A288" t="s">
        <v>2807</v>
      </c>
      <c r="B288" t="s">
        <v>657</v>
      </c>
      <c r="C288" t="s">
        <v>39</v>
      </c>
      <c r="D288" t="s">
        <v>453</v>
      </c>
      <c r="E288" t="s">
        <v>499</v>
      </c>
      <c r="F288" t="s">
        <v>443</v>
      </c>
      <c r="G288" t="s">
        <v>34</v>
      </c>
      <c r="H288" t="s">
        <v>656</v>
      </c>
      <c r="I288" t="s">
        <v>2808</v>
      </c>
      <c r="J288" t="s">
        <v>459</v>
      </c>
      <c r="K288" t="s">
        <v>39</v>
      </c>
      <c r="L288" t="s">
        <v>504</v>
      </c>
      <c r="M288" t="s">
        <v>41</v>
      </c>
      <c r="N288"/>
      <c r="O288" t="s">
        <v>600</v>
      </c>
      <c r="P288" t="s">
        <v>630</v>
      </c>
      <c r="Q288"/>
    </row>
    <row r="289" spans="1:17" x14ac:dyDescent="0.2">
      <c r="A289" t="s">
        <v>2809</v>
      </c>
      <c r="B289" t="s">
        <v>213</v>
      </c>
      <c r="C289" t="s">
        <v>39</v>
      </c>
      <c r="D289" t="s">
        <v>453</v>
      </c>
      <c r="E289" t="s">
        <v>461</v>
      </c>
      <c r="F289" t="s">
        <v>444</v>
      </c>
      <c r="G289" t="s">
        <v>460</v>
      </c>
      <c r="H289" t="s">
        <v>655</v>
      </c>
      <c r="I289" t="s">
        <v>2810</v>
      </c>
      <c r="J289" t="s">
        <v>449</v>
      </c>
      <c r="K289" t="s">
        <v>39</v>
      </c>
      <c r="L289" t="s">
        <v>448</v>
      </c>
      <c r="M289" t="s">
        <v>41</v>
      </c>
      <c r="N289" t="s">
        <v>654</v>
      </c>
      <c r="O289" t="s">
        <v>446</v>
      </c>
      <c r="P289" t="s">
        <v>482</v>
      </c>
      <c r="Q289"/>
    </row>
    <row r="290" spans="1:17" x14ac:dyDescent="0.2">
      <c r="A290" t="s">
        <v>2811</v>
      </c>
      <c r="B290" t="s">
        <v>653</v>
      </c>
      <c r="C290" t="s">
        <v>39</v>
      </c>
      <c r="D290" t="s">
        <v>453</v>
      </c>
      <c r="E290" t="s">
        <v>452</v>
      </c>
      <c r="F290" t="s">
        <v>444</v>
      </c>
      <c r="G290" t="s">
        <v>649</v>
      </c>
      <c r="H290" t="s">
        <v>652</v>
      </c>
      <c r="I290" t="s">
        <v>2812</v>
      </c>
      <c r="J290" t="s">
        <v>459</v>
      </c>
      <c r="K290" t="s">
        <v>39</v>
      </c>
      <c r="L290" t="s">
        <v>138</v>
      </c>
      <c r="M290" t="s">
        <v>41</v>
      </c>
      <c r="N290" t="s">
        <v>651</v>
      </c>
      <c r="O290" t="s">
        <v>446</v>
      </c>
      <c r="P290" t="s">
        <v>445</v>
      </c>
      <c r="Q290" t="s">
        <v>650</v>
      </c>
    </row>
    <row r="291" spans="1:17" x14ac:dyDescent="0.2">
      <c r="A291" t="s">
        <v>2813</v>
      </c>
      <c r="B291" t="s">
        <v>1195</v>
      </c>
      <c r="C291" t="s">
        <v>39</v>
      </c>
      <c r="D291" t="s">
        <v>453</v>
      </c>
      <c r="E291" t="s">
        <v>585</v>
      </c>
      <c r="F291" t="s">
        <v>443</v>
      </c>
      <c r="G291" t="s">
        <v>34</v>
      </c>
      <c r="H291" t="s">
        <v>1196</v>
      </c>
      <c r="I291" t="s">
        <v>2814</v>
      </c>
      <c r="J291" t="s">
        <v>459</v>
      </c>
      <c r="K291" t="s">
        <v>41</v>
      </c>
      <c r="L291" t="s">
        <v>138</v>
      </c>
      <c r="M291" t="s">
        <v>41</v>
      </c>
      <c r="N291"/>
      <c r="O291" t="s">
        <v>446</v>
      </c>
      <c r="P291" t="s">
        <v>445</v>
      </c>
      <c r="Q291"/>
    </row>
    <row r="292" spans="1:17" x14ac:dyDescent="0.2">
      <c r="A292" t="s">
        <v>2815</v>
      </c>
      <c r="B292" t="s">
        <v>272</v>
      </c>
      <c r="C292" t="s">
        <v>39</v>
      </c>
      <c r="D292" t="s">
        <v>453</v>
      </c>
      <c r="E292" t="s">
        <v>461</v>
      </c>
      <c r="F292" t="s">
        <v>444</v>
      </c>
      <c r="G292" t="s">
        <v>460</v>
      </c>
      <c r="H292" t="s">
        <v>273</v>
      </c>
      <c r="I292" t="s">
        <v>2816</v>
      </c>
      <c r="J292" t="s">
        <v>459</v>
      </c>
      <c r="K292" t="s">
        <v>39</v>
      </c>
      <c r="L292" t="s">
        <v>138</v>
      </c>
      <c r="M292" t="s">
        <v>41</v>
      </c>
      <c r="N292" t="s">
        <v>647</v>
      </c>
      <c r="O292" t="s">
        <v>458</v>
      </c>
      <c r="P292" t="s">
        <v>521</v>
      </c>
      <c r="Q292" t="s">
        <v>466</v>
      </c>
    </row>
    <row r="293" spans="1:17" x14ac:dyDescent="0.2">
      <c r="A293" t="s">
        <v>2817</v>
      </c>
      <c r="B293" t="s">
        <v>228</v>
      </c>
      <c r="C293" t="s">
        <v>39</v>
      </c>
      <c r="D293" t="s">
        <v>453</v>
      </c>
      <c r="E293" t="s">
        <v>461</v>
      </c>
      <c r="F293" t="s">
        <v>444</v>
      </c>
      <c r="G293" t="s">
        <v>632</v>
      </c>
      <c r="H293" t="s">
        <v>229</v>
      </c>
      <c r="I293" t="s">
        <v>2818</v>
      </c>
      <c r="J293" t="s">
        <v>449</v>
      </c>
      <c r="K293" t="s">
        <v>39</v>
      </c>
      <c r="L293" t="s">
        <v>537</v>
      </c>
      <c r="M293" t="s">
        <v>41</v>
      </c>
      <c r="N293" t="s">
        <v>646</v>
      </c>
      <c r="O293" t="s">
        <v>458</v>
      </c>
      <c r="P293" t="s">
        <v>467</v>
      </c>
      <c r="Q293" t="s">
        <v>629</v>
      </c>
    </row>
    <row r="294" spans="1:17" x14ac:dyDescent="0.2">
      <c r="A294" t="s">
        <v>2819</v>
      </c>
      <c r="B294" t="s">
        <v>258</v>
      </c>
      <c r="C294" t="s">
        <v>39</v>
      </c>
      <c r="D294" t="s">
        <v>453</v>
      </c>
      <c r="E294" t="s">
        <v>461</v>
      </c>
      <c r="F294" t="s">
        <v>444</v>
      </c>
      <c r="G294" t="s">
        <v>535</v>
      </c>
      <c r="H294" t="s">
        <v>259</v>
      </c>
      <c r="I294" t="s">
        <v>2820</v>
      </c>
      <c r="J294" t="s">
        <v>459</v>
      </c>
      <c r="K294" t="s">
        <v>39</v>
      </c>
      <c r="L294" t="s">
        <v>477</v>
      </c>
      <c r="M294" t="s">
        <v>41</v>
      </c>
      <c r="N294" t="s">
        <v>644</v>
      </c>
      <c r="O294" t="s">
        <v>458</v>
      </c>
      <c r="P294" t="s">
        <v>539</v>
      </c>
      <c r="Q294" t="s">
        <v>643</v>
      </c>
    </row>
    <row r="295" spans="1:17" x14ac:dyDescent="0.2">
      <c r="A295" t="s">
        <v>2821</v>
      </c>
      <c r="B295" t="s">
        <v>192</v>
      </c>
      <c r="C295" t="s">
        <v>39</v>
      </c>
      <c r="D295" t="s">
        <v>453</v>
      </c>
      <c r="E295" t="s">
        <v>461</v>
      </c>
      <c r="F295" t="s">
        <v>444</v>
      </c>
      <c r="G295" t="s">
        <v>510</v>
      </c>
      <c r="H295" t="s">
        <v>193</v>
      </c>
      <c r="I295" t="s">
        <v>2822</v>
      </c>
      <c r="J295" t="s">
        <v>449</v>
      </c>
      <c r="K295" t="s">
        <v>39</v>
      </c>
      <c r="L295" t="s">
        <v>138</v>
      </c>
      <c r="M295" t="s">
        <v>41</v>
      </c>
      <c r="N295" t="s">
        <v>642</v>
      </c>
      <c r="O295" t="s">
        <v>458</v>
      </c>
      <c r="P295" t="s">
        <v>676</v>
      </c>
      <c r="Q295" t="s">
        <v>456</v>
      </c>
    </row>
    <row r="296" spans="1:17" x14ac:dyDescent="0.2">
      <c r="A296" t="s">
        <v>2823</v>
      </c>
      <c r="B296" t="s">
        <v>641</v>
      </c>
      <c r="C296" t="s">
        <v>39</v>
      </c>
      <c r="D296" t="s">
        <v>453</v>
      </c>
      <c r="E296" t="s">
        <v>682</v>
      </c>
      <c r="F296" t="s">
        <v>443</v>
      </c>
      <c r="G296" t="s">
        <v>34</v>
      </c>
      <c r="H296" t="s">
        <v>640</v>
      </c>
      <c r="I296" t="s">
        <v>2824</v>
      </c>
      <c r="J296" t="s">
        <v>459</v>
      </c>
      <c r="K296" t="s">
        <v>41</v>
      </c>
      <c r="L296" t="s">
        <v>138</v>
      </c>
      <c r="M296" t="s">
        <v>41</v>
      </c>
      <c r="N296"/>
      <c r="O296" t="s">
        <v>496</v>
      </c>
      <c r="P296" t="s">
        <v>525</v>
      </c>
      <c r="Q296"/>
    </row>
    <row r="297" spans="1:17" x14ac:dyDescent="0.2">
      <c r="A297" t="s">
        <v>2825</v>
      </c>
      <c r="B297" t="s">
        <v>171</v>
      </c>
      <c r="C297" t="s">
        <v>39</v>
      </c>
      <c r="D297" t="s">
        <v>453</v>
      </c>
      <c r="E297" t="s">
        <v>452</v>
      </c>
      <c r="F297" t="s">
        <v>444</v>
      </c>
      <c r="G297" t="s">
        <v>638</v>
      </c>
      <c r="H297" t="s">
        <v>2826</v>
      </c>
      <c r="I297" t="s">
        <v>1933</v>
      </c>
      <c r="J297" t="s">
        <v>449</v>
      </c>
      <c r="K297" t="s">
        <v>39</v>
      </c>
      <c r="L297" t="s">
        <v>448</v>
      </c>
      <c r="M297" t="s">
        <v>41</v>
      </c>
      <c r="N297" t="s">
        <v>637</v>
      </c>
      <c r="O297" t="s">
        <v>446</v>
      </c>
      <c r="P297" t="s">
        <v>445</v>
      </c>
      <c r="Q297" t="s">
        <v>508</v>
      </c>
    </row>
    <row r="298" spans="1:17" x14ac:dyDescent="0.2">
      <c r="A298" t="s">
        <v>2827</v>
      </c>
      <c r="B298" t="s">
        <v>178</v>
      </c>
      <c r="C298" t="s">
        <v>39</v>
      </c>
      <c r="D298" t="s">
        <v>453</v>
      </c>
      <c r="E298" t="s">
        <v>461</v>
      </c>
      <c r="F298" t="s">
        <v>444</v>
      </c>
      <c r="G298" t="s">
        <v>460</v>
      </c>
      <c r="H298" t="s">
        <v>635</v>
      </c>
      <c r="I298" t="s">
        <v>2828</v>
      </c>
      <c r="J298" t="s">
        <v>459</v>
      </c>
      <c r="K298" t="s">
        <v>39</v>
      </c>
      <c r="L298" t="s">
        <v>138</v>
      </c>
      <c r="M298" t="s">
        <v>41</v>
      </c>
      <c r="N298" t="s">
        <v>634</v>
      </c>
      <c r="O298" t="s">
        <v>446</v>
      </c>
      <c r="P298" t="s">
        <v>482</v>
      </c>
      <c r="Q298" t="s">
        <v>456</v>
      </c>
    </row>
    <row r="299" spans="1:17" x14ac:dyDescent="0.2">
      <c r="A299" t="s">
        <v>2829</v>
      </c>
      <c r="B299" t="s">
        <v>185</v>
      </c>
      <c r="C299" t="s">
        <v>39</v>
      </c>
      <c r="D299" t="s">
        <v>453</v>
      </c>
      <c r="E299" t="s">
        <v>461</v>
      </c>
      <c r="F299" t="s">
        <v>444</v>
      </c>
      <c r="G299" t="s">
        <v>632</v>
      </c>
      <c r="H299" t="s">
        <v>186</v>
      </c>
      <c r="I299" t="s">
        <v>2830</v>
      </c>
      <c r="J299" t="s">
        <v>459</v>
      </c>
      <c r="K299" t="s">
        <v>39</v>
      </c>
      <c r="L299" t="s">
        <v>138</v>
      </c>
      <c r="M299" t="s">
        <v>41</v>
      </c>
      <c r="N299" t="s">
        <v>631</v>
      </c>
      <c r="O299" t="s">
        <v>458</v>
      </c>
      <c r="P299" t="s">
        <v>630</v>
      </c>
      <c r="Q299" t="s">
        <v>629</v>
      </c>
    </row>
    <row r="300" spans="1:17" x14ac:dyDescent="0.2">
      <c r="A300" t="s">
        <v>2831</v>
      </c>
      <c r="B300" t="s">
        <v>628</v>
      </c>
      <c r="C300" t="s">
        <v>39</v>
      </c>
      <c r="D300" t="s">
        <v>453</v>
      </c>
      <c r="E300" t="s">
        <v>461</v>
      </c>
      <c r="F300" t="s">
        <v>443</v>
      </c>
      <c r="G300" t="s">
        <v>34</v>
      </c>
      <c r="H300" t="s">
        <v>627</v>
      </c>
      <c r="I300" t="s">
        <v>2832</v>
      </c>
      <c r="J300" t="s">
        <v>449</v>
      </c>
      <c r="K300" t="s">
        <v>39</v>
      </c>
      <c r="L300" t="s">
        <v>286</v>
      </c>
      <c r="M300" t="s">
        <v>41</v>
      </c>
      <c r="N300" t="s">
        <v>626</v>
      </c>
      <c r="O300" t="s">
        <v>557</v>
      </c>
      <c r="P300" t="s">
        <v>2833</v>
      </c>
      <c r="Q300"/>
    </row>
    <row r="301" spans="1:17" x14ac:dyDescent="0.2">
      <c r="A301" t="s">
        <v>2834</v>
      </c>
      <c r="B301" t="s">
        <v>625</v>
      </c>
      <c r="C301" t="s">
        <v>39</v>
      </c>
      <c r="D301" t="s">
        <v>453</v>
      </c>
      <c r="E301" t="s">
        <v>494</v>
      </c>
      <c r="F301" t="s">
        <v>444</v>
      </c>
      <c r="G301" t="s">
        <v>529</v>
      </c>
      <c r="H301" t="s">
        <v>2835</v>
      </c>
      <c r="I301" t="s">
        <v>2836</v>
      </c>
      <c r="J301" t="s">
        <v>449</v>
      </c>
      <c r="K301" t="s">
        <v>41</v>
      </c>
      <c r="L301" t="s">
        <v>448</v>
      </c>
      <c r="M301" t="s">
        <v>41</v>
      </c>
      <c r="N301" t="s">
        <v>1932</v>
      </c>
      <c r="O301" t="s">
        <v>446</v>
      </c>
      <c r="P301" t="s">
        <v>482</v>
      </c>
      <c r="Q301" t="s">
        <v>520</v>
      </c>
    </row>
    <row r="302" spans="1:17" x14ac:dyDescent="0.2">
      <c r="A302" t="s">
        <v>2837</v>
      </c>
      <c r="B302" t="s">
        <v>623</v>
      </c>
      <c r="C302" t="s">
        <v>39</v>
      </c>
      <c r="D302" t="s">
        <v>453</v>
      </c>
      <c r="E302" t="s">
        <v>461</v>
      </c>
      <c r="F302" t="s">
        <v>443</v>
      </c>
      <c r="G302" t="s">
        <v>34</v>
      </c>
      <c r="H302" t="s">
        <v>622</v>
      </c>
      <c r="I302" t="s">
        <v>2838</v>
      </c>
      <c r="J302" t="s">
        <v>449</v>
      </c>
      <c r="K302" t="s">
        <v>39</v>
      </c>
      <c r="L302" t="s">
        <v>477</v>
      </c>
      <c r="M302" t="s">
        <v>41</v>
      </c>
      <c r="N302" t="s">
        <v>621</v>
      </c>
      <c r="O302" t="s">
        <v>446</v>
      </c>
      <c r="P302" t="s">
        <v>482</v>
      </c>
      <c r="Q302"/>
    </row>
    <row r="303" spans="1:17" x14ac:dyDescent="0.2">
      <c r="A303" t="s">
        <v>2839</v>
      </c>
      <c r="B303" t="s">
        <v>620</v>
      </c>
      <c r="C303" t="s">
        <v>39</v>
      </c>
      <c r="D303" t="s">
        <v>453</v>
      </c>
      <c r="E303" t="s">
        <v>461</v>
      </c>
      <c r="F303" t="s">
        <v>443</v>
      </c>
      <c r="G303" t="s">
        <v>34</v>
      </c>
      <c r="H303" t="s">
        <v>619</v>
      </c>
      <c r="I303" t="s">
        <v>2840</v>
      </c>
      <c r="J303" t="s">
        <v>449</v>
      </c>
      <c r="K303" t="s">
        <v>39</v>
      </c>
      <c r="L303" t="s">
        <v>286</v>
      </c>
      <c r="M303" t="s">
        <v>41</v>
      </c>
      <c r="N303"/>
      <c r="O303" t="s">
        <v>463</v>
      </c>
      <c r="P303" t="s">
        <v>475</v>
      </c>
      <c r="Q303"/>
    </row>
    <row r="304" spans="1:17" x14ac:dyDescent="0.2">
      <c r="A304" t="s">
        <v>2841</v>
      </c>
      <c r="B304" t="s">
        <v>617</v>
      </c>
      <c r="C304" t="s">
        <v>39</v>
      </c>
      <c r="D304" t="s">
        <v>453</v>
      </c>
      <c r="E304" t="s">
        <v>494</v>
      </c>
      <c r="F304" t="s">
        <v>443</v>
      </c>
      <c r="G304" t="s">
        <v>34</v>
      </c>
      <c r="H304" t="s">
        <v>616</v>
      </c>
      <c r="I304" t="s">
        <v>2810</v>
      </c>
      <c r="J304" t="s">
        <v>459</v>
      </c>
      <c r="K304" t="s">
        <v>41</v>
      </c>
      <c r="L304" t="s">
        <v>138</v>
      </c>
      <c r="M304" t="s">
        <v>41</v>
      </c>
      <c r="N304"/>
      <c r="O304" t="s">
        <v>446</v>
      </c>
      <c r="P304" t="s">
        <v>482</v>
      </c>
      <c r="Q304"/>
    </row>
    <row r="305" spans="1:17" x14ac:dyDescent="0.2">
      <c r="A305" t="s">
        <v>2842</v>
      </c>
      <c r="B305" t="s">
        <v>615</v>
      </c>
      <c r="C305" t="s">
        <v>39</v>
      </c>
      <c r="D305" t="s">
        <v>453</v>
      </c>
      <c r="E305" t="s">
        <v>494</v>
      </c>
      <c r="F305" t="s">
        <v>443</v>
      </c>
      <c r="G305" t="s">
        <v>34</v>
      </c>
      <c r="H305" t="s">
        <v>614</v>
      </c>
      <c r="I305" t="s">
        <v>2810</v>
      </c>
      <c r="J305" t="s">
        <v>459</v>
      </c>
      <c r="K305" t="s">
        <v>41</v>
      </c>
      <c r="L305" t="s">
        <v>138</v>
      </c>
      <c r="M305" t="s">
        <v>41</v>
      </c>
      <c r="N305"/>
      <c r="O305" t="s">
        <v>446</v>
      </c>
      <c r="P305" t="s">
        <v>482</v>
      </c>
      <c r="Q305"/>
    </row>
    <row r="306" spans="1:17" x14ac:dyDescent="0.2">
      <c r="A306" t="s">
        <v>2843</v>
      </c>
      <c r="B306" t="s">
        <v>613</v>
      </c>
      <c r="C306" t="s">
        <v>39</v>
      </c>
      <c r="D306" t="s">
        <v>453</v>
      </c>
      <c r="E306" t="s">
        <v>461</v>
      </c>
      <c r="F306" t="s">
        <v>443</v>
      </c>
      <c r="G306" t="s">
        <v>34</v>
      </c>
      <c r="H306" t="s">
        <v>612</v>
      </c>
      <c r="I306" t="s">
        <v>2844</v>
      </c>
      <c r="J306" t="s">
        <v>449</v>
      </c>
      <c r="K306" t="s">
        <v>39</v>
      </c>
      <c r="L306" t="s">
        <v>477</v>
      </c>
      <c r="M306" t="s">
        <v>41</v>
      </c>
      <c r="N306" t="s">
        <v>611</v>
      </c>
      <c r="O306" t="s">
        <v>557</v>
      </c>
      <c r="P306" t="s">
        <v>2484</v>
      </c>
      <c r="Q306"/>
    </row>
    <row r="307" spans="1:17" x14ac:dyDescent="0.2">
      <c r="A307" t="s">
        <v>2845</v>
      </c>
      <c r="B307" t="s">
        <v>610</v>
      </c>
      <c r="C307" t="s">
        <v>39</v>
      </c>
      <c r="D307" t="s">
        <v>453</v>
      </c>
      <c r="E307" t="s">
        <v>461</v>
      </c>
      <c r="F307" t="s">
        <v>443</v>
      </c>
      <c r="G307" t="s">
        <v>34</v>
      </c>
      <c r="H307" t="s">
        <v>609</v>
      </c>
      <c r="I307" t="s">
        <v>2846</v>
      </c>
      <c r="J307" t="s">
        <v>459</v>
      </c>
      <c r="K307" t="s">
        <v>39</v>
      </c>
      <c r="L307" t="s">
        <v>138</v>
      </c>
      <c r="M307" t="s">
        <v>41</v>
      </c>
      <c r="N307"/>
      <c r="O307" t="s">
        <v>463</v>
      </c>
      <c r="P307" t="s">
        <v>462</v>
      </c>
      <c r="Q307"/>
    </row>
    <row r="308" spans="1:17" x14ac:dyDescent="0.2">
      <c r="A308" t="s">
        <v>2847</v>
      </c>
      <c r="B308" t="s">
        <v>607</v>
      </c>
      <c r="C308" t="s">
        <v>39</v>
      </c>
      <c r="D308" t="s">
        <v>453</v>
      </c>
      <c r="E308" t="s">
        <v>585</v>
      </c>
      <c r="F308" t="s">
        <v>444</v>
      </c>
      <c r="G308" t="s">
        <v>606</v>
      </c>
      <c r="H308" t="s">
        <v>605</v>
      </c>
      <c r="I308" t="s">
        <v>2848</v>
      </c>
      <c r="J308" t="s">
        <v>449</v>
      </c>
      <c r="K308" t="s">
        <v>41</v>
      </c>
      <c r="L308" t="s">
        <v>112</v>
      </c>
      <c r="M308" t="s">
        <v>41</v>
      </c>
      <c r="N308"/>
      <c r="O308" t="s">
        <v>446</v>
      </c>
      <c r="P308" t="s">
        <v>445</v>
      </c>
      <c r="Q308" t="s">
        <v>466</v>
      </c>
    </row>
    <row r="309" spans="1:17" x14ac:dyDescent="0.2">
      <c r="A309" t="s">
        <v>2849</v>
      </c>
      <c r="B309" t="s">
        <v>343</v>
      </c>
      <c r="C309" t="s">
        <v>39</v>
      </c>
      <c r="D309" t="s">
        <v>453</v>
      </c>
      <c r="E309" t="s">
        <v>461</v>
      </c>
      <c r="F309" t="s">
        <v>443</v>
      </c>
      <c r="G309" t="s">
        <v>34</v>
      </c>
      <c r="H309" t="s">
        <v>604</v>
      </c>
      <c r="I309" t="s">
        <v>2850</v>
      </c>
      <c r="J309" t="s">
        <v>459</v>
      </c>
      <c r="K309" t="s">
        <v>39</v>
      </c>
      <c r="L309" t="s">
        <v>138</v>
      </c>
      <c r="M309" t="s">
        <v>41</v>
      </c>
      <c r="N309" t="s">
        <v>603</v>
      </c>
      <c r="O309" t="s">
        <v>446</v>
      </c>
      <c r="P309" t="s">
        <v>482</v>
      </c>
      <c r="Q309"/>
    </row>
    <row r="310" spans="1:17" x14ac:dyDescent="0.2">
      <c r="A310" t="s">
        <v>2851</v>
      </c>
      <c r="B310" t="s">
        <v>602</v>
      </c>
      <c r="C310" t="s">
        <v>39</v>
      </c>
      <c r="D310" t="s">
        <v>453</v>
      </c>
      <c r="E310" t="s">
        <v>461</v>
      </c>
      <c r="F310" t="s">
        <v>443</v>
      </c>
      <c r="G310" t="s">
        <v>34</v>
      </c>
      <c r="H310" t="s">
        <v>601</v>
      </c>
      <c r="I310" t="s">
        <v>1946</v>
      </c>
      <c r="J310" t="s">
        <v>449</v>
      </c>
      <c r="K310" t="s">
        <v>39</v>
      </c>
      <c r="L310" t="s">
        <v>477</v>
      </c>
      <c r="M310" t="s">
        <v>41</v>
      </c>
      <c r="N310" t="s">
        <v>1471</v>
      </c>
      <c r="O310" t="s">
        <v>557</v>
      </c>
      <c r="P310" t="s">
        <v>1934</v>
      </c>
      <c r="Q310"/>
    </row>
    <row r="311" spans="1:17" x14ac:dyDescent="0.2">
      <c r="A311" t="s">
        <v>2852</v>
      </c>
      <c r="B311" t="s">
        <v>139</v>
      </c>
      <c r="C311" t="s">
        <v>39</v>
      </c>
      <c r="D311" t="s">
        <v>453</v>
      </c>
      <c r="E311" t="s">
        <v>461</v>
      </c>
      <c r="F311" t="s">
        <v>444</v>
      </c>
      <c r="G311" t="s">
        <v>529</v>
      </c>
      <c r="H311" t="s">
        <v>2853</v>
      </c>
      <c r="I311" t="s">
        <v>2854</v>
      </c>
      <c r="J311" t="s">
        <v>449</v>
      </c>
      <c r="K311" t="s">
        <v>39</v>
      </c>
      <c r="L311" t="s">
        <v>286</v>
      </c>
      <c r="M311" t="s">
        <v>41</v>
      </c>
      <c r="N311" t="s">
        <v>599</v>
      </c>
      <c r="O311" t="s">
        <v>446</v>
      </c>
      <c r="P311" t="s">
        <v>482</v>
      </c>
      <c r="Q311" t="s">
        <v>520</v>
      </c>
    </row>
    <row r="312" spans="1:17" x14ac:dyDescent="0.2">
      <c r="A312" t="s">
        <v>2855</v>
      </c>
      <c r="B312" t="s">
        <v>144</v>
      </c>
      <c r="C312" t="s">
        <v>39</v>
      </c>
      <c r="D312" t="s">
        <v>453</v>
      </c>
      <c r="E312" t="s">
        <v>461</v>
      </c>
      <c r="F312" t="s">
        <v>444</v>
      </c>
      <c r="G312" t="s">
        <v>460</v>
      </c>
      <c r="H312" t="s">
        <v>145</v>
      </c>
      <c r="I312" t="s">
        <v>2856</v>
      </c>
      <c r="J312" t="s">
        <v>459</v>
      </c>
      <c r="K312" t="s">
        <v>39</v>
      </c>
      <c r="L312" t="s">
        <v>448</v>
      </c>
      <c r="M312" t="s">
        <v>41</v>
      </c>
      <c r="N312" t="s">
        <v>598</v>
      </c>
      <c r="O312" t="s">
        <v>458</v>
      </c>
      <c r="P312" t="s">
        <v>495</v>
      </c>
      <c r="Q312" t="s">
        <v>466</v>
      </c>
    </row>
    <row r="313" spans="1:17" x14ac:dyDescent="0.2">
      <c r="A313" t="s">
        <v>2857</v>
      </c>
      <c r="B313" t="s">
        <v>597</v>
      </c>
      <c r="C313" t="s">
        <v>39</v>
      </c>
      <c r="D313" t="s">
        <v>453</v>
      </c>
      <c r="E313" t="s">
        <v>461</v>
      </c>
      <c r="F313" t="s">
        <v>443</v>
      </c>
      <c r="G313" t="s">
        <v>34</v>
      </c>
      <c r="H313" t="s">
        <v>596</v>
      </c>
      <c r="I313" t="s">
        <v>2858</v>
      </c>
      <c r="J313" t="s">
        <v>449</v>
      </c>
      <c r="K313" t="s">
        <v>39</v>
      </c>
      <c r="L313" t="s">
        <v>286</v>
      </c>
      <c r="M313" t="s">
        <v>41</v>
      </c>
      <c r="N313" t="s">
        <v>595</v>
      </c>
      <c r="O313" t="s">
        <v>557</v>
      </c>
      <c r="P313" t="s">
        <v>590</v>
      </c>
      <c r="Q313"/>
    </row>
    <row r="314" spans="1:17" x14ac:dyDescent="0.2">
      <c r="A314" t="s">
        <v>2859</v>
      </c>
      <c r="B314" t="s">
        <v>594</v>
      </c>
      <c r="C314" t="s">
        <v>39</v>
      </c>
      <c r="D314" t="s">
        <v>453</v>
      </c>
      <c r="E314" t="s">
        <v>494</v>
      </c>
      <c r="F314" t="s">
        <v>443</v>
      </c>
      <c r="G314" t="s">
        <v>34</v>
      </c>
      <c r="H314" t="s">
        <v>593</v>
      </c>
      <c r="I314" t="s">
        <v>2858</v>
      </c>
      <c r="J314" t="s">
        <v>459</v>
      </c>
      <c r="K314" t="s">
        <v>41</v>
      </c>
      <c r="L314" t="s">
        <v>138</v>
      </c>
      <c r="M314" t="s">
        <v>41</v>
      </c>
      <c r="N314"/>
      <c r="O314" t="s">
        <v>446</v>
      </c>
      <c r="P314" t="s">
        <v>482</v>
      </c>
      <c r="Q314"/>
    </row>
    <row r="315" spans="1:17" x14ac:dyDescent="0.2">
      <c r="A315" t="s">
        <v>2860</v>
      </c>
      <c r="B315" t="s">
        <v>589</v>
      </c>
      <c r="C315" t="s">
        <v>39</v>
      </c>
      <c r="D315" t="s">
        <v>453</v>
      </c>
      <c r="E315" t="s">
        <v>461</v>
      </c>
      <c r="F315" t="s">
        <v>443</v>
      </c>
      <c r="G315" t="s">
        <v>34</v>
      </c>
      <c r="H315" t="s">
        <v>588</v>
      </c>
      <c r="I315" t="s">
        <v>2858</v>
      </c>
      <c r="J315" t="s">
        <v>449</v>
      </c>
      <c r="K315" t="s">
        <v>39</v>
      </c>
      <c r="L315" t="s">
        <v>286</v>
      </c>
      <c r="M315" t="s">
        <v>41</v>
      </c>
      <c r="N315" t="s">
        <v>587</v>
      </c>
      <c r="O315" t="s">
        <v>496</v>
      </c>
      <c r="P315" t="s">
        <v>521</v>
      </c>
      <c r="Q315"/>
    </row>
    <row r="316" spans="1:17" x14ac:dyDescent="0.2">
      <c r="A316" t="s">
        <v>2861</v>
      </c>
      <c r="B316" t="s">
        <v>586</v>
      </c>
      <c r="C316" t="s">
        <v>39</v>
      </c>
      <c r="D316" t="s">
        <v>453</v>
      </c>
      <c r="E316" t="s">
        <v>585</v>
      </c>
      <c r="F316" t="s">
        <v>443</v>
      </c>
      <c r="G316" t="s">
        <v>34</v>
      </c>
      <c r="H316" t="s">
        <v>584</v>
      </c>
      <c r="I316" t="s">
        <v>2862</v>
      </c>
      <c r="J316" t="s">
        <v>459</v>
      </c>
      <c r="K316" t="s">
        <v>41</v>
      </c>
      <c r="L316" t="s">
        <v>286</v>
      </c>
      <c r="M316" t="s">
        <v>41</v>
      </c>
      <c r="N316"/>
      <c r="O316" t="s">
        <v>446</v>
      </c>
      <c r="P316" t="s">
        <v>445</v>
      </c>
      <c r="Q316"/>
    </row>
    <row r="317" spans="1:17" x14ac:dyDescent="0.2">
      <c r="A317" t="s">
        <v>2863</v>
      </c>
      <c r="B317" t="s">
        <v>127</v>
      </c>
      <c r="C317" t="s">
        <v>39</v>
      </c>
      <c r="D317" t="s">
        <v>453</v>
      </c>
      <c r="E317" t="s">
        <v>461</v>
      </c>
      <c r="F317" t="s">
        <v>444</v>
      </c>
      <c r="G317" t="s">
        <v>468</v>
      </c>
      <c r="H317" t="s">
        <v>128</v>
      </c>
      <c r="I317" t="s">
        <v>1475</v>
      </c>
      <c r="J317" t="s">
        <v>449</v>
      </c>
      <c r="K317" t="s">
        <v>39</v>
      </c>
      <c r="L317" t="s">
        <v>477</v>
      </c>
      <c r="M317" t="s">
        <v>41</v>
      </c>
      <c r="N317" t="s">
        <v>583</v>
      </c>
      <c r="O317" t="s">
        <v>458</v>
      </c>
      <c r="P317" t="s">
        <v>491</v>
      </c>
      <c r="Q317" t="s">
        <v>456</v>
      </c>
    </row>
    <row r="318" spans="1:17" x14ac:dyDescent="0.2">
      <c r="A318" t="s">
        <v>2864</v>
      </c>
      <c r="B318" t="s">
        <v>582</v>
      </c>
      <c r="C318" t="s">
        <v>39</v>
      </c>
      <c r="D318" t="s">
        <v>453</v>
      </c>
      <c r="E318" t="s">
        <v>461</v>
      </c>
      <c r="F318" t="s">
        <v>443</v>
      </c>
      <c r="G318" t="s">
        <v>34</v>
      </c>
      <c r="H318" t="s">
        <v>1197</v>
      </c>
      <c r="I318" t="s">
        <v>1947</v>
      </c>
      <c r="J318" t="s">
        <v>459</v>
      </c>
      <c r="K318" t="s">
        <v>39</v>
      </c>
      <c r="L318" t="s">
        <v>448</v>
      </c>
      <c r="M318" t="s">
        <v>41</v>
      </c>
      <c r="N318" t="s">
        <v>1472</v>
      </c>
      <c r="O318" t="s">
        <v>557</v>
      </c>
      <c r="P318" t="s">
        <v>2865</v>
      </c>
      <c r="Q318"/>
    </row>
    <row r="319" spans="1:17" x14ac:dyDescent="0.2">
      <c r="A319" t="s">
        <v>2866</v>
      </c>
      <c r="B319" t="s">
        <v>1936</v>
      </c>
      <c r="C319" t="s">
        <v>39</v>
      </c>
      <c r="D319" t="s">
        <v>453</v>
      </c>
      <c r="E319" t="s">
        <v>461</v>
      </c>
      <c r="F319" t="s">
        <v>443</v>
      </c>
      <c r="G319" t="s">
        <v>34</v>
      </c>
      <c r="H319" t="s">
        <v>128</v>
      </c>
      <c r="I319" t="s">
        <v>2867</v>
      </c>
      <c r="J319" t="s">
        <v>449</v>
      </c>
      <c r="K319" t="s">
        <v>39</v>
      </c>
      <c r="L319" t="s">
        <v>286</v>
      </c>
      <c r="M319" t="s">
        <v>41</v>
      </c>
      <c r="N319" t="s">
        <v>1937</v>
      </c>
      <c r="O319" t="s">
        <v>496</v>
      </c>
      <c r="P319" t="s">
        <v>491</v>
      </c>
      <c r="Q319"/>
    </row>
    <row r="320" spans="1:17" x14ac:dyDescent="0.2">
      <c r="A320" t="s">
        <v>2868</v>
      </c>
      <c r="B320" t="s">
        <v>580</v>
      </c>
      <c r="C320" t="s">
        <v>39</v>
      </c>
      <c r="D320" t="s">
        <v>453</v>
      </c>
      <c r="E320" t="s">
        <v>570</v>
      </c>
      <c r="F320" t="s">
        <v>569</v>
      </c>
      <c r="G320" t="s">
        <v>568</v>
      </c>
      <c r="H320" t="s">
        <v>579</v>
      </c>
      <c r="I320" t="s">
        <v>455</v>
      </c>
      <c r="J320" t="s">
        <v>40</v>
      </c>
      <c r="K320" t="s">
        <v>41</v>
      </c>
      <c r="L320" t="s">
        <v>448</v>
      </c>
      <c r="M320" t="s">
        <v>41</v>
      </c>
      <c r="N320"/>
      <c r="O320" t="s">
        <v>566</v>
      </c>
      <c r="P320" t="s">
        <v>565</v>
      </c>
      <c r="Q320"/>
    </row>
    <row r="321" spans="1:17" x14ac:dyDescent="0.2">
      <c r="A321" t="s">
        <v>2869</v>
      </c>
      <c r="B321" t="s">
        <v>578</v>
      </c>
      <c r="C321" t="s">
        <v>39</v>
      </c>
      <c r="D321" t="s">
        <v>453</v>
      </c>
      <c r="E321" t="s">
        <v>570</v>
      </c>
      <c r="F321" t="s">
        <v>569</v>
      </c>
      <c r="G321" t="s">
        <v>568</v>
      </c>
      <c r="H321" t="s">
        <v>577</v>
      </c>
      <c r="I321" t="s">
        <v>455</v>
      </c>
      <c r="J321" t="s">
        <v>40</v>
      </c>
      <c r="K321" t="s">
        <v>41</v>
      </c>
      <c r="L321" t="s">
        <v>477</v>
      </c>
      <c r="M321" t="s">
        <v>41</v>
      </c>
      <c r="N321"/>
      <c r="O321" t="s">
        <v>566</v>
      </c>
      <c r="P321" t="s">
        <v>565</v>
      </c>
      <c r="Q321"/>
    </row>
    <row r="322" spans="1:17" x14ac:dyDescent="0.2">
      <c r="A322" t="s">
        <v>2870</v>
      </c>
      <c r="B322" t="s">
        <v>576</v>
      </c>
      <c r="C322" t="s">
        <v>39</v>
      </c>
      <c r="D322" t="s">
        <v>453</v>
      </c>
      <c r="E322" t="s">
        <v>461</v>
      </c>
      <c r="F322" t="s">
        <v>569</v>
      </c>
      <c r="G322" t="s">
        <v>568</v>
      </c>
      <c r="H322" t="s">
        <v>1938</v>
      </c>
      <c r="I322" t="s">
        <v>455</v>
      </c>
      <c r="J322" t="s">
        <v>459</v>
      </c>
      <c r="K322" t="s">
        <v>41</v>
      </c>
      <c r="L322" t="s">
        <v>286</v>
      </c>
      <c r="M322" t="s">
        <v>41</v>
      </c>
      <c r="N322"/>
      <c r="O322" t="s">
        <v>566</v>
      </c>
      <c r="P322" t="s">
        <v>1939</v>
      </c>
      <c r="Q322"/>
    </row>
    <row r="323" spans="1:17" x14ac:dyDescent="0.2">
      <c r="A323" t="s">
        <v>2871</v>
      </c>
      <c r="B323" t="s">
        <v>573</v>
      </c>
      <c r="C323" t="s">
        <v>39</v>
      </c>
      <c r="D323" t="s">
        <v>453</v>
      </c>
      <c r="E323" t="s">
        <v>461</v>
      </c>
      <c r="F323" t="s">
        <v>569</v>
      </c>
      <c r="G323" t="s">
        <v>568</v>
      </c>
      <c r="H323" t="s">
        <v>1941</v>
      </c>
      <c r="I323" t="s">
        <v>2872</v>
      </c>
      <c r="J323" t="s">
        <v>459</v>
      </c>
      <c r="K323" t="s">
        <v>41</v>
      </c>
      <c r="L323" t="s">
        <v>286</v>
      </c>
      <c r="M323" t="s">
        <v>41</v>
      </c>
      <c r="N323"/>
      <c r="O323" t="s">
        <v>566</v>
      </c>
      <c r="P323" t="s">
        <v>760</v>
      </c>
      <c r="Q323"/>
    </row>
    <row r="324" spans="1:17" x14ac:dyDescent="0.2">
      <c r="A324" t="s">
        <v>2873</v>
      </c>
      <c r="B324" t="s">
        <v>572</v>
      </c>
      <c r="C324" t="s">
        <v>39</v>
      </c>
      <c r="D324" t="s">
        <v>453</v>
      </c>
      <c r="E324" t="s">
        <v>461</v>
      </c>
      <c r="F324" t="s">
        <v>569</v>
      </c>
      <c r="G324" t="s">
        <v>568</v>
      </c>
      <c r="H324" t="s">
        <v>1942</v>
      </c>
      <c r="I324" t="s">
        <v>2872</v>
      </c>
      <c r="J324" t="s">
        <v>459</v>
      </c>
      <c r="K324" t="s">
        <v>41</v>
      </c>
      <c r="L324" t="s">
        <v>286</v>
      </c>
      <c r="M324" t="s">
        <v>41</v>
      </c>
      <c r="N324"/>
      <c r="O324" t="s">
        <v>566</v>
      </c>
      <c r="P324" t="s">
        <v>1939</v>
      </c>
      <c r="Q324"/>
    </row>
    <row r="325" spans="1:17" x14ac:dyDescent="0.2">
      <c r="A325" t="s">
        <v>2874</v>
      </c>
      <c r="B325" t="s">
        <v>571</v>
      </c>
      <c r="C325" t="s">
        <v>39</v>
      </c>
      <c r="D325" t="s">
        <v>453</v>
      </c>
      <c r="E325" t="s">
        <v>570</v>
      </c>
      <c r="F325" t="s">
        <v>569</v>
      </c>
      <c r="G325" t="s">
        <v>568</v>
      </c>
      <c r="H325" t="s">
        <v>567</v>
      </c>
      <c r="I325" t="s">
        <v>455</v>
      </c>
      <c r="J325" t="s">
        <v>40</v>
      </c>
      <c r="K325" t="s">
        <v>41</v>
      </c>
      <c r="L325" t="s">
        <v>138</v>
      </c>
      <c r="M325" t="s">
        <v>41</v>
      </c>
      <c r="N325"/>
      <c r="O325" t="s">
        <v>566</v>
      </c>
      <c r="P325" t="s">
        <v>565</v>
      </c>
      <c r="Q325"/>
    </row>
    <row r="326" spans="1:17" x14ac:dyDescent="0.2">
      <c r="A326" t="s">
        <v>2875</v>
      </c>
      <c r="B326" t="s">
        <v>223</v>
      </c>
      <c r="C326" t="s">
        <v>39</v>
      </c>
      <c r="D326" t="s">
        <v>453</v>
      </c>
      <c r="E326" t="s">
        <v>461</v>
      </c>
      <c r="F326" t="s">
        <v>443</v>
      </c>
      <c r="G326" t="s">
        <v>34</v>
      </c>
      <c r="H326" t="s">
        <v>1943</v>
      </c>
      <c r="I326" t="s">
        <v>2876</v>
      </c>
      <c r="J326" t="s">
        <v>459</v>
      </c>
      <c r="K326" t="s">
        <v>39</v>
      </c>
      <c r="L326" t="s">
        <v>138</v>
      </c>
      <c r="M326" t="s">
        <v>41</v>
      </c>
      <c r="N326" t="s">
        <v>564</v>
      </c>
      <c r="O326" t="s">
        <v>1944</v>
      </c>
      <c r="P326" t="s">
        <v>1944</v>
      </c>
      <c r="Q326"/>
    </row>
    <row r="327" spans="1:17" x14ac:dyDescent="0.2">
      <c r="A327" t="s">
        <v>2877</v>
      </c>
      <c r="B327" t="s">
        <v>208</v>
      </c>
      <c r="C327" t="s">
        <v>39</v>
      </c>
      <c r="D327" t="s">
        <v>453</v>
      </c>
      <c r="E327" t="s">
        <v>461</v>
      </c>
      <c r="F327" t="s">
        <v>443</v>
      </c>
      <c r="G327" t="s">
        <v>34</v>
      </c>
      <c r="H327" t="s">
        <v>1945</v>
      </c>
      <c r="I327" t="s">
        <v>2876</v>
      </c>
      <c r="J327" t="s">
        <v>459</v>
      </c>
      <c r="K327" t="s">
        <v>39</v>
      </c>
      <c r="L327" t="s">
        <v>286</v>
      </c>
      <c r="M327" t="s">
        <v>41</v>
      </c>
      <c r="N327" t="s">
        <v>563</v>
      </c>
      <c r="O327" t="s">
        <v>1944</v>
      </c>
      <c r="P327" t="s">
        <v>1944</v>
      </c>
      <c r="Q327"/>
    </row>
    <row r="328" spans="1:17" x14ac:dyDescent="0.2">
      <c r="A328" t="s">
        <v>2878</v>
      </c>
      <c r="B328" t="s">
        <v>220</v>
      </c>
      <c r="C328" t="s">
        <v>39</v>
      </c>
      <c r="D328" t="s">
        <v>453</v>
      </c>
      <c r="E328" t="s">
        <v>461</v>
      </c>
      <c r="F328" t="s">
        <v>443</v>
      </c>
      <c r="G328" t="s">
        <v>34</v>
      </c>
      <c r="H328" t="s">
        <v>221</v>
      </c>
      <c r="I328" t="s">
        <v>2876</v>
      </c>
      <c r="J328" t="s">
        <v>459</v>
      </c>
      <c r="K328" t="s">
        <v>39</v>
      </c>
      <c r="L328" t="s">
        <v>138</v>
      </c>
      <c r="M328" t="s">
        <v>41</v>
      </c>
      <c r="N328" t="s">
        <v>562</v>
      </c>
      <c r="O328" t="s">
        <v>557</v>
      </c>
      <c r="P328" t="s">
        <v>2879</v>
      </c>
      <c r="Q328"/>
    </row>
    <row r="329" spans="1:17" x14ac:dyDescent="0.2">
      <c r="A329" t="s">
        <v>2880</v>
      </c>
      <c r="B329" t="s">
        <v>560</v>
      </c>
      <c r="C329" t="s">
        <v>39</v>
      </c>
      <c r="D329" t="s">
        <v>453</v>
      </c>
      <c r="E329" t="s">
        <v>461</v>
      </c>
      <c r="F329" t="s">
        <v>443</v>
      </c>
      <c r="G329" t="s">
        <v>548</v>
      </c>
      <c r="H329" t="s">
        <v>559</v>
      </c>
      <c r="I329" t="s">
        <v>2881</v>
      </c>
      <c r="J329" t="s">
        <v>449</v>
      </c>
      <c r="K329" t="s">
        <v>39</v>
      </c>
      <c r="L329" t="s">
        <v>138</v>
      </c>
      <c r="M329" t="s">
        <v>41</v>
      </c>
      <c r="N329"/>
      <c r="O329" t="s">
        <v>463</v>
      </c>
      <c r="P329" t="s">
        <v>558</v>
      </c>
      <c r="Q329"/>
    </row>
    <row r="330" spans="1:17" x14ac:dyDescent="0.2">
      <c r="A330" t="s">
        <v>2882</v>
      </c>
      <c r="B330" t="s">
        <v>556</v>
      </c>
      <c r="C330" t="s">
        <v>39</v>
      </c>
      <c r="D330" t="s">
        <v>453</v>
      </c>
      <c r="E330" t="s">
        <v>461</v>
      </c>
      <c r="F330" t="s">
        <v>443</v>
      </c>
      <c r="G330" t="s">
        <v>34</v>
      </c>
      <c r="H330" t="s">
        <v>1198</v>
      </c>
      <c r="I330" t="s">
        <v>2883</v>
      </c>
      <c r="J330" t="s">
        <v>459</v>
      </c>
      <c r="K330" t="s">
        <v>39</v>
      </c>
      <c r="L330" t="s">
        <v>138</v>
      </c>
      <c r="M330" t="s">
        <v>41</v>
      </c>
      <c r="N330" t="s">
        <v>1473</v>
      </c>
      <c r="O330" t="s">
        <v>557</v>
      </c>
      <c r="P330" t="s">
        <v>2865</v>
      </c>
      <c r="Q330"/>
    </row>
    <row r="331" spans="1:17" x14ac:dyDescent="0.2">
      <c r="A331" t="s">
        <v>2884</v>
      </c>
      <c r="B331" t="s">
        <v>555</v>
      </c>
      <c r="C331" t="s">
        <v>39</v>
      </c>
      <c r="D331" t="s">
        <v>453</v>
      </c>
      <c r="E331" t="s">
        <v>461</v>
      </c>
      <c r="F331" t="s">
        <v>443</v>
      </c>
      <c r="G331" t="s">
        <v>34</v>
      </c>
      <c r="H331" t="s">
        <v>1199</v>
      </c>
      <c r="I331" t="s">
        <v>2885</v>
      </c>
      <c r="J331" t="s">
        <v>459</v>
      </c>
      <c r="K331" t="s">
        <v>39</v>
      </c>
      <c r="L331" t="s">
        <v>138</v>
      </c>
      <c r="M331" t="s">
        <v>41</v>
      </c>
      <c r="N331"/>
      <c r="O331" t="s">
        <v>463</v>
      </c>
      <c r="P331" t="s">
        <v>558</v>
      </c>
      <c r="Q331"/>
    </row>
    <row r="332" spans="1:17" x14ac:dyDescent="0.2">
      <c r="A332" t="s">
        <v>2886</v>
      </c>
      <c r="B332" t="s">
        <v>554</v>
      </c>
      <c r="C332" t="s">
        <v>39</v>
      </c>
      <c r="D332" t="s">
        <v>453</v>
      </c>
      <c r="E332" t="s">
        <v>461</v>
      </c>
      <c r="F332" t="s">
        <v>443</v>
      </c>
      <c r="G332" t="s">
        <v>34</v>
      </c>
      <c r="H332" t="s">
        <v>553</v>
      </c>
      <c r="I332" t="s">
        <v>2887</v>
      </c>
      <c r="J332" t="s">
        <v>449</v>
      </c>
      <c r="K332" t="s">
        <v>39</v>
      </c>
      <c r="L332" t="s">
        <v>138</v>
      </c>
      <c r="M332" t="s">
        <v>41</v>
      </c>
      <c r="N332"/>
      <c r="O332" t="s">
        <v>463</v>
      </c>
      <c r="P332" t="s">
        <v>462</v>
      </c>
      <c r="Q332"/>
    </row>
    <row r="333" spans="1:17" x14ac:dyDescent="0.2">
      <c r="A333" t="s">
        <v>2888</v>
      </c>
      <c r="B333" t="s">
        <v>115</v>
      </c>
      <c r="C333" t="s">
        <v>39</v>
      </c>
      <c r="D333" t="s">
        <v>453</v>
      </c>
      <c r="E333" t="s">
        <v>461</v>
      </c>
      <c r="F333" t="s">
        <v>444</v>
      </c>
      <c r="G333" t="s">
        <v>451</v>
      </c>
      <c r="H333" t="s">
        <v>551</v>
      </c>
      <c r="I333" t="s">
        <v>2889</v>
      </c>
      <c r="J333" t="s">
        <v>459</v>
      </c>
      <c r="K333" t="s">
        <v>39</v>
      </c>
      <c r="L333" t="s">
        <v>286</v>
      </c>
      <c r="M333" t="s">
        <v>41</v>
      </c>
      <c r="N333" t="s">
        <v>550</v>
      </c>
      <c r="O333" t="s">
        <v>446</v>
      </c>
      <c r="P333" t="s">
        <v>482</v>
      </c>
      <c r="Q333" t="s">
        <v>466</v>
      </c>
    </row>
    <row r="334" spans="1:17" x14ac:dyDescent="0.2">
      <c r="A334" t="s">
        <v>2890</v>
      </c>
      <c r="B334" t="s">
        <v>549</v>
      </c>
      <c r="C334" t="s">
        <v>39</v>
      </c>
      <c r="D334" t="s">
        <v>453</v>
      </c>
      <c r="E334" t="s">
        <v>461</v>
      </c>
      <c r="F334" t="s">
        <v>443</v>
      </c>
      <c r="G334" t="s">
        <v>548</v>
      </c>
      <c r="H334" t="s">
        <v>547</v>
      </c>
      <c r="I334" t="s">
        <v>2891</v>
      </c>
      <c r="J334" t="s">
        <v>449</v>
      </c>
      <c r="K334" t="s">
        <v>39</v>
      </c>
      <c r="L334" t="s">
        <v>138</v>
      </c>
      <c r="M334" t="s">
        <v>41</v>
      </c>
      <c r="N334" t="s">
        <v>546</v>
      </c>
      <c r="O334" t="s">
        <v>463</v>
      </c>
      <c r="P334" t="s">
        <v>475</v>
      </c>
      <c r="Q334"/>
    </row>
    <row r="335" spans="1:17" x14ac:dyDescent="0.2">
      <c r="A335" t="s">
        <v>2892</v>
      </c>
      <c r="B335" t="s">
        <v>167</v>
      </c>
      <c r="C335" t="s">
        <v>39</v>
      </c>
      <c r="D335" t="s">
        <v>453</v>
      </c>
      <c r="E335" t="s">
        <v>461</v>
      </c>
      <c r="F335" t="s">
        <v>443</v>
      </c>
      <c r="G335" t="s">
        <v>34</v>
      </c>
      <c r="H335" t="s">
        <v>545</v>
      </c>
      <c r="I335" t="s">
        <v>2893</v>
      </c>
      <c r="J335" t="s">
        <v>459</v>
      </c>
      <c r="K335" t="s">
        <v>39</v>
      </c>
      <c r="L335" t="s">
        <v>138</v>
      </c>
      <c r="M335" t="s">
        <v>41</v>
      </c>
      <c r="N335" t="s">
        <v>544</v>
      </c>
      <c r="O335" t="s">
        <v>446</v>
      </c>
      <c r="P335" t="s">
        <v>482</v>
      </c>
      <c r="Q335"/>
    </row>
    <row r="336" spans="1:17" x14ac:dyDescent="0.2">
      <c r="A336" t="s">
        <v>2894</v>
      </c>
      <c r="B336" t="s">
        <v>162</v>
      </c>
      <c r="C336" t="s">
        <v>39</v>
      </c>
      <c r="D336" t="s">
        <v>453</v>
      </c>
      <c r="E336" t="s">
        <v>461</v>
      </c>
      <c r="F336" t="s">
        <v>443</v>
      </c>
      <c r="G336" t="s">
        <v>34</v>
      </c>
      <c r="H336" t="s">
        <v>543</v>
      </c>
      <c r="I336" t="s">
        <v>2893</v>
      </c>
      <c r="J336" t="s">
        <v>449</v>
      </c>
      <c r="K336" t="s">
        <v>39</v>
      </c>
      <c r="L336" t="s">
        <v>138</v>
      </c>
      <c r="M336" t="s">
        <v>41</v>
      </c>
      <c r="N336" t="s">
        <v>542</v>
      </c>
      <c r="O336" t="s">
        <v>446</v>
      </c>
      <c r="P336" t="s">
        <v>482</v>
      </c>
      <c r="Q336"/>
    </row>
    <row r="337" spans="1:17" x14ac:dyDescent="0.2">
      <c r="A337" t="s">
        <v>2895</v>
      </c>
      <c r="B337" t="s">
        <v>131</v>
      </c>
      <c r="C337" t="s">
        <v>39</v>
      </c>
      <c r="D337" t="s">
        <v>453</v>
      </c>
      <c r="E337" t="s">
        <v>461</v>
      </c>
      <c r="F337" t="s">
        <v>444</v>
      </c>
      <c r="G337" t="s">
        <v>451</v>
      </c>
      <c r="H337" t="s">
        <v>1201</v>
      </c>
      <c r="I337" t="s">
        <v>2896</v>
      </c>
      <c r="J337" t="s">
        <v>459</v>
      </c>
      <c r="K337" t="s">
        <v>39</v>
      </c>
      <c r="L337" t="s">
        <v>448</v>
      </c>
      <c r="M337" t="s">
        <v>41</v>
      </c>
      <c r="N337" t="s">
        <v>541</v>
      </c>
      <c r="O337" t="s">
        <v>446</v>
      </c>
      <c r="P337" t="s">
        <v>482</v>
      </c>
      <c r="Q337" t="s">
        <v>540</v>
      </c>
    </row>
    <row r="338" spans="1:17" x14ac:dyDescent="0.2">
      <c r="A338" s="6" t="s">
        <v>2897</v>
      </c>
      <c r="B338" t="s">
        <v>201</v>
      </c>
      <c r="C338" t="s">
        <v>39</v>
      </c>
      <c r="D338" t="s">
        <v>453</v>
      </c>
      <c r="E338" t="s">
        <v>461</v>
      </c>
      <c r="F338" t="s">
        <v>444</v>
      </c>
      <c r="G338" t="s">
        <v>535</v>
      </c>
      <c r="H338" t="s">
        <v>538</v>
      </c>
      <c r="I338" t="s">
        <v>2596</v>
      </c>
      <c r="J338" t="s">
        <v>459</v>
      </c>
      <c r="K338" t="s">
        <v>39</v>
      </c>
      <c r="L338" t="s">
        <v>537</v>
      </c>
      <c r="M338" t="s">
        <v>41</v>
      </c>
      <c r="N338" t="s">
        <v>536</v>
      </c>
      <c r="O338" t="s">
        <v>446</v>
      </c>
      <c r="P338" t="s">
        <v>482</v>
      </c>
      <c r="Q338" t="s">
        <v>466</v>
      </c>
    </row>
    <row r="339" spans="1:17" x14ac:dyDescent="0.2">
      <c r="A339" s="6" t="s">
        <v>2898</v>
      </c>
      <c r="B339" t="s">
        <v>2899</v>
      </c>
      <c r="C339" t="s">
        <v>39</v>
      </c>
      <c r="D339" t="s">
        <v>453</v>
      </c>
      <c r="E339" t="s">
        <v>461</v>
      </c>
      <c r="F339" t="s">
        <v>444</v>
      </c>
      <c r="G339" t="s">
        <v>535</v>
      </c>
      <c r="H339" t="s">
        <v>2900</v>
      </c>
      <c r="I339" t="s">
        <v>2901</v>
      </c>
      <c r="J339" t="s">
        <v>459</v>
      </c>
      <c r="K339" t="s">
        <v>39</v>
      </c>
      <c r="L339" t="s">
        <v>138</v>
      </c>
      <c r="M339" t="s">
        <v>41</v>
      </c>
      <c r="N339" t="s">
        <v>2902</v>
      </c>
      <c r="O339" t="s">
        <v>492</v>
      </c>
      <c r="P339" t="s">
        <v>658</v>
      </c>
      <c r="Q339" t="s">
        <v>466</v>
      </c>
    </row>
    <row r="340" spans="1:17" x14ac:dyDescent="0.2">
      <c r="A340" s="6" t="s">
        <v>2903</v>
      </c>
      <c r="B340" t="s">
        <v>120</v>
      </c>
      <c r="C340" t="s">
        <v>39</v>
      </c>
      <c r="D340" t="s">
        <v>453</v>
      </c>
      <c r="E340" t="s">
        <v>461</v>
      </c>
      <c r="F340" t="s">
        <v>444</v>
      </c>
      <c r="G340" t="s">
        <v>468</v>
      </c>
      <c r="H340" t="s">
        <v>121</v>
      </c>
      <c r="I340" t="s">
        <v>2904</v>
      </c>
      <c r="J340" t="s">
        <v>459</v>
      </c>
      <c r="K340" t="s">
        <v>39</v>
      </c>
      <c r="L340" t="s">
        <v>448</v>
      </c>
      <c r="M340" t="s">
        <v>41</v>
      </c>
      <c r="N340" t="s">
        <v>534</v>
      </c>
      <c r="O340" t="s">
        <v>458</v>
      </c>
      <c r="P340" t="s">
        <v>530</v>
      </c>
      <c r="Q340" t="s">
        <v>456</v>
      </c>
    </row>
    <row r="341" spans="1:17" x14ac:dyDescent="0.2">
      <c r="A341" s="6" t="s">
        <v>2905</v>
      </c>
      <c r="B341" t="s">
        <v>104</v>
      </c>
      <c r="C341" t="s">
        <v>39</v>
      </c>
      <c r="D341" t="s">
        <v>453</v>
      </c>
      <c r="E341" t="s">
        <v>461</v>
      </c>
      <c r="F341" t="s">
        <v>444</v>
      </c>
      <c r="G341" t="s">
        <v>451</v>
      </c>
      <c r="H341" t="s">
        <v>1202</v>
      </c>
      <c r="I341" t="s">
        <v>2906</v>
      </c>
      <c r="J341" t="s">
        <v>459</v>
      </c>
      <c r="K341" t="s">
        <v>39</v>
      </c>
      <c r="L341" t="s">
        <v>448</v>
      </c>
      <c r="M341" t="s">
        <v>41</v>
      </c>
      <c r="N341" t="s">
        <v>533</v>
      </c>
      <c r="O341" t="s">
        <v>446</v>
      </c>
      <c r="P341" t="s">
        <v>482</v>
      </c>
      <c r="Q341" t="s">
        <v>508</v>
      </c>
    </row>
    <row r="342" spans="1:17" x14ac:dyDescent="0.2">
      <c r="A342" s="6" t="s">
        <v>2907</v>
      </c>
      <c r="B342" t="s">
        <v>240</v>
      </c>
      <c r="C342" t="s">
        <v>39</v>
      </c>
      <c r="D342" t="s">
        <v>453</v>
      </c>
      <c r="E342" t="s">
        <v>461</v>
      </c>
      <c r="F342" t="s">
        <v>443</v>
      </c>
      <c r="G342" t="s">
        <v>34</v>
      </c>
      <c r="H342" t="s">
        <v>241</v>
      </c>
      <c r="I342" t="s">
        <v>2908</v>
      </c>
      <c r="J342" t="s">
        <v>459</v>
      </c>
      <c r="K342" t="s">
        <v>39</v>
      </c>
      <c r="L342" t="s">
        <v>138</v>
      </c>
      <c r="M342" t="s">
        <v>41</v>
      </c>
      <c r="N342"/>
      <c r="O342" t="s">
        <v>463</v>
      </c>
      <c r="P342" t="s">
        <v>462</v>
      </c>
      <c r="Q342"/>
    </row>
    <row r="343" spans="1:17" x14ac:dyDescent="0.2">
      <c r="A343" s="6" t="s">
        <v>2909</v>
      </c>
      <c r="B343" t="s">
        <v>156</v>
      </c>
      <c r="C343" t="s">
        <v>39</v>
      </c>
      <c r="D343" t="s">
        <v>453</v>
      </c>
      <c r="E343" t="s">
        <v>461</v>
      </c>
      <c r="F343" t="s">
        <v>444</v>
      </c>
      <c r="G343" t="s">
        <v>510</v>
      </c>
      <c r="H343" t="s">
        <v>528</v>
      </c>
      <c r="I343" t="s">
        <v>2910</v>
      </c>
      <c r="J343" t="s">
        <v>449</v>
      </c>
      <c r="K343" t="s">
        <v>39</v>
      </c>
      <c r="L343" t="s">
        <v>138</v>
      </c>
      <c r="M343" t="s">
        <v>41</v>
      </c>
      <c r="N343" t="s">
        <v>527</v>
      </c>
      <c r="O343" t="s">
        <v>446</v>
      </c>
      <c r="P343" t="s">
        <v>482</v>
      </c>
      <c r="Q343" t="s">
        <v>508</v>
      </c>
    </row>
    <row r="344" spans="1:17" x14ac:dyDescent="0.2">
      <c r="A344" s="6" t="s">
        <v>2911</v>
      </c>
      <c r="B344" t="s">
        <v>87</v>
      </c>
      <c r="C344" t="s">
        <v>39</v>
      </c>
      <c r="D344" t="s">
        <v>453</v>
      </c>
      <c r="E344" t="s">
        <v>461</v>
      </c>
      <c r="F344" t="s">
        <v>444</v>
      </c>
      <c r="G344" t="s">
        <v>451</v>
      </c>
      <c r="H344" t="s">
        <v>88</v>
      </c>
      <c r="I344" t="s">
        <v>2912</v>
      </c>
      <c r="J344" t="s">
        <v>449</v>
      </c>
      <c r="K344" t="s">
        <v>39</v>
      </c>
      <c r="L344" t="s">
        <v>477</v>
      </c>
      <c r="M344" t="s">
        <v>41</v>
      </c>
      <c r="N344" t="s">
        <v>526</v>
      </c>
      <c r="O344" t="s">
        <v>458</v>
      </c>
      <c r="P344" t="s">
        <v>525</v>
      </c>
      <c r="Q344" t="s">
        <v>508</v>
      </c>
    </row>
    <row r="345" spans="1:17" x14ac:dyDescent="0.2">
      <c r="A345" s="6" t="s">
        <v>2913</v>
      </c>
      <c r="B345" t="s">
        <v>99</v>
      </c>
      <c r="C345" t="s">
        <v>39</v>
      </c>
      <c r="D345" t="s">
        <v>453</v>
      </c>
      <c r="E345" t="s">
        <v>461</v>
      </c>
      <c r="F345" t="s">
        <v>444</v>
      </c>
      <c r="G345" t="s">
        <v>468</v>
      </c>
      <c r="H345" t="s">
        <v>100</v>
      </c>
      <c r="I345" t="s">
        <v>2914</v>
      </c>
      <c r="J345" t="s">
        <v>459</v>
      </c>
      <c r="K345" t="s">
        <v>39</v>
      </c>
      <c r="L345" t="s">
        <v>477</v>
      </c>
      <c r="M345" t="s">
        <v>41</v>
      </c>
      <c r="N345" t="s">
        <v>524</v>
      </c>
      <c r="O345" t="s">
        <v>492</v>
      </c>
      <c r="P345" t="s">
        <v>523</v>
      </c>
      <c r="Q345" t="s">
        <v>456</v>
      </c>
    </row>
    <row r="346" spans="1:17" x14ac:dyDescent="0.2">
      <c r="A346" s="6" t="s">
        <v>2915</v>
      </c>
      <c r="B346" s="6" t="s">
        <v>109</v>
      </c>
      <c r="C346" s="6" t="s">
        <v>39</v>
      </c>
      <c r="D346" s="6" t="s">
        <v>453</v>
      </c>
      <c r="E346" s="6" t="s">
        <v>461</v>
      </c>
      <c r="F346" s="6" t="s">
        <v>444</v>
      </c>
      <c r="G346" s="6" t="s">
        <v>111</v>
      </c>
      <c r="H346" s="6" t="s">
        <v>2916</v>
      </c>
      <c r="I346" s="6" t="s">
        <v>2917</v>
      </c>
      <c r="J346" s="6" t="s">
        <v>459</v>
      </c>
      <c r="K346" s="6" t="s">
        <v>39</v>
      </c>
      <c r="L346" s="6" t="s">
        <v>112</v>
      </c>
      <c r="M346" s="6" t="s">
        <v>41</v>
      </c>
      <c r="N346" s="6" t="s">
        <v>522</v>
      </c>
      <c r="O346" s="6" t="s">
        <v>446</v>
      </c>
      <c r="P346" s="6" t="s">
        <v>482</v>
      </c>
      <c r="Q346" s="6" t="s">
        <v>520</v>
      </c>
    </row>
    <row r="347" spans="1:17" x14ac:dyDescent="0.2">
      <c r="A347" s="6" t="s">
        <v>2918</v>
      </c>
      <c r="B347" s="6" t="s">
        <v>519</v>
      </c>
      <c r="C347" s="6" t="s">
        <v>39</v>
      </c>
      <c r="D347" s="6" t="s">
        <v>453</v>
      </c>
      <c r="E347" s="6" t="s">
        <v>461</v>
      </c>
      <c r="F347" s="6" t="s">
        <v>443</v>
      </c>
      <c r="G347" s="6" t="s">
        <v>34</v>
      </c>
      <c r="H347" s="6" t="s">
        <v>518</v>
      </c>
      <c r="I347" s="6" t="s">
        <v>2919</v>
      </c>
      <c r="J347" s="6" t="s">
        <v>449</v>
      </c>
      <c r="K347" s="6" t="s">
        <v>39</v>
      </c>
      <c r="L347" s="6" t="s">
        <v>138</v>
      </c>
      <c r="M347" s="6" t="s">
        <v>41</v>
      </c>
      <c r="N347" s="6" t="s">
        <v>517</v>
      </c>
      <c r="O347" s="6" t="s">
        <v>446</v>
      </c>
      <c r="P347" s="6" t="s">
        <v>482</v>
      </c>
    </row>
    <row r="348" spans="1:17" x14ac:dyDescent="0.2">
      <c r="A348" s="6" t="s">
        <v>2920</v>
      </c>
      <c r="B348" s="6" t="s">
        <v>78</v>
      </c>
      <c r="C348" s="6" t="s">
        <v>39</v>
      </c>
      <c r="D348" s="6" t="s">
        <v>453</v>
      </c>
      <c r="E348" s="6" t="s">
        <v>461</v>
      </c>
      <c r="F348" s="6" t="s">
        <v>444</v>
      </c>
      <c r="G348" s="6" t="s">
        <v>451</v>
      </c>
      <c r="H348" s="6" t="s">
        <v>516</v>
      </c>
      <c r="I348" s="6" t="s">
        <v>2921</v>
      </c>
      <c r="J348" s="6" t="s">
        <v>459</v>
      </c>
      <c r="K348" s="6" t="s">
        <v>39</v>
      </c>
      <c r="L348" s="6" t="s">
        <v>138</v>
      </c>
      <c r="M348" s="6" t="s">
        <v>41</v>
      </c>
      <c r="N348" s="6" t="s">
        <v>515</v>
      </c>
      <c r="O348" s="6" t="s">
        <v>446</v>
      </c>
      <c r="P348" s="6" t="s">
        <v>482</v>
      </c>
      <c r="Q348" s="6" t="s">
        <v>514</v>
      </c>
    </row>
    <row r="349" spans="1:17" x14ac:dyDescent="0.2">
      <c r="A349" s="6" t="s">
        <v>2922</v>
      </c>
      <c r="B349" s="6" t="s">
        <v>70</v>
      </c>
      <c r="C349" s="6" t="s">
        <v>39</v>
      </c>
      <c r="D349" s="6" t="s">
        <v>453</v>
      </c>
      <c r="E349" s="6" t="s">
        <v>461</v>
      </c>
      <c r="F349" s="6" t="s">
        <v>444</v>
      </c>
      <c r="G349" s="6" t="s">
        <v>72</v>
      </c>
      <c r="H349" s="6" t="s">
        <v>1948</v>
      </c>
      <c r="I349" s="6" t="s">
        <v>2923</v>
      </c>
      <c r="J349" s="6" t="s">
        <v>459</v>
      </c>
      <c r="K349" s="6" t="s">
        <v>39</v>
      </c>
      <c r="L349" s="6" t="s">
        <v>138</v>
      </c>
      <c r="M349" s="6" t="s">
        <v>41</v>
      </c>
      <c r="N349" s="6" t="s">
        <v>513</v>
      </c>
      <c r="O349" s="6" t="s">
        <v>446</v>
      </c>
      <c r="P349" s="6" t="s">
        <v>482</v>
      </c>
      <c r="Q349" s="6" t="s">
        <v>511</v>
      </c>
    </row>
    <row r="350" spans="1:17" x14ac:dyDescent="0.2">
      <c r="A350" s="6" t="s">
        <v>2924</v>
      </c>
      <c r="B350" s="6" t="s">
        <v>1949</v>
      </c>
      <c r="C350" s="6" t="s">
        <v>39</v>
      </c>
      <c r="D350" s="6" t="s">
        <v>453</v>
      </c>
      <c r="E350" s="6" t="s">
        <v>494</v>
      </c>
      <c r="F350" s="6" t="s">
        <v>443</v>
      </c>
      <c r="G350" s="6" t="s">
        <v>34</v>
      </c>
      <c r="H350" s="6" t="s">
        <v>1950</v>
      </c>
      <c r="I350" s="6" t="s">
        <v>1951</v>
      </c>
      <c r="J350" s="6" t="s">
        <v>449</v>
      </c>
      <c r="K350" s="6" t="s">
        <v>41</v>
      </c>
      <c r="L350" s="6" t="s">
        <v>286</v>
      </c>
      <c r="M350" s="6" t="s">
        <v>41</v>
      </c>
      <c r="O350" s="6" t="s">
        <v>557</v>
      </c>
      <c r="P350" s="6" t="s">
        <v>2925</v>
      </c>
    </row>
    <row r="351" spans="1:17" x14ac:dyDescent="0.2">
      <c r="A351" s="6" t="s">
        <v>2926</v>
      </c>
      <c r="B351" s="6" t="s">
        <v>57</v>
      </c>
      <c r="C351" s="6" t="s">
        <v>39</v>
      </c>
      <c r="D351" s="6" t="s">
        <v>453</v>
      </c>
      <c r="E351" s="6" t="s">
        <v>461</v>
      </c>
      <c r="F351" s="6" t="s">
        <v>444</v>
      </c>
      <c r="G351" s="6" t="s">
        <v>451</v>
      </c>
      <c r="H351" s="6" t="s">
        <v>507</v>
      </c>
      <c r="I351" s="6" t="s">
        <v>2927</v>
      </c>
      <c r="J351" s="6" t="s">
        <v>459</v>
      </c>
      <c r="K351" s="6" t="s">
        <v>39</v>
      </c>
      <c r="L351" s="6" t="s">
        <v>448</v>
      </c>
      <c r="M351" s="6" t="s">
        <v>41</v>
      </c>
      <c r="N351" s="6" t="s">
        <v>506</v>
      </c>
      <c r="O351" s="6" t="s">
        <v>446</v>
      </c>
      <c r="P351" s="6" t="s">
        <v>482</v>
      </c>
      <c r="Q351" s="6" t="s">
        <v>456</v>
      </c>
    </row>
    <row r="352" spans="1:17" x14ac:dyDescent="0.2">
      <c r="A352" s="6" t="s">
        <v>2928</v>
      </c>
      <c r="B352" s="6" t="s">
        <v>505</v>
      </c>
      <c r="C352" s="6" t="s">
        <v>39</v>
      </c>
      <c r="D352" s="6" t="s">
        <v>453</v>
      </c>
      <c r="E352" s="6" t="s">
        <v>461</v>
      </c>
      <c r="F352" s="6" t="s">
        <v>443</v>
      </c>
      <c r="G352" s="6" t="s">
        <v>34</v>
      </c>
      <c r="H352" s="6" t="s">
        <v>2929</v>
      </c>
      <c r="I352" s="6" t="s">
        <v>2930</v>
      </c>
      <c r="J352" s="6" t="s">
        <v>449</v>
      </c>
      <c r="K352" s="6" t="s">
        <v>39</v>
      </c>
      <c r="L352" s="6" t="s">
        <v>504</v>
      </c>
      <c r="M352" s="6" t="s">
        <v>41</v>
      </c>
      <c r="N352" s="6" t="s">
        <v>503</v>
      </c>
      <c r="O352" s="6" t="s">
        <v>446</v>
      </c>
      <c r="P352" s="6" t="s">
        <v>482</v>
      </c>
    </row>
    <row r="353" spans="1:17" x14ac:dyDescent="0.2">
      <c r="A353" s="6" t="s">
        <v>2931</v>
      </c>
      <c r="B353" s="6" t="s">
        <v>500</v>
      </c>
      <c r="C353" s="6" t="s">
        <v>39</v>
      </c>
      <c r="D353" s="6" t="s">
        <v>453</v>
      </c>
      <c r="E353" s="6" t="s">
        <v>499</v>
      </c>
      <c r="F353" s="6" t="s">
        <v>443</v>
      </c>
      <c r="G353" s="6" t="s">
        <v>34</v>
      </c>
      <c r="H353" s="6" t="s">
        <v>498</v>
      </c>
      <c r="I353" s="6" t="s">
        <v>2932</v>
      </c>
      <c r="J353" s="6" t="s">
        <v>449</v>
      </c>
      <c r="K353" s="6" t="s">
        <v>39</v>
      </c>
      <c r="L353" s="6" t="s">
        <v>448</v>
      </c>
      <c r="M353" s="6" t="s">
        <v>41</v>
      </c>
      <c r="N353" s="6" t="s">
        <v>497</v>
      </c>
      <c r="O353" s="6" t="s">
        <v>496</v>
      </c>
      <c r="P353" s="6" t="s">
        <v>495</v>
      </c>
    </row>
    <row r="354" spans="1:17" x14ac:dyDescent="0.2">
      <c r="A354" s="6" t="s">
        <v>2933</v>
      </c>
      <c r="B354" s="6" t="s">
        <v>51</v>
      </c>
      <c r="C354" s="6" t="s">
        <v>39</v>
      </c>
      <c r="D354" s="6" t="s">
        <v>453</v>
      </c>
      <c r="E354" s="6" t="s">
        <v>461</v>
      </c>
      <c r="F354" s="6" t="s">
        <v>444</v>
      </c>
      <c r="G354" s="6" t="s">
        <v>451</v>
      </c>
      <c r="H354" s="6" t="s">
        <v>1952</v>
      </c>
      <c r="I354" s="6" t="s">
        <v>1474</v>
      </c>
      <c r="J354" s="6" t="s">
        <v>459</v>
      </c>
      <c r="K354" s="6" t="s">
        <v>39</v>
      </c>
      <c r="L354" s="6" t="s">
        <v>474</v>
      </c>
      <c r="M354" s="6" t="s">
        <v>41</v>
      </c>
      <c r="N354" s="6" t="s">
        <v>493</v>
      </c>
      <c r="O354" s="6" t="s">
        <v>446</v>
      </c>
      <c r="P354" s="6" t="s">
        <v>482</v>
      </c>
      <c r="Q354" s="6" t="s">
        <v>629</v>
      </c>
    </row>
    <row r="355" spans="1:17" x14ac:dyDescent="0.2">
      <c r="A355" s="6" t="s">
        <v>2934</v>
      </c>
      <c r="B355" s="6" t="s">
        <v>488</v>
      </c>
      <c r="C355" s="6" t="s">
        <v>39</v>
      </c>
      <c r="D355" s="6" t="s">
        <v>453</v>
      </c>
      <c r="E355" s="6" t="s">
        <v>461</v>
      </c>
      <c r="F355" s="6" t="s">
        <v>443</v>
      </c>
      <c r="G355" s="6" t="s">
        <v>34</v>
      </c>
      <c r="H355" s="6" t="s">
        <v>487</v>
      </c>
      <c r="I355" s="6" t="s">
        <v>2935</v>
      </c>
      <c r="J355" s="6" t="s">
        <v>449</v>
      </c>
      <c r="K355" s="6" t="s">
        <v>39</v>
      </c>
      <c r="L355" s="6" t="s">
        <v>477</v>
      </c>
      <c r="M355" s="6" t="s">
        <v>41</v>
      </c>
      <c r="N355" s="6" t="s">
        <v>486</v>
      </c>
      <c r="O355" s="6" t="s">
        <v>463</v>
      </c>
      <c r="P355" s="6" t="s">
        <v>462</v>
      </c>
    </row>
    <row r="356" spans="1:17" x14ac:dyDescent="0.2">
      <c r="A356" s="6" t="s">
        <v>2936</v>
      </c>
      <c r="B356" s="6" t="s">
        <v>43</v>
      </c>
      <c r="C356" s="6" t="s">
        <v>39</v>
      </c>
      <c r="D356" s="6" t="s">
        <v>453</v>
      </c>
      <c r="E356" s="6" t="s">
        <v>461</v>
      </c>
      <c r="F356" s="6" t="s">
        <v>444</v>
      </c>
      <c r="G356" s="6" t="s">
        <v>468</v>
      </c>
      <c r="H356" s="6" t="s">
        <v>485</v>
      </c>
      <c r="I356" s="6" t="s">
        <v>2937</v>
      </c>
      <c r="J356" s="6" t="s">
        <v>459</v>
      </c>
      <c r="K356" s="6" t="s">
        <v>39</v>
      </c>
      <c r="L356" s="6" t="s">
        <v>484</v>
      </c>
      <c r="M356" s="6" t="s">
        <v>41</v>
      </c>
      <c r="N356" s="6" t="s">
        <v>483</v>
      </c>
      <c r="O356" s="6" t="s">
        <v>446</v>
      </c>
      <c r="P356" s="6" t="s">
        <v>482</v>
      </c>
      <c r="Q356" s="6" t="s">
        <v>481</v>
      </c>
    </row>
    <row r="357" spans="1:17" x14ac:dyDescent="0.2">
      <c r="A357" s="6" t="s">
        <v>2938</v>
      </c>
      <c r="B357" s="6" t="s">
        <v>237</v>
      </c>
      <c r="C357" s="6" t="s">
        <v>39</v>
      </c>
      <c r="D357" s="6" t="s">
        <v>453</v>
      </c>
      <c r="E357" s="6" t="s">
        <v>461</v>
      </c>
      <c r="F357" s="6" t="s">
        <v>443</v>
      </c>
      <c r="G357" s="6" t="s">
        <v>34</v>
      </c>
      <c r="H357" s="6" t="s">
        <v>238</v>
      </c>
      <c r="I357" s="6" t="s">
        <v>2939</v>
      </c>
      <c r="J357" s="6" t="s">
        <v>459</v>
      </c>
      <c r="K357" s="6" t="s">
        <v>39</v>
      </c>
      <c r="L357" s="6" t="s">
        <v>477</v>
      </c>
      <c r="M357" s="6" t="s">
        <v>41</v>
      </c>
      <c r="N357" s="6" t="s">
        <v>480</v>
      </c>
      <c r="O357" s="6" t="s">
        <v>463</v>
      </c>
      <c r="P357" s="6" t="s">
        <v>462</v>
      </c>
    </row>
    <row r="358" spans="1:17" x14ac:dyDescent="0.2">
      <c r="A358" s="6" t="s">
        <v>2940</v>
      </c>
      <c r="B358" s="6" t="s">
        <v>479</v>
      </c>
      <c r="C358" s="6" t="s">
        <v>39</v>
      </c>
      <c r="D358" s="6" t="s">
        <v>453</v>
      </c>
      <c r="E358" s="6" t="s">
        <v>461</v>
      </c>
      <c r="F358" s="6" t="s">
        <v>443</v>
      </c>
      <c r="G358" s="6" t="s">
        <v>34</v>
      </c>
      <c r="H358" s="6" t="s">
        <v>478</v>
      </c>
      <c r="I358" s="6" t="s">
        <v>2718</v>
      </c>
      <c r="J358" s="6" t="s">
        <v>459</v>
      </c>
      <c r="K358" s="6" t="s">
        <v>39</v>
      </c>
      <c r="L358" s="6" t="s">
        <v>477</v>
      </c>
      <c r="M358" s="6" t="s">
        <v>41</v>
      </c>
      <c r="N358" s="6" t="s">
        <v>476</v>
      </c>
      <c r="O358" s="6" t="s">
        <v>463</v>
      </c>
      <c r="P358" s="6" t="s">
        <v>475</v>
      </c>
    </row>
    <row r="359" spans="1:17" x14ac:dyDescent="0.2">
      <c r="A359" s="6" t="s">
        <v>2941</v>
      </c>
      <c r="B359" s="6" t="s">
        <v>305</v>
      </c>
      <c r="C359" s="6" t="s">
        <v>39</v>
      </c>
      <c r="D359" s="6" t="s">
        <v>453</v>
      </c>
      <c r="E359" s="6" t="s">
        <v>461</v>
      </c>
      <c r="F359" s="6" t="s">
        <v>444</v>
      </c>
      <c r="G359" s="6" t="s">
        <v>451</v>
      </c>
      <c r="H359" s="6" t="s">
        <v>306</v>
      </c>
      <c r="I359" s="6" t="s">
        <v>2942</v>
      </c>
      <c r="J359" s="6" t="s">
        <v>449</v>
      </c>
      <c r="K359" s="6" t="s">
        <v>39</v>
      </c>
      <c r="L359" s="6" t="s">
        <v>474</v>
      </c>
      <c r="M359" s="6" t="s">
        <v>41</v>
      </c>
      <c r="N359" s="6" t="s">
        <v>473</v>
      </c>
      <c r="O359" s="6" t="s">
        <v>458</v>
      </c>
      <c r="P359" s="6" t="s">
        <v>472</v>
      </c>
      <c r="Q359" s="6" t="s">
        <v>471</v>
      </c>
    </row>
    <row r="360" spans="1:17" x14ac:dyDescent="0.2">
      <c r="A360" s="6" t="s">
        <v>2943</v>
      </c>
      <c r="B360" s="6" t="s">
        <v>465</v>
      </c>
      <c r="C360" s="6" t="s">
        <v>39</v>
      </c>
      <c r="D360" s="6" t="s">
        <v>453</v>
      </c>
      <c r="E360" s="6" t="s">
        <v>461</v>
      </c>
      <c r="F360" s="6" t="s">
        <v>443</v>
      </c>
      <c r="G360" s="6" t="s">
        <v>34</v>
      </c>
      <c r="H360" s="6" t="s">
        <v>31</v>
      </c>
      <c r="I360" s="6" t="s">
        <v>2944</v>
      </c>
      <c r="J360" s="6" t="s">
        <v>449</v>
      </c>
      <c r="K360" s="6" t="s">
        <v>39</v>
      </c>
      <c r="L360" s="6" t="s">
        <v>138</v>
      </c>
      <c r="M360" s="6" t="s">
        <v>41</v>
      </c>
      <c r="N360" s="6" t="s">
        <v>464</v>
      </c>
      <c r="O360" s="6" t="s">
        <v>463</v>
      </c>
      <c r="P360" s="6" t="s">
        <v>462</v>
      </c>
    </row>
    <row r="361" spans="1:17" x14ac:dyDescent="0.2">
      <c r="A361" s="6" t="s">
        <v>2945</v>
      </c>
      <c r="B361" s="6" t="s">
        <v>2946</v>
      </c>
      <c r="C361" s="6" t="s">
        <v>39</v>
      </c>
      <c r="D361" s="6" t="s">
        <v>453</v>
      </c>
      <c r="E361" s="6" t="s">
        <v>1771</v>
      </c>
      <c r="F361" s="6" t="s">
        <v>444</v>
      </c>
      <c r="G361" s="6" t="s">
        <v>468</v>
      </c>
      <c r="H361" s="6" t="s">
        <v>2947</v>
      </c>
      <c r="I361" s="6" t="s">
        <v>2948</v>
      </c>
      <c r="J361" s="6" t="s">
        <v>459</v>
      </c>
      <c r="K361" s="6" t="s">
        <v>39</v>
      </c>
      <c r="L361" s="6" t="s">
        <v>448</v>
      </c>
      <c r="M361" s="6" t="s">
        <v>41</v>
      </c>
      <c r="N361" s="6" t="s">
        <v>2949</v>
      </c>
      <c r="O361" s="6" t="s">
        <v>531</v>
      </c>
      <c r="P361" s="6" t="s">
        <v>495</v>
      </c>
      <c r="Q361" s="6" t="s">
        <v>2950</v>
      </c>
    </row>
    <row r="362" spans="1:17" x14ac:dyDescent="0.2">
      <c r="A362" s="6" t="s">
        <v>2951</v>
      </c>
      <c r="B362" s="6" t="s">
        <v>454</v>
      </c>
      <c r="C362" s="6" t="s">
        <v>39</v>
      </c>
      <c r="D362" s="6" t="s">
        <v>453</v>
      </c>
      <c r="E362" s="6" t="s">
        <v>452</v>
      </c>
      <c r="F362" s="6" t="s">
        <v>444</v>
      </c>
      <c r="G362" s="6" t="s">
        <v>451</v>
      </c>
      <c r="H362" s="6" t="s">
        <v>450</v>
      </c>
      <c r="I362" s="6" t="s">
        <v>2952</v>
      </c>
      <c r="J362" s="6" t="s">
        <v>449</v>
      </c>
      <c r="K362" s="6" t="s">
        <v>39</v>
      </c>
      <c r="L362" s="6" t="s">
        <v>448</v>
      </c>
      <c r="M362" s="6" t="s">
        <v>41</v>
      </c>
      <c r="N362" s="6" t="s">
        <v>447</v>
      </c>
      <c r="O362" s="6" t="s">
        <v>446</v>
      </c>
      <c r="P362" s="6" t="s">
        <v>445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48AF8-502A-7043-8603-41A4CF5A1392}">
  <sheetPr>
    <tabColor theme="4" tint="-0.249977111117893"/>
  </sheetPr>
  <dimension ref="A1:AK365"/>
  <sheetViews>
    <sheetView workbookViewId="0">
      <selection activeCell="J14" sqref="J14"/>
    </sheetView>
  </sheetViews>
  <sheetFormatPr baseColWidth="10" defaultRowHeight="16" x14ac:dyDescent="0.2"/>
  <cols>
    <col min="1" max="1" width="12.5" style="7" customWidth="1"/>
    <col min="2" max="2" width="11.33203125" style="7" customWidth="1"/>
    <col min="3" max="3" width="17.83203125" style="7" customWidth="1"/>
    <col min="4" max="4" width="16" style="7" customWidth="1"/>
    <col min="5" max="5" width="14.33203125" style="7" customWidth="1"/>
    <col min="6" max="6" width="13" style="7" customWidth="1"/>
    <col min="7" max="7" width="14.83203125" style="7" customWidth="1"/>
    <col min="8" max="9" width="10.83203125" style="7"/>
    <col min="10" max="10" width="11.6640625" style="7" customWidth="1"/>
    <col min="11" max="12" width="12.33203125" style="7" customWidth="1"/>
    <col min="13" max="16" width="10.83203125" style="7"/>
    <col min="17" max="17" width="14" style="7" customWidth="1"/>
    <col min="18" max="18" width="10.83203125" style="7"/>
    <col min="19" max="19" width="16.83203125" style="7" customWidth="1"/>
    <col min="20" max="20" width="13.5" style="7" customWidth="1"/>
    <col min="21" max="21" width="14.1640625" style="7" customWidth="1"/>
    <col min="22" max="22" width="18.83203125" style="7" customWidth="1"/>
    <col min="23" max="23" width="17" style="7" customWidth="1"/>
    <col min="24" max="24" width="16.6640625" style="7" customWidth="1"/>
    <col min="25" max="25" width="12.5" style="7" customWidth="1"/>
    <col min="26" max="26" width="20.6640625" style="7" customWidth="1"/>
    <col min="27" max="27" width="13.6640625" style="7" customWidth="1"/>
    <col min="28" max="28" width="15.1640625" style="7" customWidth="1"/>
    <col min="29" max="29" width="10.83203125" style="7"/>
    <col min="30" max="30" width="13.1640625" style="7" customWidth="1"/>
    <col min="31" max="31" width="19.1640625" style="7" customWidth="1"/>
    <col min="32" max="32" width="10.83203125" style="7"/>
    <col min="33" max="33" width="13.5" style="7" customWidth="1"/>
    <col min="34" max="34" width="14.1640625" style="7" customWidth="1"/>
    <col min="35" max="35" width="15.33203125" style="7" customWidth="1"/>
    <col min="36" max="36" width="15" style="7" customWidth="1"/>
    <col min="37" max="37" width="15.1640625" style="7" customWidth="1"/>
    <col min="38" max="16384" width="10.83203125" style="7"/>
  </cols>
  <sheetData>
    <row r="1" spans="1:37" x14ac:dyDescent="0.2">
      <c r="A1" t="s">
        <v>1048</v>
      </c>
      <c r="B1" t="s">
        <v>1047</v>
      </c>
      <c r="C1" t="s">
        <v>1046</v>
      </c>
      <c r="D1" t="s">
        <v>1045</v>
      </c>
      <c r="E1" t="s">
        <v>1044</v>
      </c>
      <c r="F1" t="s">
        <v>1043</v>
      </c>
      <c r="G1" t="s">
        <v>1042</v>
      </c>
      <c r="H1" t="s">
        <v>1041</v>
      </c>
      <c r="I1" t="s">
        <v>442</v>
      </c>
      <c r="J1" t="s">
        <v>1040</v>
      </c>
      <c r="K1" t="s">
        <v>1039</v>
      </c>
      <c r="L1" t="s">
        <v>1038</v>
      </c>
      <c r="M1" t="s">
        <v>1037</v>
      </c>
      <c r="N1" t="s">
        <v>1036</v>
      </c>
      <c r="O1" t="s">
        <v>1035</v>
      </c>
      <c r="P1" t="s">
        <v>1034</v>
      </c>
      <c r="Q1" t="s">
        <v>1033</v>
      </c>
      <c r="R1" t="s">
        <v>1032</v>
      </c>
    </row>
    <row r="2" spans="1:37" x14ac:dyDescent="0.2">
      <c r="A2" t="s">
        <v>2953</v>
      </c>
      <c r="B2" t="s">
        <v>1030</v>
      </c>
      <c r="C2" t="s">
        <v>1030</v>
      </c>
      <c r="D2" t="s">
        <v>1030</v>
      </c>
      <c r="E2" t="s">
        <v>1030</v>
      </c>
      <c r="F2" t="s">
        <v>1030</v>
      </c>
      <c r="G2" t="s">
        <v>1030</v>
      </c>
      <c r="H2" t="s">
        <v>1030</v>
      </c>
      <c r="I2" t="s">
        <v>1030</v>
      </c>
      <c r="J2" t="s">
        <v>1030</v>
      </c>
      <c r="K2" t="s">
        <v>1031</v>
      </c>
      <c r="L2" t="s">
        <v>1030</v>
      </c>
      <c r="M2" t="s">
        <v>1030</v>
      </c>
      <c r="N2" t="s">
        <v>1030</v>
      </c>
      <c r="O2" t="s">
        <v>1030</v>
      </c>
      <c r="P2" t="s">
        <v>884</v>
      </c>
      <c r="Q2" t="s">
        <v>41</v>
      </c>
      <c r="R2" t="s">
        <v>1030</v>
      </c>
    </row>
    <row r="4" spans="1:37" x14ac:dyDescent="0.2">
      <c r="A4" t="s">
        <v>1029</v>
      </c>
      <c r="B4" t="s">
        <v>1028</v>
      </c>
      <c r="C4" t="s">
        <v>1027</v>
      </c>
      <c r="D4" t="s">
        <v>1026</v>
      </c>
      <c r="E4" t="s">
        <v>1025</v>
      </c>
      <c r="F4" t="s">
        <v>1024</v>
      </c>
      <c r="G4" t="s">
        <v>1023</v>
      </c>
      <c r="H4" t="s">
        <v>11</v>
      </c>
      <c r="I4" t="s">
        <v>9</v>
      </c>
      <c r="J4" t="s">
        <v>18</v>
      </c>
      <c r="K4" t="s">
        <v>1022</v>
      </c>
      <c r="L4" t="s">
        <v>1021</v>
      </c>
      <c r="M4" t="s">
        <v>10</v>
      </c>
      <c r="N4" t="s">
        <v>881</v>
      </c>
      <c r="O4" t="s">
        <v>876</v>
      </c>
      <c r="P4" t="s">
        <v>1020</v>
      </c>
      <c r="Q4" t="s">
        <v>1019</v>
      </c>
      <c r="R4" t="s">
        <v>6</v>
      </c>
      <c r="S4" t="s">
        <v>1018</v>
      </c>
      <c r="T4" t="s">
        <v>1017</v>
      </c>
      <c r="U4" t="s">
        <v>1016</v>
      </c>
      <c r="V4" t="s">
        <v>1015</v>
      </c>
      <c r="W4" t="s">
        <v>1014</v>
      </c>
      <c r="X4" t="s">
        <v>1013</v>
      </c>
      <c r="Y4" t="s">
        <v>1012</v>
      </c>
      <c r="Z4" t="s">
        <v>1011</v>
      </c>
      <c r="AA4" t="s">
        <v>1010</v>
      </c>
      <c r="AB4" t="s">
        <v>1009</v>
      </c>
      <c r="AC4" t="s">
        <v>1008</v>
      </c>
      <c r="AD4" t="s">
        <v>1007</v>
      </c>
      <c r="AE4" t="s">
        <v>1006</v>
      </c>
      <c r="AF4" t="s">
        <v>1005</v>
      </c>
      <c r="AG4" t="s">
        <v>1004</v>
      </c>
      <c r="AH4" t="s">
        <v>1003</v>
      </c>
      <c r="AI4" t="s">
        <v>1002</v>
      </c>
      <c r="AJ4" t="s">
        <v>1001</v>
      </c>
      <c r="AK4" t="s">
        <v>1000</v>
      </c>
    </row>
    <row r="5" spans="1:37" x14ac:dyDescent="0.2">
      <c r="A5" t="s">
        <v>991</v>
      </c>
      <c r="B5" t="s">
        <v>1997</v>
      </c>
      <c r="C5">
        <v>20</v>
      </c>
      <c r="D5" t="s">
        <v>272</v>
      </c>
      <c r="E5" t="s">
        <v>273</v>
      </c>
      <c r="F5" t="s">
        <v>444</v>
      </c>
      <c r="G5" t="s">
        <v>460</v>
      </c>
      <c r="H5" t="s">
        <v>2816</v>
      </c>
      <c r="I5" t="s">
        <v>897</v>
      </c>
      <c r="J5" t="s">
        <v>884</v>
      </c>
      <c r="K5" t="s">
        <v>884</v>
      </c>
      <c r="L5" t="s">
        <v>896</v>
      </c>
      <c r="M5" t="s">
        <v>890</v>
      </c>
      <c r="N5" t="s">
        <v>461</v>
      </c>
      <c r="O5" t="s">
        <v>458</v>
      </c>
      <c r="P5" t="s">
        <v>466</v>
      </c>
      <c r="Q5">
        <v>941000031749827</v>
      </c>
      <c r="R5" t="s">
        <v>444</v>
      </c>
      <c r="S5" t="s">
        <v>460</v>
      </c>
      <c r="T5" s="16">
        <v>43656</v>
      </c>
      <c r="U5"/>
      <c r="V5"/>
      <c r="W5" t="s">
        <v>892</v>
      </c>
      <c r="X5" s="16">
        <v>45830.554861111108</v>
      </c>
      <c r="Y5">
        <v>148.19999999999999</v>
      </c>
      <c r="Z5"/>
      <c r="AA5">
        <v>1</v>
      </c>
      <c r="AB5" t="s">
        <v>895</v>
      </c>
      <c r="AC5" t="s">
        <v>41</v>
      </c>
      <c r="AD5"/>
      <c r="AE5">
        <v>1</v>
      </c>
      <c r="AF5" t="s">
        <v>41</v>
      </c>
      <c r="AG5"/>
      <c r="AH5"/>
      <c r="AI5"/>
      <c r="AJ5"/>
      <c r="AK5">
        <v>361</v>
      </c>
    </row>
    <row r="6" spans="1:37" x14ac:dyDescent="0.2">
      <c r="A6" t="s">
        <v>991</v>
      </c>
      <c r="B6" t="s">
        <v>1997</v>
      </c>
      <c r="C6">
        <v>20</v>
      </c>
      <c r="D6" t="s">
        <v>435</v>
      </c>
      <c r="E6" t="s">
        <v>436</v>
      </c>
      <c r="F6" t="s">
        <v>444</v>
      </c>
      <c r="G6" t="s">
        <v>489</v>
      </c>
      <c r="H6" t="s">
        <v>2757</v>
      </c>
      <c r="I6" t="s">
        <v>935</v>
      </c>
      <c r="J6" t="s">
        <v>884</v>
      </c>
      <c r="K6" t="s">
        <v>884</v>
      </c>
      <c r="L6" t="s">
        <v>893</v>
      </c>
      <c r="M6" t="s">
        <v>886</v>
      </c>
      <c r="N6" t="s">
        <v>461</v>
      </c>
      <c r="O6" t="s">
        <v>458</v>
      </c>
      <c r="P6" t="s">
        <v>716</v>
      </c>
      <c r="Q6">
        <v>941000031684068</v>
      </c>
      <c r="R6" t="s">
        <v>444</v>
      </c>
      <c r="S6" t="s">
        <v>885</v>
      </c>
      <c r="T6" s="16">
        <v>45510</v>
      </c>
      <c r="U6"/>
      <c r="V6" s="16"/>
      <c r="W6" t="s">
        <v>892</v>
      </c>
      <c r="X6" s="16">
        <v>45875.455555555556</v>
      </c>
      <c r="Y6">
        <v>103.3</v>
      </c>
      <c r="Z6"/>
      <c r="AA6">
        <v>10</v>
      </c>
      <c r="AB6" t="s">
        <v>1485</v>
      </c>
      <c r="AC6" t="s">
        <v>41</v>
      </c>
      <c r="AD6"/>
      <c r="AE6">
        <v>2</v>
      </c>
      <c r="AF6" t="s">
        <v>41</v>
      </c>
      <c r="AG6"/>
      <c r="AH6"/>
      <c r="AI6"/>
      <c r="AJ6"/>
      <c r="AK6">
        <v>361</v>
      </c>
    </row>
    <row r="7" spans="1:37" x14ac:dyDescent="0.2">
      <c r="A7" t="s">
        <v>991</v>
      </c>
      <c r="B7" t="s">
        <v>1997</v>
      </c>
      <c r="C7">
        <v>20</v>
      </c>
      <c r="D7" t="s">
        <v>1856</v>
      </c>
      <c r="E7" t="s">
        <v>1857</v>
      </c>
      <c r="F7" t="s">
        <v>444</v>
      </c>
      <c r="G7" t="s">
        <v>529</v>
      </c>
      <c r="H7" t="s">
        <v>2954</v>
      </c>
      <c r="I7" t="s">
        <v>917</v>
      </c>
      <c r="J7" t="s">
        <v>884</v>
      </c>
      <c r="K7" t="s">
        <v>884</v>
      </c>
      <c r="L7" t="s">
        <v>922</v>
      </c>
      <c r="M7" t="s">
        <v>886</v>
      </c>
      <c r="N7" t="s">
        <v>461</v>
      </c>
      <c r="O7" t="s">
        <v>458</v>
      </c>
      <c r="P7" t="s">
        <v>466</v>
      </c>
      <c r="Q7">
        <v>941000031683629</v>
      </c>
      <c r="R7" t="s">
        <v>444</v>
      </c>
      <c r="S7" t="s">
        <v>885</v>
      </c>
      <c r="T7" s="16">
        <v>45220</v>
      </c>
      <c r="U7"/>
      <c r="V7">
        <v>45956.462500000001</v>
      </c>
      <c r="W7" t="s">
        <v>892</v>
      </c>
      <c r="X7" s="16">
        <v>45951.462500000001</v>
      </c>
      <c r="Y7">
        <v>27.3</v>
      </c>
      <c r="Z7"/>
      <c r="AA7">
        <v>11</v>
      </c>
      <c r="AB7" t="s">
        <v>960</v>
      </c>
      <c r="AC7" t="s">
        <v>41</v>
      </c>
      <c r="AD7"/>
      <c r="AE7">
        <v>3</v>
      </c>
      <c r="AF7" t="s">
        <v>41</v>
      </c>
      <c r="AG7"/>
      <c r="AH7"/>
      <c r="AI7"/>
      <c r="AJ7"/>
      <c r="AK7">
        <v>361</v>
      </c>
    </row>
    <row r="8" spans="1:37" x14ac:dyDescent="0.2">
      <c r="A8" t="s">
        <v>991</v>
      </c>
      <c r="B8" t="s">
        <v>1997</v>
      </c>
      <c r="C8">
        <v>20</v>
      </c>
      <c r="D8" t="s">
        <v>258</v>
      </c>
      <c r="E8" t="s">
        <v>259</v>
      </c>
      <c r="F8" t="s">
        <v>444</v>
      </c>
      <c r="G8" t="s">
        <v>535</v>
      </c>
      <c r="H8" t="s">
        <v>2820</v>
      </c>
      <c r="I8" t="s">
        <v>906</v>
      </c>
      <c r="J8" t="s">
        <v>884</v>
      </c>
      <c r="K8" t="s">
        <v>884</v>
      </c>
      <c r="L8" t="s">
        <v>896</v>
      </c>
      <c r="M8" t="s">
        <v>890</v>
      </c>
      <c r="N8" t="s">
        <v>461</v>
      </c>
      <c r="O8" t="s">
        <v>458</v>
      </c>
      <c r="P8" t="s">
        <v>643</v>
      </c>
      <c r="Q8">
        <v>941000031750068</v>
      </c>
      <c r="R8" t="s">
        <v>444</v>
      </c>
      <c r="S8" t="s">
        <v>460</v>
      </c>
      <c r="T8" s="16">
        <v>44735</v>
      </c>
      <c r="U8"/>
      <c r="V8"/>
      <c r="W8" t="s">
        <v>892</v>
      </c>
      <c r="X8" s="16">
        <v>45830.546527777777</v>
      </c>
      <c r="Y8">
        <v>148.19999999999999</v>
      </c>
      <c r="Z8"/>
      <c r="AA8">
        <v>12</v>
      </c>
      <c r="AB8" t="s">
        <v>998</v>
      </c>
      <c r="AC8" t="s">
        <v>41</v>
      </c>
      <c r="AD8"/>
      <c r="AE8">
        <v>3</v>
      </c>
      <c r="AF8" t="s">
        <v>41</v>
      </c>
      <c r="AG8"/>
      <c r="AH8"/>
      <c r="AI8"/>
      <c r="AJ8"/>
      <c r="AK8">
        <v>361</v>
      </c>
    </row>
    <row r="9" spans="1:37" x14ac:dyDescent="0.2">
      <c r="A9" t="s">
        <v>991</v>
      </c>
      <c r="B9" t="s">
        <v>1997</v>
      </c>
      <c r="C9">
        <v>20</v>
      </c>
      <c r="D9" t="s">
        <v>841</v>
      </c>
      <c r="E9" t="s">
        <v>840</v>
      </c>
      <c r="F9" t="s">
        <v>444</v>
      </c>
      <c r="G9" t="s">
        <v>468</v>
      </c>
      <c r="H9" t="s">
        <v>2661</v>
      </c>
      <c r="I9" t="s">
        <v>910</v>
      </c>
      <c r="J9"/>
      <c r="K9" t="s">
        <v>884</v>
      </c>
      <c r="L9" t="s">
        <v>887</v>
      </c>
      <c r="M9" t="s">
        <v>886</v>
      </c>
      <c r="N9" t="s">
        <v>494</v>
      </c>
      <c r="O9" t="s">
        <v>458</v>
      </c>
      <c r="P9" t="s">
        <v>735</v>
      </c>
      <c r="Q9"/>
      <c r="R9" t="s">
        <v>444</v>
      </c>
      <c r="S9" t="s">
        <v>885</v>
      </c>
      <c r="T9" s="16">
        <v>44098</v>
      </c>
      <c r="U9"/>
      <c r="V9" s="16">
        <v>45928.8125</v>
      </c>
      <c r="W9" t="s">
        <v>884</v>
      </c>
      <c r="X9" s="16">
        <v>45923.8125</v>
      </c>
      <c r="Y9">
        <v>55</v>
      </c>
      <c r="Z9"/>
      <c r="AA9">
        <v>13</v>
      </c>
      <c r="AB9" t="s">
        <v>953</v>
      </c>
      <c r="AC9" t="s">
        <v>41</v>
      </c>
      <c r="AD9"/>
      <c r="AE9">
        <v>1</v>
      </c>
      <c r="AF9" t="s">
        <v>41</v>
      </c>
      <c r="AG9"/>
      <c r="AH9"/>
      <c r="AI9"/>
      <c r="AJ9"/>
      <c r="AK9">
        <v>361</v>
      </c>
    </row>
    <row r="10" spans="1:37" x14ac:dyDescent="0.2">
      <c r="A10" t="s">
        <v>991</v>
      </c>
      <c r="B10" t="s">
        <v>1997</v>
      </c>
      <c r="C10">
        <v>20</v>
      </c>
      <c r="D10" t="s">
        <v>1870</v>
      </c>
      <c r="E10" t="s">
        <v>2563</v>
      </c>
      <c r="F10" t="s">
        <v>444</v>
      </c>
      <c r="G10" t="s">
        <v>468</v>
      </c>
      <c r="H10" t="s">
        <v>2955</v>
      </c>
      <c r="I10" t="s">
        <v>932</v>
      </c>
      <c r="J10" t="s">
        <v>884</v>
      </c>
      <c r="K10" t="s">
        <v>884</v>
      </c>
      <c r="L10" t="s">
        <v>2121</v>
      </c>
      <c r="M10" t="s">
        <v>886</v>
      </c>
      <c r="N10" t="s">
        <v>461</v>
      </c>
      <c r="O10" t="s">
        <v>458</v>
      </c>
      <c r="P10" t="s">
        <v>735</v>
      </c>
      <c r="Q10">
        <v>941000031683691</v>
      </c>
      <c r="R10" t="s">
        <v>444</v>
      </c>
      <c r="S10" t="s">
        <v>885</v>
      </c>
      <c r="T10" s="16">
        <v>44490</v>
      </c>
      <c r="U10"/>
      <c r="V10"/>
      <c r="W10" t="s">
        <v>892</v>
      </c>
      <c r="X10" s="16">
        <v>45950.519444444442</v>
      </c>
      <c r="Y10">
        <v>28.3</v>
      </c>
      <c r="Z10"/>
      <c r="AA10">
        <v>14</v>
      </c>
      <c r="AB10" t="s">
        <v>919</v>
      </c>
      <c r="AC10" t="s">
        <v>41</v>
      </c>
      <c r="AD10"/>
      <c r="AE10">
        <v>3</v>
      </c>
      <c r="AF10" t="s">
        <v>41</v>
      </c>
      <c r="AG10"/>
      <c r="AH10"/>
      <c r="AI10"/>
      <c r="AJ10"/>
      <c r="AK10">
        <v>361</v>
      </c>
    </row>
    <row r="11" spans="1:37" x14ac:dyDescent="0.2">
      <c r="A11" t="s">
        <v>991</v>
      </c>
      <c r="B11" t="s">
        <v>1997</v>
      </c>
      <c r="C11">
        <v>20</v>
      </c>
      <c r="D11" t="s">
        <v>192</v>
      </c>
      <c r="E11" t="s">
        <v>193</v>
      </c>
      <c r="F11" t="s">
        <v>444</v>
      </c>
      <c r="G11" t="s">
        <v>510</v>
      </c>
      <c r="H11" t="s">
        <v>2822</v>
      </c>
      <c r="I11" t="s">
        <v>903</v>
      </c>
      <c r="J11" t="s">
        <v>884</v>
      </c>
      <c r="K11" t="s">
        <v>884</v>
      </c>
      <c r="L11" t="s">
        <v>939</v>
      </c>
      <c r="M11" t="s">
        <v>886</v>
      </c>
      <c r="N11" t="s">
        <v>461</v>
      </c>
      <c r="O11" t="s">
        <v>458</v>
      </c>
      <c r="P11" t="s">
        <v>456</v>
      </c>
      <c r="Q11">
        <v>941000030975999</v>
      </c>
      <c r="R11" t="s">
        <v>444</v>
      </c>
      <c r="S11" t="s">
        <v>885</v>
      </c>
      <c r="T11" s="16">
        <v>44364</v>
      </c>
      <c r="U11" t="s">
        <v>938</v>
      </c>
      <c r="V11" s="16">
        <v>45830.703472222223</v>
      </c>
      <c r="W11" t="s">
        <v>892</v>
      </c>
      <c r="X11" s="16">
        <v>45825.703472222223</v>
      </c>
      <c r="Y11">
        <v>153.1</v>
      </c>
      <c r="Z11"/>
      <c r="AA11">
        <v>15</v>
      </c>
      <c r="AB11" t="s">
        <v>905</v>
      </c>
      <c r="AC11" t="s">
        <v>41</v>
      </c>
      <c r="AD11"/>
      <c r="AE11">
        <v>3</v>
      </c>
      <c r="AF11" t="s">
        <v>41</v>
      </c>
      <c r="AG11"/>
      <c r="AH11"/>
      <c r="AI11"/>
      <c r="AJ11"/>
      <c r="AK11">
        <v>361</v>
      </c>
    </row>
    <row r="12" spans="1:37" x14ac:dyDescent="0.2">
      <c r="A12" t="s">
        <v>991</v>
      </c>
      <c r="B12" t="s">
        <v>1997</v>
      </c>
      <c r="C12">
        <v>20</v>
      </c>
      <c r="D12" t="s">
        <v>430</v>
      </c>
      <c r="E12" t="s">
        <v>431</v>
      </c>
      <c r="F12" t="s">
        <v>444</v>
      </c>
      <c r="G12" t="s">
        <v>529</v>
      </c>
      <c r="H12" t="s">
        <v>2745</v>
      </c>
      <c r="I12" t="s">
        <v>897</v>
      </c>
      <c r="J12" t="s">
        <v>884</v>
      </c>
      <c r="K12" t="s">
        <v>884</v>
      </c>
      <c r="L12" t="s">
        <v>887</v>
      </c>
      <c r="M12" t="s">
        <v>890</v>
      </c>
      <c r="N12" t="s">
        <v>461</v>
      </c>
      <c r="O12" t="s">
        <v>458</v>
      </c>
      <c r="P12" t="s">
        <v>511</v>
      </c>
      <c r="Q12">
        <v>941000031683509</v>
      </c>
      <c r="R12" t="s">
        <v>444</v>
      </c>
      <c r="S12" t="s">
        <v>885</v>
      </c>
      <c r="T12" s="16">
        <v>45157</v>
      </c>
      <c r="U12"/>
      <c r="V12" s="16">
        <v>45893.703472222223</v>
      </c>
      <c r="W12" t="s">
        <v>892</v>
      </c>
      <c r="X12" s="16">
        <v>45888.703472222223</v>
      </c>
      <c r="Y12">
        <v>90.1</v>
      </c>
      <c r="Z12"/>
      <c r="AA12">
        <v>16</v>
      </c>
      <c r="AB12" t="s">
        <v>928</v>
      </c>
      <c r="AC12" t="s">
        <v>41</v>
      </c>
      <c r="AD12"/>
      <c r="AE12">
        <v>3</v>
      </c>
      <c r="AF12" t="s">
        <v>41</v>
      </c>
      <c r="AG12"/>
      <c r="AH12"/>
      <c r="AI12"/>
      <c r="AJ12"/>
      <c r="AK12">
        <v>361</v>
      </c>
    </row>
    <row r="13" spans="1:37" x14ac:dyDescent="0.2">
      <c r="A13" t="s">
        <v>991</v>
      </c>
      <c r="B13" t="s">
        <v>1997</v>
      </c>
      <c r="C13">
        <v>20</v>
      </c>
      <c r="D13" t="s">
        <v>355</v>
      </c>
      <c r="E13" t="s">
        <v>356</v>
      </c>
      <c r="F13" t="s">
        <v>444</v>
      </c>
      <c r="G13" t="s">
        <v>510</v>
      </c>
      <c r="H13" t="s">
        <v>2752</v>
      </c>
      <c r="I13" t="s">
        <v>888</v>
      </c>
      <c r="J13" t="s">
        <v>884</v>
      </c>
      <c r="K13" t="s">
        <v>884</v>
      </c>
      <c r="L13" t="s">
        <v>922</v>
      </c>
      <c r="M13" t="s">
        <v>886</v>
      </c>
      <c r="N13" t="s">
        <v>461</v>
      </c>
      <c r="O13" t="s">
        <v>458</v>
      </c>
      <c r="P13" t="s">
        <v>520</v>
      </c>
      <c r="Q13">
        <v>985141007345971</v>
      </c>
      <c r="R13" t="s">
        <v>444</v>
      </c>
      <c r="S13" t="s">
        <v>885</v>
      </c>
      <c r="T13" s="16">
        <v>44781</v>
      </c>
      <c r="U13"/>
      <c r="V13" s="16">
        <v>45882.565972222219</v>
      </c>
      <c r="W13" t="s">
        <v>892</v>
      </c>
      <c r="X13" s="16">
        <v>45877.565972222219</v>
      </c>
      <c r="Y13">
        <v>101.2</v>
      </c>
      <c r="Z13"/>
      <c r="AA13">
        <v>17</v>
      </c>
      <c r="AB13" t="s">
        <v>996</v>
      </c>
      <c r="AC13" t="s">
        <v>41</v>
      </c>
      <c r="AD13"/>
      <c r="AE13">
        <v>3</v>
      </c>
      <c r="AF13" t="s">
        <v>41</v>
      </c>
      <c r="AG13"/>
      <c r="AH13"/>
      <c r="AI13"/>
      <c r="AJ13"/>
      <c r="AK13">
        <v>361</v>
      </c>
    </row>
    <row r="14" spans="1:37" x14ac:dyDescent="0.2">
      <c r="A14" t="s">
        <v>991</v>
      </c>
      <c r="B14" t="s">
        <v>1997</v>
      </c>
      <c r="C14">
        <v>20</v>
      </c>
      <c r="D14" t="s">
        <v>690</v>
      </c>
      <c r="E14" t="s">
        <v>1927</v>
      </c>
      <c r="F14" t="s">
        <v>444</v>
      </c>
      <c r="G14" t="s">
        <v>460</v>
      </c>
      <c r="H14" t="s">
        <v>2956</v>
      </c>
      <c r="I14" t="s">
        <v>903</v>
      </c>
      <c r="J14" t="s">
        <v>884</v>
      </c>
      <c r="K14" t="s">
        <v>884</v>
      </c>
      <c r="L14" t="s">
        <v>963</v>
      </c>
      <c r="M14" t="s">
        <v>890</v>
      </c>
      <c r="N14" t="s">
        <v>461</v>
      </c>
      <c r="O14" t="s">
        <v>458</v>
      </c>
      <c r="P14" t="s">
        <v>466</v>
      </c>
      <c r="Q14">
        <v>941000031683620</v>
      </c>
      <c r="R14" t="s">
        <v>444</v>
      </c>
      <c r="S14" t="s">
        <v>885</v>
      </c>
      <c r="T14" s="16">
        <v>45703</v>
      </c>
      <c r="U14"/>
      <c r="V14" s="16">
        <v>45870.588194444441</v>
      </c>
      <c r="W14" t="s">
        <v>892</v>
      </c>
      <c r="X14" s="16">
        <v>45865.588194444441</v>
      </c>
      <c r="Y14">
        <v>113.2</v>
      </c>
      <c r="Z14"/>
      <c r="AA14">
        <v>18</v>
      </c>
      <c r="AB14" t="s">
        <v>970</v>
      </c>
      <c r="AC14" t="s">
        <v>41</v>
      </c>
      <c r="AD14"/>
      <c r="AE14">
        <v>3</v>
      </c>
      <c r="AF14" t="s">
        <v>41</v>
      </c>
      <c r="AG14"/>
      <c r="AH14"/>
      <c r="AI14"/>
      <c r="AJ14"/>
      <c r="AK14">
        <v>361</v>
      </c>
    </row>
    <row r="15" spans="1:37" x14ac:dyDescent="0.2">
      <c r="A15" t="s">
        <v>991</v>
      </c>
      <c r="B15" t="s">
        <v>1997</v>
      </c>
      <c r="C15">
        <v>20</v>
      </c>
      <c r="D15" t="s">
        <v>851</v>
      </c>
      <c r="E15" t="s">
        <v>850</v>
      </c>
      <c r="F15" t="s">
        <v>444</v>
      </c>
      <c r="G15" t="s">
        <v>489</v>
      </c>
      <c r="H15" t="s">
        <v>2650</v>
      </c>
      <c r="I15" t="s">
        <v>897</v>
      </c>
      <c r="J15" t="s">
        <v>884</v>
      </c>
      <c r="K15" t="s">
        <v>884</v>
      </c>
      <c r="L15" t="s">
        <v>887</v>
      </c>
      <c r="M15" t="s">
        <v>890</v>
      </c>
      <c r="N15" t="s">
        <v>494</v>
      </c>
      <c r="O15" t="s">
        <v>458</v>
      </c>
      <c r="P15" t="s">
        <v>735</v>
      </c>
      <c r="Q15"/>
      <c r="R15" t="s">
        <v>444</v>
      </c>
      <c r="S15" t="s">
        <v>885</v>
      </c>
      <c r="T15" s="16">
        <v>44834</v>
      </c>
      <c r="U15"/>
      <c r="V15" s="16">
        <v>45935.42291666667</v>
      </c>
      <c r="W15" t="s">
        <v>884</v>
      </c>
      <c r="X15" s="16">
        <v>45930.42291666667</v>
      </c>
      <c r="Y15">
        <v>48.3</v>
      </c>
      <c r="Z15"/>
      <c r="AA15">
        <v>19</v>
      </c>
      <c r="AB15" t="s">
        <v>989</v>
      </c>
      <c r="AC15" t="s">
        <v>41</v>
      </c>
      <c r="AD15"/>
      <c r="AE15">
        <v>3</v>
      </c>
      <c r="AF15" t="s">
        <v>41</v>
      </c>
      <c r="AG15"/>
      <c r="AH15"/>
      <c r="AI15"/>
      <c r="AJ15"/>
      <c r="AK15">
        <v>361</v>
      </c>
    </row>
    <row r="16" spans="1:37" x14ac:dyDescent="0.2">
      <c r="A16" t="s">
        <v>991</v>
      </c>
      <c r="B16" t="s">
        <v>1997</v>
      </c>
      <c r="C16">
        <v>20</v>
      </c>
      <c r="D16" t="s">
        <v>185</v>
      </c>
      <c r="E16" t="s">
        <v>186</v>
      </c>
      <c r="F16" t="s">
        <v>444</v>
      </c>
      <c r="G16" t="s">
        <v>632</v>
      </c>
      <c r="H16" t="s">
        <v>2830</v>
      </c>
      <c r="I16" t="s">
        <v>907</v>
      </c>
      <c r="J16" t="s">
        <v>884</v>
      </c>
      <c r="K16" t="s">
        <v>884</v>
      </c>
      <c r="L16" t="s">
        <v>887</v>
      </c>
      <c r="M16" t="s">
        <v>890</v>
      </c>
      <c r="N16" t="s">
        <v>461</v>
      </c>
      <c r="O16" t="s">
        <v>458</v>
      </c>
      <c r="P16" t="s">
        <v>629</v>
      </c>
      <c r="Q16">
        <v>941000031683707</v>
      </c>
      <c r="R16" t="s">
        <v>444</v>
      </c>
      <c r="S16" t="s">
        <v>885</v>
      </c>
      <c r="T16" s="16">
        <v>44723</v>
      </c>
      <c r="U16" t="s">
        <v>932</v>
      </c>
      <c r="V16" s="16">
        <v>45824.569444444445</v>
      </c>
      <c r="W16" t="s">
        <v>892</v>
      </c>
      <c r="X16" s="16">
        <v>45819.569444444445</v>
      </c>
      <c r="Y16">
        <v>159.19999999999999</v>
      </c>
      <c r="Z16"/>
      <c r="AA16">
        <v>2</v>
      </c>
      <c r="AB16" t="s">
        <v>994</v>
      </c>
      <c r="AC16" t="s">
        <v>41</v>
      </c>
      <c r="AD16"/>
      <c r="AE16">
        <v>3</v>
      </c>
      <c r="AF16" t="s">
        <v>41</v>
      </c>
      <c r="AG16"/>
      <c r="AH16"/>
      <c r="AI16"/>
      <c r="AJ16"/>
      <c r="AK16">
        <v>361</v>
      </c>
    </row>
    <row r="17" spans="1:37" x14ac:dyDescent="0.2">
      <c r="A17" t="s">
        <v>991</v>
      </c>
      <c r="B17" t="s">
        <v>1997</v>
      </c>
      <c r="C17">
        <v>20</v>
      </c>
      <c r="D17" t="s">
        <v>825</v>
      </c>
      <c r="E17" t="s">
        <v>1173</v>
      </c>
      <c r="F17" t="s">
        <v>444</v>
      </c>
      <c r="G17" t="s">
        <v>451</v>
      </c>
      <c r="H17" t="s">
        <v>2674</v>
      </c>
      <c r="I17" t="s">
        <v>910</v>
      </c>
      <c r="J17" t="s">
        <v>884</v>
      </c>
      <c r="K17" t="s">
        <v>884</v>
      </c>
      <c r="L17" t="s">
        <v>887</v>
      </c>
      <c r="M17" t="s">
        <v>890</v>
      </c>
      <c r="N17" t="s">
        <v>461</v>
      </c>
      <c r="O17" t="s">
        <v>458</v>
      </c>
      <c r="P17" t="s">
        <v>466</v>
      </c>
      <c r="Q17">
        <v>941000031684396</v>
      </c>
      <c r="R17" t="s">
        <v>444</v>
      </c>
      <c r="S17" t="s">
        <v>885</v>
      </c>
      <c r="T17" s="16">
        <v>45188</v>
      </c>
      <c r="U17"/>
      <c r="V17" s="16">
        <v>45924.382638888892</v>
      </c>
      <c r="W17" t="s">
        <v>892</v>
      </c>
      <c r="X17" s="16">
        <v>45919.382638888892</v>
      </c>
      <c r="Y17">
        <v>59.4</v>
      </c>
      <c r="Z17"/>
      <c r="AA17">
        <v>20</v>
      </c>
      <c r="AB17" t="s">
        <v>1204</v>
      </c>
      <c r="AC17" t="s">
        <v>41</v>
      </c>
      <c r="AD17"/>
      <c r="AE17">
        <v>3</v>
      </c>
      <c r="AF17" t="s">
        <v>41</v>
      </c>
      <c r="AG17"/>
      <c r="AH17"/>
      <c r="AI17"/>
      <c r="AJ17"/>
      <c r="AK17">
        <v>361</v>
      </c>
    </row>
    <row r="18" spans="1:37" x14ac:dyDescent="0.2">
      <c r="A18" t="s">
        <v>991</v>
      </c>
      <c r="B18" t="s">
        <v>1997</v>
      </c>
      <c r="C18">
        <v>20</v>
      </c>
      <c r="D18" t="s">
        <v>87</v>
      </c>
      <c r="E18" t="s">
        <v>88</v>
      </c>
      <c r="F18" t="s">
        <v>444</v>
      </c>
      <c r="G18" t="s">
        <v>451</v>
      </c>
      <c r="H18" t="s">
        <v>2912</v>
      </c>
      <c r="I18" t="s">
        <v>894</v>
      </c>
      <c r="J18" t="s">
        <v>884</v>
      </c>
      <c r="K18" t="s">
        <v>892</v>
      </c>
      <c r="L18" t="s">
        <v>937</v>
      </c>
      <c r="M18" t="s">
        <v>886</v>
      </c>
      <c r="N18" t="s">
        <v>461</v>
      </c>
      <c r="O18" t="s">
        <v>458</v>
      </c>
      <c r="P18" t="s">
        <v>508</v>
      </c>
      <c r="Q18">
        <v>982091074347787</v>
      </c>
      <c r="R18" t="s">
        <v>444</v>
      </c>
      <c r="S18" t="s">
        <v>885</v>
      </c>
      <c r="T18" s="16">
        <v>45343</v>
      </c>
      <c r="U18"/>
      <c r="V18" s="16"/>
      <c r="W18" t="s">
        <v>892</v>
      </c>
      <c r="X18" s="16">
        <v>45862.561805555553</v>
      </c>
      <c r="Y18">
        <v>116.2</v>
      </c>
      <c r="Z18"/>
      <c r="AA18">
        <v>3</v>
      </c>
      <c r="AB18" t="s">
        <v>929</v>
      </c>
      <c r="AC18" t="s">
        <v>41</v>
      </c>
      <c r="AD18"/>
      <c r="AE18">
        <v>3</v>
      </c>
      <c r="AF18" t="s">
        <v>41</v>
      </c>
      <c r="AG18"/>
      <c r="AH18"/>
      <c r="AI18"/>
      <c r="AJ18"/>
      <c r="AK18">
        <v>361</v>
      </c>
    </row>
    <row r="19" spans="1:37" x14ac:dyDescent="0.2">
      <c r="A19" t="s">
        <v>991</v>
      </c>
      <c r="B19" t="s">
        <v>1997</v>
      </c>
      <c r="C19">
        <v>20</v>
      </c>
      <c r="D19" t="s">
        <v>120</v>
      </c>
      <c r="E19" t="s">
        <v>121</v>
      </c>
      <c r="F19" t="s">
        <v>444</v>
      </c>
      <c r="G19" t="s">
        <v>468</v>
      </c>
      <c r="H19" t="s">
        <v>2904</v>
      </c>
      <c r="I19" t="s">
        <v>917</v>
      </c>
      <c r="J19" t="s">
        <v>884</v>
      </c>
      <c r="K19" t="s">
        <v>884</v>
      </c>
      <c r="L19" t="s">
        <v>887</v>
      </c>
      <c r="M19" t="s">
        <v>890</v>
      </c>
      <c r="N19" t="s">
        <v>461</v>
      </c>
      <c r="O19" t="s">
        <v>458</v>
      </c>
      <c r="P19" t="s">
        <v>456</v>
      </c>
      <c r="Q19">
        <v>941000030951287</v>
      </c>
      <c r="R19" t="s">
        <v>444</v>
      </c>
      <c r="S19" t="s">
        <v>885</v>
      </c>
      <c r="T19" s="16">
        <v>44654</v>
      </c>
      <c r="U19"/>
      <c r="V19" s="16">
        <v>45755.588888888888</v>
      </c>
      <c r="W19" t="s">
        <v>892</v>
      </c>
      <c r="X19" s="16">
        <v>45750.588888888888</v>
      </c>
      <c r="Y19">
        <v>228.2</v>
      </c>
      <c r="Z19"/>
      <c r="AA19">
        <v>4</v>
      </c>
      <c r="AB19" t="s">
        <v>954</v>
      </c>
      <c r="AC19" t="s">
        <v>41</v>
      </c>
      <c r="AD19"/>
      <c r="AE19">
        <v>3</v>
      </c>
      <c r="AF19" t="s">
        <v>41</v>
      </c>
      <c r="AG19"/>
      <c r="AH19"/>
      <c r="AI19"/>
      <c r="AJ19"/>
      <c r="AK19">
        <v>361</v>
      </c>
    </row>
    <row r="20" spans="1:37" x14ac:dyDescent="0.2">
      <c r="A20" t="s">
        <v>991</v>
      </c>
      <c r="B20" t="s">
        <v>1997</v>
      </c>
      <c r="C20">
        <v>20</v>
      </c>
      <c r="D20" t="s">
        <v>127</v>
      </c>
      <c r="E20" t="s">
        <v>128</v>
      </c>
      <c r="F20" t="s">
        <v>444</v>
      </c>
      <c r="G20" t="s">
        <v>468</v>
      </c>
      <c r="H20" t="s">
        <v>1475</v>
      </c>
      <c r="I20" t="s">
        <v>894</v>
      </c>
      <c r="J20" t="s">
        <v>884</v>
      </c>
      <c r="K20" t="s">
        <v>892</v>
      </c>
      <c r="L20" t="s">
        <v>956</v>
      </c>
      <c r="M20" t="s">
        <v>886</v>
      </c>
      <c r="N20" t="s">
        <v>461</v>
      </c>
      <c r="O20" t="s">
        <v>458</v>
      </c>
      <c r="P20" t="s">
        <v>456</v>
      </c>
      <c r="Q20">
        <v>941000030976620</v>
      </c>
      <c r="R20" t="s">
        <v>444</v>
      </c>
      <c r="S20" t="s">
        <v>885</v>
      </c>
      <c r="T20" s="16">
        <v>44722</v>
      </c>
      <c r="U20"/>
      <c r="V20"/>
      <c r="W20" t="s">
        <v>892</v>
      </c>
      <c r="X20" s="16">
        <v>45975.393055555556</v>
      </c>
      <c r="Y20">
        <v>3.4</v>
      </c>
      <c r="Z20"/>
      <c r="AA20">
        <v>5</v>
      </c>
      <c r="AB20" t="s">
        <v>988</v>
      </c>
      <c r="AC20" t="s">
        <v>41</v>
      </c>
      <c r="AD20"/>
      <c r="AE20">
        <v>3</v>
      </c>
      <c r="AF20" t="s">
        <v>41</v>
      </c>
      <c r="AG20"/>
      <c r="AH20"/>
      <c r="AI20"/>
      <c r="AJ20"/>
      <c r="AK20">
        <v>361</v>
      </c>
    </row>
    <row r="21" spans="1:37" x14ac:dyDescent="0.2">
      <c r="A21" t="s">
        <v>991</v>
      </c>
      <c r="B21" t="s">
        <v>1997</v>
      </c>
      <c r="C21">
        <v>20</v>
      </c>
      <c r="D21" t="s">
        <v>387</v>
      </c>
      <c r="E21" t="s">
        <v>388</v>
      </c>
      <c r="F21" t="s">
        <v>444</v>
      </c>
      <c r="G21" t="s">
        <v>632</v>
      </c>
      <c r="H21" t="s">
        <v>2787</v>
      </c>
      <c r="I21" t="s">
        <v>907</v>
      </c>
      <c r="J21" t="s">
        <v>884</v>
      </c>
      <c r="K21" t="s">
        <v>884</v>
      </c>
      <c r="L21" t="s">
        <v>887</v>
      </c>
      <c r="M21" t="s">
        <v>886</v>
      </c>
      <c r="N21" t="s">
        <v>461</v>
      </c>
      <c r="O21" t="s">
        <v>458</v>
      </c>
      <c r="P21" t="s">
        <v>679</v>
      </c>
      <c r="Q21">
        <v>941000031684383</v>
      </c>
      <c r="R21" t="s">
        <v>444</v>
      </c>
      <c r="S21" t="s">
        <v>468</v>
      </c>
      <c r="T21" s="16">
        <v>44759</v>
      </c>
      <c r="U21"/>
      <c r="V21" s="16">
        <v>45860.586805555555</v>
      </c>
      <c r="W21" t="s">
        <v>892</v>
      </c>
      <c r="X21" s="16">
        <v>45855.586805555555</v>
      </c>
      <c r="Y21">
        <v>123.2</v>
      </c>
      <c r="Z21"/>
      <c r="AA21">
        <v>6</v>
      </c>
      <c r="AB21" t="s">
        <v>915</v>
      </c>
      <c r="AC21" t="s">
        <v>41</v>
      </c>
      <c r="AD21"/>
      <c r="AE21">
        <v>2</v>
      </c>
      <c r="AF21" t="s">
        <v>41</v>
      </c>
      <c r="AG21"/>
      <c r="AH21"/>
      <c r="AI21"/>
      <c r="AJ21"/>
      <c r="AK21">
        <v>361</v>
      </c>
    </row>
    <row r="22" spans="1:37" x14ac:dyDescent="0.2">
      <c r="A22" t="s">
        <v>991</v>
      </c>
      <c r="B22" t="s">
        <v>1997</v>
      </c>
      <c r="C22">
        <v>20</v>
      </c>
      <c r="D22" t="s">
        <v>305</v>
      </c>
      <c r="E22" t="s">
        <v>306</v>
      </c>
      <c r="F22" t="s">
        <v>444</v>
      </c>
      <c r="G22" t="s">
        <v>451</v>
      </c>
      <c r="H22" t="s">
        <v>2957</v>
      </c>
      <c r="I22" t="s">
        <v>951</v>
      </c>
      <c r="J22" t="s">
        <v>884</v>
      </c>
      <c r="K22" t="s">
        <v>892</v>
      </c>
      <c r="L22" t="s">
        <v>993</v>
      </c>
      <c r="M22" t="s">
        <v>886</v>
      </c>
      <c r="N22" t="s">
        <v>461</v>
      </c>
      <c r="O22" t="s">
        <v>458</v>
      </c>
      <c r="P22" t="s">
        <v>471</v>
      </c>
      <c r="Q22">
        <v>941000028840680</v>
      </c>
      <c r="R22" t="s">
        <v>444</v>
      </c>
      <c r="S22" t="s">
        <v>885</v>
      </c>
      <c r="T22" s="16">
        <v>43770</v>
      </c>
      <c r="U22" t="s">
        <v>950</v>
      </c>
      <c r="V22" s="16"/>
      <c r="W22" t="s">
        <v>892</v>
      </c>
      <c r="X22" s="16">
        <v>45887.629166666666</v>
      </c>
      <c r="Y22">
        <v>91.1</v>
      </c>
      <c r="Z22"/>
      <c r="AA22">
        <v>7</v>
      </c>
      <c r="AB22" t="s">
        <v>994</v>
      </c>
      <c r="AC22" t="s">
        <v>41</v>
      </c>
      <c r="AD22"/>
      <c r="AE22">
        <v>3</v>
      </c>
      <c r="AF22" t="s">
        <v>41</v>
      </c>
      <c r="AG22"/>
      <c r="AH22"/>
      <c r="AI22"/>
      <c r="AJ22"/>
      <c r="AK22">
        <v>361</v>
      </c>
    </row>
    <row r="23" spans="1:37" x14ac:dyDescent="0.2">
      <c r="A23" t="s">
        <v>991</v>
      </c>
      <c r="B23" t="s">
        <v>1997</v>
      </c>
      <c r="C23">
        <v>20</v>
      </c>
      <c r="D23" t="s">
        <v>144</v>
      </c>
      <c r="E23" t="s">
        <v>145</v>
      </c>
      <c r="F23" t="s">
        <v>444</v>
      </c>
      <c r="G23" t="s">
        <v>460</v>
      </c>
      <c r="H23" t="s">
        <v>2856</v>
      </c>
      <c r="I23" t="s">
        <v>910</v>
      </c>
      <c r="J23" t="s">
        <v>884</v>
      </c>
      <c r="K23" t="s">
        <v>884</v>
      </c>
      <c r="L23" t="s">
        <v>887</v>
      </c>
      <c r="M23" t="s">
        <v>890</v>
      </c>
      <c r="N23" t="s">
        <v>461</v>
      </c>
      <c r="O23" t="s">
        <v>458</v>
      </c>
      <c r="P23" t="s">
        <v>466</v>
      </c>
      <c r="Q23">
        <v>941000030972352</v>
      </c>
      <c r="R23" t="s">
        <v>444</v>
      </c>
      <c r="S23" t="s">
        <v>885</v>
      </c>
      <c r="T23" s="16">
        <v>44701</v>
      </c>
      <c r="U23"/>
      <c r="V23" s="16">
        <v>45802.638194444444</v>
      </c>
      <c r="W23" t="s">
        <v>892</v>
      </c>
      <c r="X23" s="16">
        <v>45797.638194444444</v>
      </c>
      <c r="Y23">
        <v>181.1</v>
      </c>
      <c r="Z23"/>
      <c r="AA23">
        <v>8</v>
      </c>
      <c r="AB23" t="s">
        <v>992</v>
      </c>
      <c r="AC23" t="s">
        <v>41</v>
      </c>
      <c r="AD23"/>
      <c r="AE23">
        <v>3</v>
      </c>
      <c r="AF23" t="s">
        <v>41</v>
      </c>
      <c r="AG23"/>
      <c r="AH23"/>
      <c r="AI23"/>
      <c r="AJ23"/>
      <c r="AK23">
        <v>361</v>
      </c>
    </row>
    <row r="24" spans="1:37" x14ac:dyDescent="0.2">
      <c r="A24" t="s">
        <v>991</v>
      </c>
      <c r="B24" t="s">
        <v>1997</v>
      </c>
      <c r="C24">
        <v>20</v>
      </c>
      <c r="D24" t="s">
        <v>228</v>
      </c>
      <c r="E24" t="s">
        <v>229</v>
      </c>
      <c r="F24" t="s">
        <v>444</v>
      </c>
      <c r="G24" t="s">
        <v>632</v>
      </c>
      <c r="H24" t="s">
        <v>2818</v>
      </c>
      <c r="I24" t="s">
        <v>899</v>
      </c>
      <c r="J24" t="s">
        <v>884</v>
      </c>
      <c r="K24" t="s">
        <v>884</v>
      </c>
      <c r="L24" t="s">
        <v>896</v>
      </c>
      <c r="M24" t="s">
        <v>886</v>
      </c>
      <c r="N24" t="s">
        <v>461</v>
      </c>
      <c r="O24" t="s">
        <v>458</v>
      </c>
      <c r="P24" t="s">
        <v>629</v>
      </c>
      <c r="Q24">
        <v>941000031683941</v>
      </c>
      <c r="R24" t="s">
        <v>444</v>
      </c>
      <c r="S24" t="s">
        <v>885</v>
      </c>
      <c r="T24" s="16">
        <v>42909</v>
      </c>
      <c r="U24"/>
      <c r="V24"/>
      <c r="W24" t="s">
        <v>892</v>
      </c>
      <c r="X24" s="16">
        <v>45830.552777777775</v>
      </c>
      <c r="Y24">
        <v>148.19999999999999</v>
      </c>
      <c r="Z24"/>
      <c r="AA24">
        <v>9</v>
      </c>
      <c r="AB24" t="s">
        <v>898</v>
      </c>
      <c r="AC24" t="s">
        <v>41</v>
      </c>
      <c r="AD24"/>
      <c r="AE24">
        <v>3</v>
      </c>
      <c r="AF24" t="s">
        <v>41</v>
      </c>
      <c r="AG24"/>
      <c r="AH24"/>
      <c r="AI24"/>
      <c r="AJ24"/>
      <c r="AK24">
        <v>361</v>
      </c>
    </row>
    <row r="25" spans="1:37" x14ac:dyDescent="0.2">
      <c r="A25" t="s">
        <v>1996</v>
      </c>
      <c r="B25" t="s">
        <v>2958</v>
      </c>
      <c r="C25">
        <v>28</v>
      </c>
      <c r="D25" t="s">
        <v>1949</v>
      </c>
      <c r="E25" t="s">
        <v>1950</v>
      </c>
      <c r="F25" t="s">
        <v>443</v>
      </c>
      <c r="G25" t="s">
        <v>34</v>
      </c>
      <c r="H25" t="s">
        <v>2959</v>
      </c>
      <c r="I25" t="s">
        <v>935</v>
      </c>
      <c r="J25"/>
      <c r="K25" t="s">
        <v>884</v>
      </c>
      <c r="L25" t="s">
        <v>922</v>
      </c>
      <c r="M25" t="s">
        <v>886</v>
      </c>
      <c r="N25" t="s">
        <v>494</v>
      </c>
      <c r="O25" t="s">
        <v>557</v>
      </c>
      <c r="P25"/>
      <c r="Q25"/>
      <c r="R25" t="s">
        <v>443</v>
      </c>
      <c r="S25" t="s">
        <v>885</v>
      </c>
      <c r="T25" s="16">
        <v>45547</v>
      </c>
      <c r="U25" t="s">
        <v>2013</v>
      </c>
      <c r="V25" s="16">
        <v>45587.659722222219</v>
      </c>
      <c r="W25" t="s">
        <v>884</v>
      </c>
      <c r="X25" s="16">
        <v>45582.659722222219</v>
      </c>
      <c r="Y25">
        <v>396.1</v>
      </c>
      <c r="Z25"/>
      <c r="AA25" t="s">
        <v>2925</v>
      </c>
      <c r="AB25" t="s">
        <v>2144</v>
      </c>
      <c r="AC25" t="s">
        <v>41</v>
      </c>
      <c r="AD25"/>
      <c r="AE25">
        <v>1</v>
      </c>
      <c r="AF25" t="s">
        <v>41</v>
      </c>
      <c r="AG25"/>
      <c r="AH25"/>
      <c r="AI25"/>
      <c r="AJ25"/>
      <c r="AK25">
        <v>361</v>
      </c>
    </row>
    <row r="26" spans="1:37" x14ac:dyDescent="0.2">
      <c r="A26" t="s">
        <v>1996</v>
      </c>
      <c r="B26" t="s">
        <v>2958</v>
      </c>
      <c r="C26">
        <v>28</v>
      </c>
      <c r="D26" t="s">
        <v>1785</v>
      </c>
      <c r="E26" t="s">
        <v>1786</v>
      </c>
      <c r="F26" t="s">
        <v>443</v>
      </c>
      <c r="G26" t="s">
        <v>34</v>
      </c>
      <c r="H26" t="s">
        <v>2960</v>
      </c>
      <c r="I26" t="s">
        <v>897</v>
      </c>
      <c r="J26"/>
      <c r="K26" t="s">
        <v>884</v>
      </c>
      <c r="L26" t="s">
        <v>922</v>
      </c>
      <c r="M26" t="s">
        <v>890</v>
      </c>
      <c r="N26" t="s">
        <v>494</v>
      </c>
      <c r="O26" t="s">
        <v>557</v>
      </c>
      <c r="P26"/>
      <c r="Q26"/>
      <c r="R26" t="s">
        <v>443</v>
      </c>
      <c r="S26" t="s">
        <v>885</v>
      </c>
      <c r="T26" s="16">
        <v>45596</v>
      </c>
      <c r="U26"/>
      <c r="V26">
        <v>45965.531944444447</v>
      </c>
      <c r="W26" t="s">
        <v>892</v>
      </c>
      <c r="X26" s="16">
        <v>45960.573611111111</v>
      </c>
      <c r="Y26">
        <v>18.2</v>
      </c>
      <c r="Z26"/>
      <c r="AA26" t="s">
        <v>2464</v>
      </c>
      <c r="AB26" t="s">
        <v>2053</v>
      </c>
      <c r="AC26" t="s">
        <v>41</v>
      </c>
      <c r="AD26"/>
      <c r="AE26">
        <v>1</v>
      </c>
      <c r="AF26" t="s">
        <v>41</v>
      </c>
      <c r="AG26"/>
      <c r="AH26"/>
      <c r="AI26"/>
      <c r="AJ26"/>
      <c r="AK26">
        <v>361</v>
      </c>
    </row>
    <row r="27" spans="1:37" x14ac:dyDescent="0.2">
      <c r="A27" t="s">
        <v>1996</v>
      </c>
      <c r="B27" t="s">
        <v>2958</v>
      </c>
      <c r="C27">
        <v>28</v>
      </c>
      <c r="D27" t="s">
        <v>1842</v>
      </c>
      <c r="E27" t="s">
        <v>2538</v>
      </c>
      <c r="F27" t="s">
        <v>443</v>
      </c>
      <c r="G27" t="s">
        <v>34</v>
      </c>
      <c r="H27" t="s">
        <v>2961</v>
      </c>
      <c r="I27" t="s">
        <v>1999</v>
      </c>
      <c r="J27"/>
      <c r="K27" t="s">
        <v>884</v>
      </c>
      <c r="L27" t="s">
        <v>922</v>
      </c>
      <c r="M27" t="s">
        <v>890</v>
      </c>
      <c r="N27" t="s">
        <v>494</v>
      </c>
      <c r="O27" t="s">
        <v>557</v>
      </c>
      <c r="P27"/>
      <c r="Q27"/>
      <c r="R27" t="s">
        <v>443</v>
      </c>
      <c r="S27" t="s">
        <v>885</v>
      </c>
      <c r="T27" s="16">
        <v>45875</v>
      </c>
      <c r="U27"/>
      <c r="V27">
        <v>45956.646527777775</v>
      </c>
      <c r="W27" t="s">
        <v>884</v>
      </c>
      <c r="X27" s="16">
        <v>45951.646527777775</v>
      </c>
      <c r="Y27">
        <v>27.1</v>
      </c>
      <c r="Z27"/>
      <c r="AA27" t="s">
        <v>648</v>
      </c>
      <c r="AB27" t="s">
        <v>2962</v>
      </c>
      <c r="AC27" t="s">
        <v>41</v>
      </c>
      <c r="AD27"/>
      <c r="AE27">
        <v>2</v>
      </c>
      <c r="AF27" t="s">
        <v>41</v>
      </c>
      <c r="AG27"/>
      <c r="AH27"/>
      <c r="AI27"/>
      <c r="AJ27"/>
      <c r="AK27">
        <v>361</v>
      </c>
    </row>
    <row r="28" spans="1:37" x14ac:dyDescent="0.2">
      <c r="A28" t="s">
        <v>1996</v>
      </c>
      <c r="B28" t="s">
        <v>2958</v>
      </c>
      <c r="C28">
        <v>28</v>
      </c>
      <c r="D28" t="s">
        <v>1841</v>
      </c>
      <c r="E28" t="s">
        <v>2536</v>
      </c>
      <c r="F28" t="s">
        <v>443</v>
      </c>
      <c r="G28" t="s">
        <v>34</v>
      </c>
      <c r="H28" t="s">
        <v>2961</v>
      </c>
      <c r="I28" t="s">
        <v>1999</v>
      </c>
      <c r="J28"/>
      <c r="K28" t="s">
        <v>884</v>
      </c>
      <c r="L28" t="s">
        <v>922</v>
      </c>
      <c r="M28" t="s">
        <v>890</v>
      </c>
      <c r="N28" t="s">
        <v>494</v>
      </c>
      <c r="O28" t="s">
        <v>557</v>
      </c>
      <c r="P28"/>
      <c r="Q28"/>
      <c r="R28" t="s">
        <v>443</v>
      </c>
      <c r="S28" t="s">
        <v>885</v>
      </c>
      <c r="T28" s="16">
        <v>45875</v>
      </c>
      <c r="U28"/>
      <c r="V28">
        <v>45956.646527777775</v>
      </c>
      <c r="W28" t="s">
        <v>884</v>
      </c>
      <c r="X28" s="16">
        <v>45951.646527777775</v>
      </c>
      <c r="Y28">
        <v>27.1</v>
      </c>
      <c r="Z28"/>
      <c r="AA28" t="s">
        <v>648</v>
      </c>
      <c r="AB28" t="s">
        <v>2963</v>
      </c>
      <c r="AC28" t="s">
        <v>41</v>
      </c>
      <c r="AD28"/>
      <c r="AE28">
        <v>2</v>
      </c>
      <c r="AF28" t="s">
        <v>41</v>
      </c>
      <c r="AG28"/>
      <c r="AH28"/>
      <c r="AI28"/>
      <c r="AJ28"/>
      <c r="AK28">
        <v>361</v>
      </c>
    </row>
    <row r="29" spans="1:37" x14ac:dyDescent="0.2">
      <c r="A29" t="s">
        <v>1996</v>
      </c>
      <c r="B29" t="s">
        <v>2958</v>
      </c>
      <c r="C29">
        <v>28</v>
      </c>
      <c r="D29" t="s">
        <v>1840</v>
      </c>
      <c r="E29" t="s">
        <v>1824</v>
      </c>
      <c r="F29" t="s">
        <v>443</v>
      </c>
      <c r="G29" t="s">
        <v>34</v>
      </c>
      <c r="H29" t="s">
        <v>2961</v>
      </c>
      <c r="I29" t="s">
        <v>894</v>
      </c>
      <c r="J29"/>
      <c r="K29" t="s">
        <v>884</v>
      </c>
      <c r="L29" t="s">
        <v>922</v>
      </c>
      <c r="M29" t="s">
        <v>886</v>
      </c>
      <c r="N29" t="s">
        <v>494</v>
      </c>
      <c r="O29" t="s">
        <v>557</v>
      </c>
      <c r="P29"/>
      <c r="Q29"/>
      <c r="R29" t="s">
        <v>443</v>
      </c>
      <c r="S29" t="s">
        <v>885</v>
      </c>
      <c r="T29" s="16">
        <v>45875</v>
      </c>
      <c r="U29"/>
      <c r="V29" s="16">
        <v>45956.646527777775</v>
      </c>
      <c r="W29" t="s">
        <v>884</v>
      </c>
      <c r="X29" s="16">
        <v>45951.646527777775</v>
      </c>
      <c r="Y29">
        <v>27.1</v>
      </c>
      <c r="Z29"/>
      <c r="AA29" t="s">
        <v>648</v>
      </c>
      <c r="AB29" t="s">
        <v>2964</v>
      </c>
      <c r="AC29" t="s">
        <v>41</v>
      </c>
      <c r="AD29"/>
      <c r="AE29">
        <v>2</v>
      </c>
      <c r="AF29" t="s">
        <v>41</v>
      </c>
      <c r="AG29"/>
      <c r="AH29"/>
      <c r="AI29"/>
      <c r="AJ29"/>
      <c r="AK29">
        <v>361</v>
      </c>
    </row>
    <row r="30" spans="1:37" x14ac:dyDescent="0.2">
      <c r="A30" t="s">
        <v>1996</v>
      </c>
      <c r="B30" t="s">
        <v>2958</v>
      </c>
      <c r="C30">
        <v>28</v>
      </c>
      <c r="D30" t="s">
        <v>1838</v>
      </c>
      <c r="E30" t="s">
        <v>2531</v>
      </c>
      <c r="F30" t="s">
        <v>443</v>
      </c>
      <c r="G30" t="s">
        <v>34</v>
      </c>
      <c r="H30" t="s">
        <v>2961</v>
      </c>
      <c r="I30" t="s">
        <v>894</v>
      </c>
      <c r="J30"/>
      <c r="K30" t="s">
        <v>884</v>
      </c>
      <c r="L30" t="s">
        <v>922</v>
      </c>
      <c r="M30" t="s">
        <v>890</v>
      </c>
      <c r="N30" t="s">
        <v>494</v>
      </c>
      <c r="O30" t="s">
        <v>557</v>
      </c>
      <c r="P30"/>
      <c r="Q30"/>
      <c r="R30" t="s">
        <v>443</v>
      </c>
      <c r="S30" t="s">
        <v>885</v>
      </c>
      <c r="T30" s="16">
        <v>45875</v>
      </c>
      <c r="U30"/>
      <c r="V30" s="16">
        <v>45956.646527777775</v>
      </c>
      <c r="W30" t="s">
        <v>884</v>
      </c>
      <c r="X30" s="16">
        <v>45951.646527777775</v>
      </c>
      <c r="Y30">
        <v>27.1</v>
      </c>
      <c r="Z30"/>
      <c r="AA30" t="s">
        <v>648</v>
      </c>
      <c r="AB30" t="s">
        <v>2140</v>
      </c>
      <c r="AC30" t="s">
        <v>41</v>
      </c>
      <c r="AD30"/>
      <c r="AE30">
        <v>2</v>
      </c>
      <c r="AF30" t="s">
        <v>41</v>
      </c>
      <c r="AG30"/>
      <c r="AH30"/>
      <c r="AI30"/>
      <c r="AJ30"/>
      <c r="AK30">
        <v>361</v>
      </c>
    </row>
    <row r="31" spans="1:37" x14ac:dyDescent="0.2">
      <c r="A31" t="s">
        <v>1996</v>
      </c>
      <c r="B31" t="s">
        <v>2958</v>
      </c>
      <c r="C31">
        <v>28</v>
      </c>
      <c r="D31" t="s">
        <v>1836</v>
      </c>
      <c r="E31" t="s">
        <v>2528</v>
      </c>
      <c r="F31" t="s">
        <v>443</v>
      </c>
      <c r="G31" t="s">
        <v>34</v>
      </c>
      <c r="H31" t="s">
        <v>2961</v>
      </c>
      <c r="I31" t="s">
        <v>894</v>
      </c>
      <c r="J31"/>
      <c r="K31" t="s">
        <v>884</v>
      </c>
      <c r="L31" t="s">
        <v>922</v>
      </c>
      <c r="M31" t="s">
        <v>886</v>
      </c>
      <c r="N31" t="s">
        <v>494</v>
      </c>
      <c r="O31" t="s">
        <v>557</v>
      </c>
      <c r="P31"/>
      <c r="Q31"/>
      <c r="R31" t="s">
        <v>443</v>
      </c>
      <c r="S31" t="s">
        <v>885</v>
      </c>
      <c r="T31" s="16">
        <v>45875</v>
      </c>
      <c r="U31"/>
      <c r="V31" s="16">
        <v>45956.646527777775</v>
      </c>
      <c r="W31" t="s">
        <v>884</v>
      </c>
      <c r="X31" s="16">
        <v>45951.646527777775</v>
      </c>
      <c r="Y31">
        <v>27.1</v>
      </c>
      <c r="Z31"/>
      <c r="AA31" t="s">
        <v>648</v>
      </c>
      <c r="AB31" t="s">
        <v>2965</v>
      </c>
      <c r="AC31" t="s">
        <v>41</v>
      </c>
      <c r="AD31"/>
      <c r="AE31">
        <v>1</v>
      </c>
      <c r="AF31" t="s">
        <v>41</v>
      </c>
      <c r="AG31"/>
      <c r="AH31"/>
      <c r="AI31"/>
      <c r="AJ31"/>
      <c r="AK31">
        <v>361</v>
      </c>
    </row>
    <row r="32" spans="1:37" x14ac:dyDescent="0.2">
      <c r="A32" t="s">
        <v>1996</v>
      </c>
      <c r="B32" t="s">
        <v>2958</v>
      </c>
      <c r="C32">
        <v>28</v>
      </c>
      <c r="D32" t="s">
        <v>597</v>
      </c>
      <c r="E32" t="s">
        <v>596</v>
      </c>
      <c r="F32" t="s">
        <v>443</v>
      </c>
      <c r="G32" t="s">
        <v>34</v>
      </c>
      <c r="H32" t="s">
        <v>2966</v>
      </c>
      <c r="I32" t="s">
        <v>923</v>
      </c>
      <c r="J32" t="s">
        <v>884</v>
      </c>
      <c r="K32" t="s">
        <v>884</v>
      </c>
      <c r="L32" t="s">
        <v>922</v>
      </c>
      <c r="M32" t="s">
        <v>886</v>
      </c>
      <c r="N32" t="s">
        <v>461</v>
      </c>
      <c r="O32" t="s">
        <v>557</v>
      </c>
      <c r="P32"/>
      <c r="Q32">
        <v>941000031749670</v>
      </c>
      <c r="R32" t="s">
        <v>443</v>
      </c>
      <c r="S32" t="s">
        <v>885</v>
      </c>
      <c r="T32" s="16">
        <v>45771</v>
      </c>
      <c r="U32" t="s">
        <v>2004</v>
      </c>
      <c r="V32" s="16">
        <v>45801.65</v>
      </c>
      <c r="W32" t="s">
        <v>892</v>
      </c>
      <c r="X32" s="16">
        <v>45796.65</v>
      </c>
      <c r="Y32">
        <v>182.1</v>
      </c>
      <c r="Z32"/>
      <c r="AA32" t="s">
        <v>590</v>
      </c>
      <c r="AB32" t="s">
        <v>2009</v>
      </c>
      <c r="AC32" t="s">
        <v>41</v>
      </c>
      <c r="AD32"/>
      <c r="AE32">
        <v>3</v>
      </c>
      <c r="AF32" t="s">
        <v>41</v>
      </c>
      <c r="AG32"/>
      <c r="AH32"/>
      <c r="AI32"/>
      <c r="AJ32"/>
      <c r="AK32">
        <v>361</v>
      </c>
    </row>
    <row r="33" spans="1:37" x14ac:dyDescent="0.2">
      <c r="A33" t="s">
        <v>1996</v>
      </c>
      <c r="B33" t="s">
        <v>2958</v>
      </c>
      <c r="C33">
        <v>28</v>
      </c>
      <c r="D33" t="s">
        <v>853</v>
      </c>
      <c r="E33" t="s">
        <v>1094</v>
      </c>
      <c r="F33" t="s">
        <v>443</v>
      </c>
      <c r="G33" t="s">
        <v>34</v>
      </c>
      <c r="H33" t="s">
        <v>2040</v>
      </c>
      <c r="I33" t="s">
        <v>903</v>
      </c>
      <c r="J33" t="s">
        <v>884</v>
      </c>
      <c r="K33" t="s">
        <v>884</v>
      </c>
      <c r="L33" t="s">
        <v>922</v>
      </c>
      <c r="M33" t="s">
        <v>890</v>
      </c>
      <c r="N33" t="s">
        <v>461</v>
      </c>
      <c r="O33" t="s">
        <v>557</v>
      </c>
      <c r="P33"/>
      <c r="Q33">
        <v>941000031684077</v>
      </c>
      <c r="R33" t="s">
        <v>443</v>
      </c>
      <c r="S33" t="s">
        <v>885</v>
      </c>
      <c r="T33" s="16">
        <v>45814</v>
      </c>
      <c r="U33" t="s">
        <v>2000</v>
      </c>
      <c r="V33" s="16">
        <v>45935.53125</v>
      </c>
      <c r="W33" t="s">
        <v>892</v>
      </c>
      <c r="X33" s="16">
        <v>45930.53125</v>
      </c>
      <c r="Y33">
        <v>48.3</v>
      </c>
      <c r="Z33"/>
      <c r="AA33" t="s">
        <v>2648</v>
      </c>
      <c r="AB33" t="s">
        <v>2001</v>
      </c>
      <c r="AC33" t="s">
        <v>41</v>
      </c>
      <c r="AD33"/>
      <c r="AE33">
        <v>1</v>
      </c>
      <c r="AF33" t="s">
        <v>41</v>
      </c>
      <c r="AG33"/>
      <c r="AH33"/>
      <c r="AI33"/>
      <c r="AJ33"/>
      <c r="AK33">
        <v>361</v>
      </c>
    </row>
    <row r="34" spans="1:37" x14ac:dyDescent="0.2">
      <c r="A34" t="s">
        <v>1996</v>
      </c>
      <c r="B34" t="s">
        <v>2958</v>
      </c>
      <c r="C34">
        <v>28</v>
      </c>
      <c r="D34" t="s">
        <v>602</v>
      </c>
      <c r="E34" t="s">
        <v>601</v>
      </c>
      <c r="F34" t="s">
        <v>443</v>
      </c>
      <c r="G34" t="s">
        <v>34</v>
      </c>
      <c r="H34" t="s">
        <v>2002</v>
      </c>
      <c r="I34" t="s">
        <v>894</v>
      </c>
      <c r="J34" t="s">
        <v>884</v>
      </c>
      <c r="K34" t="s">
        <v>884</v>
      </c>
      <c r="L34" t="s">
        <v>922</v>
      </c>
      <c r="M34" t="s">
        <v>886</v>
      </c>
      <c r="N34" t="s">
        <v>461</v>
      </c>
      <c r="O34" t="s">
        <v>557</v>
      </c>
      <c r="P34"/>
      <c r="Q34">
        <v>941000031684078</v>
      </c>
      <c r="R34" t="s">
        <v>443</v>
      </c>
      <c r="S34" t="s">
        <v>885</v>
      </c>
      <c r="T34" s="16">
        <v>45765</v>
      </c>
      <c r="U34"/>
      <c r="V34" s="16">
        <v>45810.568749999999</v>
      </c>
      <c r="W34" t="s">
        <v>892</v>
      </c>
      <c r="X34" s="16">
        <v>45805.568749999999</v>
      </c>
      <c r="Y34">
        <v>173.2</v>
      </c>
      <c r="Z34"/>
      <c r="AA34" t="s">
        <v>1934</v>
      </c>
      <c r="AB34" t="s">
        <v>2010</v>
      </c>
      <c r="AC34" t="s">
        <v>41</v>
      </c>
      <c r="AD34"/>
      <c r="AE34">
        <v>1</v>
      </c>
      <c r="AF34" t="s">
        <v>41</v>
      </c>
      <c r="AG34"/>
      <c r="AH34"/>
      <c r="AI34"/>
      <c r="AJ34"/>
      <c r="AK34">
        <v>361</v>
      </c>
    </row>
    <row r="35" spans="1:37" x14ac:dyDescent="0.2">
      <c r="A35" t="s">
        <v>1996</v>
      </c>
      <c r="B35" t="s">
        <v>2958</v>
      </c>
      <c r="C35">
        <v>28</v>
      </c>
      <c r="D35" t="s">
        <v>628</v>
      </c>
      <c r="E35" t="s">
        <v>627</v>
      </c>
      <c r="F35" t="s">
        <v>443</v>
      </c>
      <c r="G35" t="s">
        <v>34</v>
      </c>
      <c r="H35" t="s">
        <v>2967</v>
      </c>
      <c r="I35" t="s">
        <v>2023</v>
      </c>
      <c r="J35" t="s">
        <v>884</v>
      </c>
      <c r="K35" t="s">
        <v>884</v>
      </c>
      <c r="L35" t="s">
        <v>922</v>
      </c>
      <c r="M35" t="s">
        <v>886</v>
      </c>
      <c r="N35" t="s">
        <v>461</v>
      </c>
      <c r="O35" t="s">
        <v>557</v>
      </c>
      <c r="P35"/>
      <c r="Q35">
        <v>941000031683512</v>
      </c>
      <c r="R35" t="s">
        <v>443</v>
      </c>
      <c r="S35" t="s">
        <v>885</v>
      </c>
      <c r="T35" s="16">
        <v>45774</v>
      </c>
      <c r="U35"/>
      <c r="V35" s="16">
        <v>45823.563888888886</v>
      </c>
      <c r="W35" t="s">
        <v>892</v>
      </c>
      <c r="X35" s="16">
        <v>45818.563888888886</v>
      </c>
      <c r="Y35">
        <v>160.19999999999999</v>
      </c>
      <c r="Z35"/>
      <c r="AA35" t="s">
        <v>2833</v>
      </c>
      <c r="AB35" t="s">
        <v>2024</v>
      </c>
      <c r="AC35" t="s">
        <v>41</v>
      </c>
      <c r="AD35"/>
      <c r="AE35">
        <v>2</v>
      </c>
      <c r="AF35" t="s">
        <v>41</v>
      </c>
      <c r="AG35"/>
      <c r="AH35"/>
      <c r="AI35"/>
      <c r="AJ35"/>
      <c r="AK35">
        <v>361</v>
      </c>
    </row>
    <row r="36" spans="1:37" x14ac:dyDescent="0.2">
      <c r="A36" t="s">
        <v>1996</v>
      </c>
      <c r="B36" t="s">
        <v>2958</v>
      </c>
      <c r="C36">
        <v>28</v>
      </c>
      <c r="D36" t="s">
        <v>1805</v>
      </c>
      <c r="E36" t="s">
        <v>2351</v>
      </c>
      <c r="F36" t="s">
        <v>443</v>
      </c>
      <c r="G36" t="s">
        <v>34</v>
      </c>
      <c r="H36" t="s">
        <v>2968</v>
      </c>
      <c r="I36" t="s">
        <v>910</v>
      </c>
      <c r="J36"/>
      <c r="K36" t="s">
        <v>884</v>
      </c>
      <c r="L36" t="s">
        <v>922</v>
      </c>
      <c r="M36" t="s">
        <v>886</v>
      </c>
      <c r="N36" t="s">
        <v>494</v>
      </c>
      <c r="O36" t="s">
        <v>557</v>
      </c>
      <c r="P36"/>
      <c r="Q36"/>
      <c r="R36" t="s">
        <v>443</v>
      </c>
      <c r="S36" t="s">
        <v>885</v>
      </c>
      <c r="T36" s="16">
        <v>45911</v>
      </c>
      <c r="U36"/>
      <c r="V36" s="16">
        <v>45962.361111111109</v>
      </c>
      <c r="W36" t="s">
        <v>884</v>
      </c>
      <c r="X36" s="16">
        <v>45957.361111111109</v>
      </c>
      <c r="Y36">
        <v>21.4</v>
      </c>
      <c r="Z36"/>
      <c r="AA36" t="s">
        <v>608</v>
      </c>
      <c r="AB36" t="s">
        <v>2964</v>
      </c>
      <c r="AC36" t="s">
        <v>41</v>
      </c>
      <c r="AD36"/>
      <c r="AE36">
        <v>2</v>
      </c>
      <c r="AF36" t="s">
        <v>41</v>
      </c>
      <c r="AG36"/>
      <c r="AH36"/>
      <c r="AI36"/>
      <c r="AJ36"/>
      <c r="AK36">
        <v>361</v>
      </c>
    </row>
    <row r="37" spans="1:37" x14ac:dyDescent="0.2">
      <c r="A37" t="s">
        <v>1996</v>
      </c>
      <c r="B37" t="s">
        <v>2958</v>
      </c>
      <c r="C37">
        <v>28</v>
      </c>
      <c r="D37" t="s">
        <v>1804</v>
      </c>
      <c r="E37" t="s">
        <v>2493</v>
      </c>
      <c r="F37" t="s">
        <v>443</v>
      </c>
      <c r="G37" t="s">
        <v>34</v>
      </c>
      <c r="H37" t="s">
        <v>2968</v>
      </c>
      <c r="I37" t="s">
        <v>910</v>
      </c>
      <c r="J37"/>
      <c r="K37" t="s">
        <v>884</v>
      </c>
      <c r="L37" t="s">
        <v>922</v>
      </c>
      <c r="M37" t="s">
        <v>890</v>
      </c>
      <c r="N37" t="s">
        <v>494</v>
      </c>
      <c r="O37" t="s">
        <v>557</v>
      </c>
      <c r="P37"/>
      <c r="Q37"/>
      <c r="R37" t="s">
        <v>443</v>
      </c>
      <c r="S37" t="s">
        <v>885</v>
      </c>
      <c r="T37" s="16">
        <v>45911</v>
      </c>
      <c r="U37"/>
      <c r="V37" s="16">
        <v>45962.361111111109</v>
      </c>
      <c r="W37" t="s">
        <v>884</v>
      </c>
      <c r="X37" s="16">
        <v>45957.361111111109</v>
      </c>
      <c r="Y37">
        <v>21.4</v>
      </c>
      <c r="Z37"/>
      <c r="AA37" t="s">
        <v>608</v>
      </c>
      <c r="AB37" t="s">
        <v>2029</v>
      </c>
      <c r="AC37" t="s">
        <v>41</v>
      </c>
      <c r="AD37"/>
      <c r="AE37">
        <v>2</v>
      </c>
      <c r="AF37" t="s">
        <v>41</v>
      </c>
      <c r="AG37"/>
      <c r="AH37"/>
      <c r="AI37"/>
      <c r="AJ37"/>
      <c r="AK37">
        <v>361</v>
      </c>
    </row>
    <row r="38" spans="1:37" x14ac:dyDescent="0.2">
      <c r="A38" t="s">
        <v>1996</v>
      </c>
      <c r="B38" t="s">
        <v>2958</v>
      </c>
      <c r="C38">
        <v>28</v>
      </c>
      <c r="D38" t="s">
        <v>1803</v>
      </c>
      <c r="E38" t="s">
        <v>2491</v>
      </c>
      <c r="F38" t="s">
        <v>443</v>
      </c>
      <c r="G38" t="s">
        <v>34</v>
      </c>
      <c r="H38" t="s">
        <v>2968</v>
      </c>
      <c r="I38" t="s">
        <v>910</v>
      </c>
      <c r="J38"/>
      <c r="K38" t="s">
        <v>884</v>
      </c>
      <c r="L38" t="s">
        <v>922</v>
      </c>
      <c r="M38" t="s">
        <v>886</v>
      </c>
      <c r="N38" t="s">
        <v>494</v>
      </c>
      <c r="O38" t="s">
        <v>557</v>
      </c>
      <c r="P38"/>
      <c r="Q38"/>
      <c r="R38" t="s">
        <v>443</v>
      </c>
      <c r="S38" t="s">
        <v>885</v>
      </c>
      <c r="T38" s="16">
        <v>45911</v>
      </c>
      <c r="U38"/>
      <c r="V38" s="16">
        <v>45962.361111111109</v>
      </c>
      <c r="W38" t="s">
        <v>884</v>
      </c>
      <c r="X38" s="16">
        <v>45957.361111111109</v>
      </c>
      <c r="Y38">
        <v>21.4</v>
      </c>
      <c r="Z38"/>
      <c r="AA38" t="s">
        <v>608</v>
      </c>
      <c r="AB38" t="s">
        <v>2029</v>
      </c>
      <c r="AC38" t="s">
        <v>41</v>
      </c>
      <c r="AD38"/>
      <c r="AE38">
        <v>2</v>
      </c>
      <c r="AF38" t="s">
        <v>41</v>
      </c>
      <c r="AG38"/>
      <c r="AH38"/>
      <c r="AI38"/>
      <c r="AJ38"/>
      <c r="AK38">
        <v>361</v>
      </c>
    </row>
    <row r="39" spans="1:37" x14ac:dyDescent="0.2">
      <c r="A39" t="s">
        <v>1996</v>
      </c>
      <c r="B39" t="s">
        <v>2958</v>
      </c>
      <c r="C39">
        <v>28</v>
      </c>
      <c r="D39" t="s">
        <v>1802</v>
      </c>
      <c r="E39" t="s">
        <v>2489</v>
      </c>
      <c r="F39" t="s">
        <v>443</v>
      </c>
      <c r="G39" t="s">
        <v>34</v>
      </c>
      <c r="H39" t="s">
        <v>2968</v>
      </c>
      <c r="I39" t="s">
        <v>910</v>
      </c>
      <c r="J39"/>
      <c r="K39" t="s">
        <v>884</v>
      </c>
      <c r="L39" t="s">
        <v>922</v>
      </c>
      <c r="M39" t="s">
        <v>890</v>
      </c>
      <c r="N39" t="s">
        <v>494</v>
      </c>
      <c r="O39" t="s">
        <v>557</v>
      </c>
      <c r="P39"/>
      <c r="Q39"/>
      <c r="R39" t="s">
        <v>443</v>
      </c>
      <c r="S39" t="s">
        <v>885</v>
      </c>
      <c r="T39" s="16">
        <v>45911</v>
      </c>
      <c r="U39"/>
      <c r="V39" s="16">
        <v>45962.361111111109</v>
      </c>
      <c r="W39" t="s">
        <v>884</v>
      </c>
      <c r="X39" s="16">
        <v>45957.361111111109</v>
      </c>
      <c r="Y39">
        <v>21.4</v>
      </c>
      <c r="Z39"/>
      <c r="AA39" t="s">
        <v>608</v>
      </c>
      <c r="AB39" t="s">
        <v>2029</v>
      </c>
      <c r="AC39" t="s">
        <v>41</v>
      </c>
      <c r="AD39"/>
      <c r="AE39">
        <v>2</v>
      </c>
      <c r="AF39" t="s">
        <v>41</v>
      </c>
      <c r="AG39"/>
      <c r="AH39"/>
      <c r="AI39"/>
      <c r="AJ39"/>
      <c r="AK39">
        <v>361</v>
      </c>
    </row>
    <row r="40" spans="1:37" x14ac:dyDescent="0.2">
      <c r="A40" t="s">
        <v>1996</v>
      </c>
      <c r="B40" t="s">
        <v>2958</v>
      </c>
      <c r="C40">
        <v>28</v>
      </c>
      <c r="D40" t="s">
        <v>1801</v>
      </c>
      <c r="E40" t="s">
        <v>2486</v>
      </c>
      <c r="F40" t="s">
        <v>443</v>
      </c>
      <c r="G40" t="s">
        <v>34</v>
      </c>
      <c r="H40" t="s">
        <v>2968</v>
      </c>
      <c r="I40" t="s">
        <v>897</v>
      </c>
      <c r="J40"/>
      <c r="K40" t="s">
        <v>884</v>
      </c>
      <c r="L40" t="s">
        <v>922</v>
      </c>
      <c r="M40" t="s">
        <v>886</v>
      </c>
      <c r="N40" t="s">
        <v>494</v>
      </c>
      <c r="O40" t="s">
        <v>557</v>
      </c>
      <c r="P40"/>
      <c r="Q40"/>
      <c r="R40" t="s">
        <v>443</v>
      </c>
      <c r="S40" t="s">
        <v>885</v>
      </c>
      <c r="T40" s="16">
        <v>45911</v>
      </c>
      <c r="U40"/>
      <c r="V40" s="16">
        <v>45962.361111111109</v>
      </c>
      <c r="W40" t="s">
        <v>884</v>
      </c>
      <c r="X40" s="16">
        <v>45957.361111111109</v>
      </c>
      <c r="Y40">
        <v>21.4</v>
      </c>
      <c r="Z40"/>
      <c r="AA40" t="s">
        <v>608</v>
      </c>
      <c r="AB40" t="s">
        <v>2969</v>
      </c>
      <c r="AC40" t="s">
        <v>41</v>
      </c>
      <c r="AD40"/>
      <c r="AE40">
        <v>2</v>
      </c>
      <c r="AF40" t="s">
        <v>41</v>
      </c>
      <c r="AG40"/>
      <c r="AH40"/>
      <c r="AI40"/>
      <c r="AJ40"/>
      <c r="AK40">
        <v>361</v>
      </c>
    </row>
    <row r="41" spans="1:37" x14ac:dyDescent="0.2">
      <c r="A41" t="s">
        <v>1996</v>
      </c>
      <c r="B41" t="s">
        <v>2958</v>
      </c>
      <c r="C41">
        <v>28</v>
      </c>
      <c r="D41" t="s">
        <v>613</v>
      </c>
      <c r="E41" t="s">
        <v>612</v>
      </c>
      <c r="F41" t="s">
        <v>443</v>
      </c>
      <c r="G41" t="s">
        <v>34</v>
      </c>
      <c r="H41" t="s">
        <v>2844</v>
      </c>
      <c r="I41" t="s">
        <v>2019</v>
      </c>
      <c r="J41" t="s">
        <v>884</v>
      </c>
      <c r="K41" t="s">
        <v>884</v>
      </c>
      <c r="L41" t="s">
        <v>2020</v>
      </c>
      <c r="M41" t="s">
        <v>886</v>
      </c>
      <c r="N41" t="s">
        <v>461</v>
      </c>
      <c r="O41" t="s">
        <v>557</v>
      </c>
      <c r="P41"/>
      <c r="Q41">
        <v>941000028840619</v>
      </c>
      <c r="R41" t="s">
        <v>443</v>
      </c>
      <c r="S41" t="s">
        <v>885</v>
      </c>
      <c r="T41" s="16">
        <v>44718</v>
      </c>
      <c r="U41"/>
      <c r="V41" s="16"/>
      <c r="W41" t="s">
        <v>892</v>
      </c>
      <c r="X41" s="16">
        <v>45807.337500000001</v>
      </c>
      <c r="Y41">
        <v>171.4</v>
      </c>
      <c r="Z41"/>
      <c r="AA41" t="s">
        <v>2484</v>
      </c>
      <c r="AB41" t="s">
        <v>2021</v>
      </c>
      <c r="AC41" t="s">
        <v>41</v>
      </c>
      <c r="AD41"/>
      <c r="AE41">
        <v>3</v>
      </c>
      <c r="AF41" t="s">
        <v>41</v>
      </c>
      <c r="AG41"/>
      <c r="AH41"/>
      <c r="AI41"/>
      <c r="AJ41"/>
      <c r="AK41">
        <v>361</v>
      </c>
    </row>
    <row r="42" spans="1:37" x14ac:dyDescent="0.2">
      <c r="A42" t="s">
        <v>1996</v>
      </c>
      <c r="B42" t="s">
        <v>2958</v>
      </c>
      <c r="C42">
        <v>28</v>
      </c>
      <c r="D42" t="s">
        <v>1799</v>
      </c>
      <c r="E42" t="s">
        <v>2482</v>
      </c>
      <c r="F42" t="s">
        <v>443</v>
      </c>
      <c r="G42" t="s">
        <v>34</v>
      </c>
      <c r="H42" t="s">
        <v>2147</v>
      </c>
      <c r="I42" t="s">
        <v>2970</v>
      </c>
      <c r="J42"/>
      <c r="K42" t="s">
        <v>884</v>
      </c>
      <c r="L42" t="s">
        <v>922</v>
      </c>
      <c r="M42" t="s">
        <v>886</v>
      </c>
      <c r="N42" t="s">
        <v>494</v>
      </c>
      <c r="O42" t="s">
        <v>557</v>
      </c>
      <c r="P42"/>
      <c r="Q42"/>
      <c r="R42" t="s">
        <v>443</v>
      </c>
      <c r="S42" t="s">
        <v>885</v>
      </c>
      <c r="T42" s="16">
        <v>45236</v>
      </c>
      <c r="U42"/>
      <c r="V42">
        <v>45962.361111111109</v>
      </c>
      <c r="W42" t="s">
        <v>884</v>
      </c>
      <c r="X42" s="16">
        <v>45957.361111111109</v>
      </c>
      <c r="Y42">
        <v>21.4</v>
      </c>
      <c r="Z42"/>
      <c r="AA42" t="s">
        <v>2484</v>
      </c>
      <c r="AB42" t="s">
        <v>2971</v>
      </c>
      <c r="AC42" t="s">
        <v>41</v>
      </c>
      <c r="AD42"/>
      <c r="AE42">
        <v>2</v>
      </c>
      <c r="AF42" t="s">
        <v>41</v>
      </c>
      <c r="AG42"/>
      <c r="AH42"/>
      <c r="AI42"/>
      <c r="AJ42"/>
      <c r="AK42">
        <v>361</v>
      </c>
    </row>
    <row r="43" spans="1:37" x14ac:dyDescent="0.2">
      <c r="A43" t="s">
        <v>1996</v>
      </c>
      <c r="B43" t="s">
        <v>2958</v>
      </c>
      <c r="C43">
        <v>28</v>
      </c>
      <c r="D43" t="s">
        <v>800</v>
      </c>
      <c r="E43" t="s">
        <v>2704</v>
      </c>
      <c r="F43" t="s">
        <v>443</v>
      </c>
      <c r="G43" t="s">
        <v>34</v>
      </c>
      <c r="H43" t="s">
        <v>2972</v>
      </c>
      <c r="I43" t="s">
        <v>1999</v>
      </c>
      <c r="J43" t="s">
        <v>884</v>
      </c>
      <c r="K43" t="s">
        <v>884</v>
      </c>
      <c r="L43" t="s">
        <v>922</v>
      </c>
      <c r="M43" t="s">
        <v>886</v>
      </c>
      <c r="N43" t="s">
        <v>490</v>
      </c>
      <c r="O43" t="s">
        <v>557</v>
      </c>
      <c r="P43"/>
      <c r="Q43">
        <v>941000031684122</v>
      </c>
      <c r="R43" t="s">
        <v>443</v>
      </c>
      <c r="S43" t="s">
        <v>885</v>
      </c>
      <c r="T43" s="16">
        <v>45830</v>
      </c>
      <c r="U43"/>
      <c r="V43" s="16">
        <v>45919.564583333333</v>
      </c>
      <c r="W43" t="s">
        <v>892</v>
      </c>
      <c r="X43" s="16">
        <v>45914.564583333333</v>
      </c>
      <c r="Y43">
        <v>64.2</v>
      </c>
      <c r="Z43"/>
      <c r="AA43" t="s">
        <v>2626</v>
      </c>
      <c r="AB43" t="s">
        <v>2111</v>
      </c>
      <c r="AC43" t="s">
        <v>41</v>
      </c>
      <c r="AD43"/>
      <c r="AE43">
        <v>1</v>
      </c>
      <c r="AF43" t="s">
        <v>41</v>
      </c>
      <c r="AG43"/>
      <c r="AH43"/>
      <c r="AI43"/>
      <c r="AJ43"/>
      <c r="AK43">
        <v>361</v>
      </c>
    </row>
    <row r="44" spans="1:37" x14ac:dyDescent="0.2">
      <c r="A44" t="s">
        <v>1996</v>
      </c>
      <c r="B44" t="s">
        <v>2958</v>
      </c>
      <c r="C44">
        <v>28</v>
      </c>
      <c r="D44" t="s">
        <v>801</v>
      </c>
      <c r="E44" t="s">
        <v>2700</v>
      </c>
      <c r="F44" t="s">
        <v>443</v>
      </c>
      <c r="G44" t="s">
        <v>34</v>
      </c>
      <c r="H44" t="s">
        <v>2972</v>
      </c>
      <c r="I44" t="s">
        <v>2103</v>
      </c>
      <c r="J44" t="s">
        <v>884</v>
      </c>
      <c r="K44" t="s">
        <v>884</v>
      </c>
      <c r="L44" t="s">
        <v>922</v>
      </c>
      <c r="M44" t="s">
        <v>886</v>
      </c>
      <c r="N44" t="s">
        <v>490</v>
      </c>
      <c r="O44" t="s">
        <v>557</v>
      </c>
      <c r="P44"/>
      <c r="Q44">
        <v>941000013747357</v>
      </c>
      <c r="R44" t="s">
        <v>443</v>
      </c>
      <c r="S44" t="s">
        <v>885</v>
      </c>
      <c r="T44" s="16">
        <v>45830</v>
      </c>
      <c r="U44" t="s">
        <v>2013</v>
      </c>
      <c r="V44" s="16">
        <v>45919.564583333333</v>
      </c>
      <c r="W44" t="s">
        <v>892</v>
      </c>
      <c r="X44" s="16">
        <v>45914.564583333333</v>
      </c>
      <c r="Y44">
        <v>64.2</v>
      </c>
      <c r="Z44"/>
      <c r="AA44" t="s">
        <v>2626</v>
      </c>
      <c r="AB44" t="s">
        <v>2024</v>
      </c>
      <c r="AC44" t="s">
        <v>41</v>
      </c>
      <c r="AD44"/>
      <c r="AE44">
        <v>0</v>
      </c>
      <c r="AF44" t="s">
        <v>41</v>
      </c>
      <c r="AG44"/>
      <c r="AH44"/>
      <c r="AI44"/>
      <c r="AJ44"/>
      <c r="AK44">
        <v>361</v>
      </c>
    </row>
    <row r="45" spans="1:37" x14ac:dyDescent="0.2">
      <c r="A45" t="s">
        <v>1996</v>
      </c>
      <c r="B45" t="s">
        <v>2958</v>
      </c>
      <c r="C45">
        <v>28</v>
      </c>
      <c r="D45" t="s">
        <v>1088</v>
      </c>
      <c r="E45" t="s">
        <v>2624</v>
      </c>
      <c r="F45" t="s">
        <v>443</v>
      </c>
      <c r="G45" t="s">
        <v>34</v>
      </c>
      <c r="H45" t="s">
        <v>2011</v>
      </c>
      <c r="I45" t="s">
        <v>2039</v>
      </c>
      <c r="J45" t="s">
        <v>884</v>
      </c>
      <c r="K45" t="s">
        <v>884</v>
      </c>
      <c r="L45" t="s">
        <v>922</v>
      </c>
      <c r="M45" t="s">
        <v>890</v>
      </c>
      <c r="N45" t="s">
        <v>461</v>
      </c>
      <c r="O45" t="s">
        <v>557</v>
      </c>
      <c r="P45"/>
      <c r="Q45">
        <v>941000031684125</v>
      </c>
      <c r="R45" t="s">
        <v>443</v>
      </c>
      <c r="S45" t="s">
        <v>885</v>
      </c>
      <c r="T45" s="16">
        <v>45895</v>
      </c>
      <c r="U45"/>
      <c r="V45" s="16">
        <v>45942.493750000001</v>
      </c>
      <c r="W45" t="s">
        <v>892</v>
      </c>
      <c r="X45" s="16">
        <v>45937.493750000001</v>
      </c>
      <c r="Y45">
        <v>41.3</v>
      </c>
      <c r="Z45"/>
      <c r="AA45" t="s">
        <v>2626</v>
      </c>
      <c r="AB45" t="s">
        <v>2151</v>
      </c>
      <c r="AC45" t="s">
        <v>41</v>
      </c>
      <c r="AD45"/>
      <c r="AE45">
        <v>1</v>
      </c>
      <c r="AF45" t="s">
        <v>41</v>
      </c>
      <c r="AG45"/>
      <c r="AH45"/>
      <c r="AI45"/>
      <c r="AJ45"/>
      <c r="AK45">
        <v>361</v>
      </c>
    </row>
    <row r="46" spans="1:37" x14ac:dyDescent="0.2">
      <c r="A46" t="s">
        <v>1996</v>
      </c>
      <c r="B46" t="s">
        <v>2958</v>
      </c>
      <c r="C46">
        <v>28</v>
      </c>
      <c r="D46" t="s">
        <v>556</v>
      </c>
      <c r="E46" t="s">
        <v>1198</v>
      </c>
      <c r="F46" t="s">
        <v>443</v>
      </c>
      <c r="G46" t="s">
        <v>34</v>
      </c>
      <c r="H46" t="s">
        <v>2973</v>
      </c>
      <c r="I46" t="s">
        <v>903</v>
      </c>
      <c r="J46" t="s">
        <v>884</v>
      </c>
      <c r="K46" t="s">
        <v>884</v>
      </c>
      <c r="L46" t="s">
        <v>887</v>
      </c>
      <c r="M46" t="s">
        <v>890</v>
      </c>
      <c r="N46" t="s">
        <v>461</v>
      </c>
      <c r="O46" t="s">
        <v>557</v>
      </c>
      <c r="P46"/>
      <c r="Q46">
        <v>941000031684276</v>
      </c>
      <c r="R46" t="s">
        <v>443</v>
      </c>
      <c r="S46" t="s">
        <v>885</v>
      </c>
      <c r="T46" s="16">
        <v>45751</v>
      </c>
      <c r="U46" t="s">
        <v>950</v>
      </c>
      <c r="V46" s="16">
        <v>45784.438194444447</v>
      </c>
      <c r="W46" t="s">
        <v>892</v>
      </c>
      <c r="X46" s="16">
        <v>45779.438194444447</v>
      </c>
      <c r="Y46">
        <v>199.3</v>
      </c>
      <c r="Z46"/>
      <c r="AA46" t="s">
        <v>2865</v>
      </c>
      <c r="AB46" t="s">
        <v>2003</v>
      </c>
      <c r="AC46" t="s">
        <v>41</v>
      </c>
      <c r="AD46"/>
      <c r="AE46">
        <v>1</v>
      </c>
      <c r="AF46" t="s">
        <v>41</v>
      </c>
      <c r="AG46"/>
      <c r="AH46"/>
      <c r="AI46"/>
      <c r="AJ46"/>
      <c r="AK46">
        <v>361</v>
      </c>
    </row>
    <row r="47" spans="1:37" x14ac:dyDescent="0.2">
      <c r="A47" t="s">
        <v>1996</v>
      </c>
      <c r="B47" t="s">
        <v>2958</v>
      </c>
      <c r="C47">
        <v>28</v>
      </c>
      <c r="D47" t="s">
        <v>582</v>
      </c>
      <c r="E47" t="s">
        <v>1197</v>
      </c>
      <c r="F47" t="s">
        <v>443</v>
      </c>
      <c r="G47" t="s">
        <v>34</v>
      </c>
      <c r="H47" t="s">
        <v>2069</v>
      </c>
      <c r="I47" t="s">
        <v>964</v>
      </c>
      <c r="J47" t="s">
        <v>884</v>
      </c>
      <c r="K47" t="s">
        <v>884</v>
      </c>
      <c r="L47" t="s">
        <v>922</v>
      </c>
      <c r="M47" t="s">
        <v>890</v>
      </c>
      <c r="N47" t="s">
        <v>461</v>
      </c>
      <c r="O47" t="s">
        <v>557</v>
      </c>
      <c r="P47"/>
      <c r="Q47">
        <v>941000031684057</v>
      </c>
      <c r="R47" t="s">
        <v>443</v>
      </c>
      <c r="S47" t="s">
        <v>885</v>
      </c>
      <c r="T47" s="16">
        <v>45758</v>
      </c>
      <c r="U47" t="s">
        <v>2004</v>
      </c>
      <c r="V47" s="16">
        <v>45793.585416666669</v>
      </c>
      <c r="W47" t="s">
        <v>892</v>
      </c>
      <c r="X47" s="16">
        <v>45788.585416666669</v>
      </c>
      <c r="Y47">
        <v>190.2</v>
      </c>
      <c r="Z47"/>
      <c r="AA47" t="s">
        <v>2865</v>
      </c>
      <c r="AB47" t="s">
        <v>2005</v>
      </c>
      <c r="AC47" t="s">
        <v>41</v>
      </c>
      <c r="AD47"/>
      <c r="AE47">
        <v>1</v>
      </c>
      <c r="AF47" t="s">
        <v>41</v>
      </c>
      <c r="AG47"/>
      <c r="AH47"/>
      <c r="AI47"/>
      <c r="AJ47"/>
      <c r="AK47">
        <v>361</v>
      </c>
    </row>
    <row r="48" spans="1:37" x14ac:dyDescent="0.2">
      <c r="A48" t="s">
        <v>1996</v>
      </c>
      <c r="B48" t="s">
        <v>2958</v>
      </c>
      <c r="C48">
        <v>28</v>
      </c>
      <c r="D48" t="s">
        <v>814</v>
      </c>
      <c r="E48" t="s">
        <v>1912</v>
      </c>
      <c r="F48" t="s">
        <v>443</v>
      </c>
      <c r="G48" t="s">
        <v>34</v>
      </c>
      <c r="H48" t="s">
        <v>2974</v>
      </c>
      <c r="I48" t="s">
        <v>2012</v>
      </c>
      <c r="J48"/>
      <c r="K48" t="s">
        <v>884</v>
      </c>
      <c r="L48" t="s">
        <v>887</v>
      </c>
      <c r="M48" t="s">
        <v>886</v>
      </c>
      <c r="N48" t="s">
        <v>461</v>
      </c>
      <c r="O48" t="s">
        <v>557</v>
      </c>
      <c r="P48"/>
      <c r="Q48">
        <v>941000031684384</v>
      </c>
      <c r="R48" t="s">
        <v>443</v>
      </c>
      <c r="S48" t="s">
        <v>885</v>
      </c>
      <c r="T48" s="16">
        <v>45881</v>
      </c>
      <c r="U48" t="s">
        <v>2013</v>
      </c>
      <c r="V48" s="16">
        <v>45921.339583333334</v>
      </c>
      <c r="W48" t="s">
        <v>892</v>
      </c>
      <c r="X48" s="16">
        <v>45916.339583333334</v>
      </c>
      <c r="Y48">
        <v>62.4</v>
      </c>
      <c r="Z48"/>
      <c r="AA48" t="s">
        <v>561</v>
      </c>
      <c r="AB48" t="s">
        <v>2006</v>
      </c>
      <c r="AC48" t="s">
        <v>41</v>
      </c>
      <c r="AD48"/>
      <c r="AE48">
        <v>2</v>
      </c>
      <c r="AF48" t="s">
        <v>41</v>
      </c>
      <c r="AG48"/>
      <c r="AH48"/>
      <c r="AI48"/>
      <c r="AJ48"/>
      <c r="AK48">
        <v>361</v>
      </c>
    </row>
    <row r="49" spans="1:37" x14ac:dyDescent="0.2">
      <c r="A49" t="s">
        <v>1996</v>
      </c>
      <c r="B49" t="s">
        <v>2958</v>
      </c>
      <c r="C49">
        <v>28</v>
      </c>
      <c r="D49" t="s">
        <v>815</v>
      </c>
      <c r="E49" t="s">
        <v>1911</v>
      </c>
      <c r="F49" t="s">
        <v>443</v>
      </c>
      <c r="G49" t="s">
        <v>548</v>
      </c>
      <c r="H49" t="s">
        <v>2974</v>
      </c>
      <c r="I49" t="s">
        <v>2012</v>
      </c>
      <c r="J49"/>
      <c r="K49" t="s">
        <v>884</v>
      </c>
      <c r="L49" t="s">
        <v>887</v>
      </c>
      <c r="M49" t="s">
        <v>886</v>
      </c>
      <c r="N49" t="s">
        <v>461</v>
      </c>
      <c r="O49" t="s">
        <v>557</v>
      </c>
      <c r="P49"/>
      <c r="Q49">
        <v>941000031684094</v>
      </c>
      <c r="R49" t="s">
        <v>443</v>
      </c>
      <c r="S49" t="s">
        <v>885</v>
      </c>
      <c r="T49" s="16">
        <v>45881</v>
      </c>
      <c r="U49"/>
      <c r="V49" s="16">
        <v>45921.339583333334</v>
      </c>
      <c r="W49" t="s">
        <v>892</v>
      </c>
      <c r="X49" s="16">
        <v>45916.339583333334</v>
      </c>
      <c r="Y49">
        <v>62.4</v>
      </c>
      <c r="Z49"/>
      <c r="AA49" t="s">
        <v>561</v>
      </c>
      <c r="AB49" t="s">
        <v>2014</v>
      </c>
      <c r="AC49" t="s">
        <v>41</v>
      </c>
      <c r="AD49"/>
      <c r="AE49">
        <v>2</v>
      </c>
      <c r="AF49" t="s">
        <v>41</v>
      </c>
      <c r="AG49"/>
      <c r="AH49"/>
      <c r="AI49"/>
      <c r="AJ49"/>
      <c r="AK49">
        <v>361</v>
      </c>
    </row>
    <row r="50" spans="1:37" x14ac:dyDescent="0.2">
      <c r="A50" t="s">
        <v>1996</v>
      </c>
      <c r="B50" t="s">
        <v>2958</v>
      </c>
      <c r="C50">
        <v>28</v>
      </c>
      <c r="D50" t="s">
        <v>816</v>
      </c>
      <c r="E50" t="s">
        <v>1910</v>
      </c>
      <c r="F50" t="s">
        <v>443</v>
      </c>
      <c r="G50" t="s">
        <v>34</v>
      </c>
      <c r="H50" t="s">
        <v>2974</v>
      </c>
      <c r="I50" t="s">
        <v>897</v>
      </c>
      <c r="J50"/>
      <c r="K50" t="s">
        <v>884</v>
      </c>
      <c r="L50" t="s">
        <v>887</v>
      </c>
      <c r="M50" t="s">
        <v>890</v>
      </c>
      <c r="N50" t="s">
        <v>461</v>
      </c>
      <c r="O50" t="s">
        <v>557</v>
      </c>
      <c r="P50"/>
      <c r="Q50">
        <v>941000031684168</v>
      </c>
      <c r="R50" t="s">
        <v>443</v>
      </c>
      <c r="S50" t="s">
        <v>885</v>
      </c>
      <c r="T50" s="16">
        <v>45881</v>
      </c>
      <c r="U50"/>
      <c r="V50" s="16">
        <v>45921.339583333334</v>
      </c>
      <c r="W50" t="s">
        <v>892</v>
      </c>
      <c r="X50" s="16">
        <v>45916.339583333334</v>
      </c>
      <c r="Y50">
        <v>62.4</v>
      </c>
      <c r="Z50"/>
      <c r="AA50" t="s">
        <v>561</v>
      </c>
      <c r="AB50" t="s">
        <v>2014</v>
      </c>
      <c r="AC50" t="s">
        <v>41</v>
      </c>
      <c r="AD50"/>
      <c r="AE50">
        <v>2</v>
      </c>
      <c r="AF50" t="s">
        <v>41</v>
      </c>
      <c r="AG50"/>
      <c r="AH50"/>
      <c r="AI50"/>
      <c r="AJ50"/>
      <c r="AK50">
        <v>361</v>
      </c>
    </row>
    <row r="51" spans="1:37" x14ac:dyDescent="0.2">
      <c r="A51" t="s">
        <v>1996</v>
      </c>
      <c r="B51" t="s">
        <v>2958</v>
      </c>
      <c r="C51">
        <v>28</v>
      </c>
      <c r="D51" t="s">
        <v>817</v>
      </c>
      <c r="E51" t="s">
        <v>1909</v>
      </c>
      <c r="F51" t="s">
        <v>443</v>
      </c>
      <c r="G51" t="s">
        <v>34</v>
      </c>
      <c r="H51" t="s">
        <v>2974</v>
      </c>
      <c r="I51" t="s">
        <v>2015</v>
      </c>
      <c r="J51"/>
      <c r="K51" t="s">
        <v>884</v>
      </c>
      <c r="L51" t="s">
        <v>887</v>
      </c>
      <c r="M51" t="s">
        <v>886</v>
      </c>
      <c r="N51" t="s">
        <v>461</v>
      </c>
      <c r="O51" t="s">
        <v>557</v>
      </c>
      <c r="P51"/>
      <c r="Q51">
        <v>941000031684352</v>
      </c>
      <c r="R51" t="s">
        <v>443</v>
      </c>
      <c r="S51" t="s">
        <v>885</v>
      </c>
      <c r="T51" s="16">
        <v>45881</v>
      </c>
      <c r="U51" t="s">
        <v>2004</v>
      </c>
      <c r="V51" s="16">
        <v>45921.339583333334</v>
      </c>
      <c r="W51" t="s">
        <v>892</v>
      </c>
      <c r="X51" s="16">
        <v>45916.339583333334</v>
      </c>
      <c r="Y51">
        <v>62.4</v>
      </c>
      <c r="Z51"/>
      <c r="AA51" t="s">
        <v>561</v>
      </c>
      <c r="AB51" t="s">
        <v>2016</v>
      </c>
      <c r="AC51" t="s">
        <v>41</v>
      </c>
      <c r="AD51"/>
      <c r="AE51">
        <v>2</v>
      </c>
      <c r="AF51" t="s">
        <v>41</v>
      </c>
      <c r="AG51"/>
      <c r="AH51"/>
      <c r="AI51"/>
      <c r="AJ51"/>
      <c r="AK51">
        <v>361</v>
      </c>
    </row>
    <row r="52" spans="1:37" x14ac:dyDescent="0.2">
      <c r="A52" t="s">
        <v>1996</v>
      </c>
      <c r="B52" t="s">
        <v>2958</v>
      </c>
      <c r="C52">
        <v>28</v>
      </c>
      <c r="D52" t="s">
        <v>220</v>
      </c>
      <c r="E52" t="s">
        <v>221</v>
      </c>
      <c r="F52" t="s">
        <v>443</v>
      </c>
      <c r="G52" t="s">
        <v>34</v>
      </c>
      <c r="H52" t="s">
        <v>2975</v>
      </c>
      <c r="I52" t="s">
        <v>897</v>
      </c>
      <c r="J52" t="s">
        <v>884</v>
      </c>
      <c r="K52" t="s">
        <v>884</v>
      </c>
      <c r="L52" t="s">
        <v>922</v>
      </c>
      <c r="M52" t="s">
        <v>890</v>
      </c>
      <c r="N52" t="s">
        <v>461</v>
      </c>
      <c r="O52" t="s">
        <v>557</v>
      </c>
      <c r="P52"/>
      <c r="Q52">
        <v>941000031683613</v>
      </c>
      <c r="R52" t="s">
        <v>443</v>
      </c>
      <c r="S52" t="s">
        <v>885</v>
      </c>
      <c r="T52" s="16">
        <v>45761</v>
      </c>
      <c r="U52" t="s">
        <v>2004</v>
      </c>
      <c r="V52" s="16">
        <v>45787.509027777778</v>
      </c>
      <c r="W52" t="s">
        <v>892</v>
      </c>
      <c r="X52" s="16">
        <v>45782.509027777778</v>
      </c>
      <c r="Y52">
        <v>196.3</v>
      </c>
      <c r="Z52"/>
      <c r="AA52" t="s">
        <v>2879</v>
      </c>
      <c r="AB52"/>
      <c r="AC52" t="s">
        <v>41</v>
      </c>
      <c r="AD52"/>
      <c r="AE52">
        <v>2</v>
      </c>
      <c r="AF52" t="s">
        <v>41</v>
      </c>
      <c r="AG52"/>
      <c r="AH52"/>
      <c r="AI52"/>
      <c r="AJ52"/>
      <c r="AK52">
        <v>361</v>
      </c>
    </row>
    <row r="53" spans="1:37" x14ac:dyDescent="0.2">
      <c r="A53" t="s">
        <v>2025</v>
      </c>
      <c r="B53" t="s">
        <v>2976</v>
      </c>
      <c r="C53">
        <v>18</v>
      </c>
      <c r="D53" t="s">
        <v>1108</v>
      </c>
      <c r="E53" t="s">
        <v>1874</v>
      </c>
      <c r="F53" t="s">
        <v>443</v>
      </c>
      <c r="G53" t="s">
        <v>34</v>
      </c>
      <c r="H53" t="s">
        <v>2977</v>
      </c>
      <c r="I53" t="s">
        <v>2027</v>
      </c>
      <c r="J53"/>
      <c r="K53" t="s">
        <v>884</v>
      </c>
      <c r="L53" t="s">
        <v>922</v>
      </c>
      <c r="M53" t="s">
        <v>886</v>
      </c>
      <c r="N53" t="s">
        <v>749</v>
      </c>
      <c r="O53" t="s">
        <v>600</v>
      </c>
      <c r="P53"/>
      <c r="Q53"/>
      <c r="R53" t="s">
        <v>443</v>
      </c>
      <c r="S53" t="s">
        <v>885</v>
      </c>
      <c r="T53" s="16">
        <v>45896</v>
      </c>
      <c r="U53" t="s">
        <v>2028</v>
      </c>
      <c r="V53" s="16">
        <v>45952.51666666667</v>
      </c>
      <c r="W53" t="s">
        <v>884</v>
      </c>
      <c r="X53" s="16">
        <v>45947.51666666667</v>
      </c>
      <c r="Y53">
        <v>31.3</v>
      </c>
      <c r="Z53"/>
      <c r="AA53">
        <v>1</v>
      </c>
      <c r="AB53" t="s">
        <v>2029</v>
      </c>
      <c r="AC53" t="s">
        <v>41</v>
      </c>
      <c r="AD53"/>
      <c r="AE53">
        <v>1</v>
      </c>
      <c r="AF53" t="s">
        <v>41</v>
      </c>
      <c r="AG53"/>
      <c r="AH53"/>
      <c r="AI53"/>
      <c r="AJ53"/>
      <c r="AK53">
        <v>361</v>
      </c>
    </row>
    <row r="54" spans="1:37" x14ac:dyDescent="0.2">
      <c r="A54" t="s">
        <v>2025</v>
      </c>
      <c r="B54" t="s">
        <v>2976</v>
      </c>
      <c r="C54">
        <v>18</v>
      </c>
      <c r="D54" t="s">
        <v>1110</v>
      </c>
      <c r="E54" t="s">
        <v>1876</v>
      </c>
      <c r="F54" t="s">
        <v>443</v>
      </c>
      <c r="G54" t="s">
        <v>34</v>
      </c>
      <c r="H54" t="s">
        <v>2574</v>
      </c>
      <c r="I54" t="s">
        <v>2030</v>
      </c>
      <c r="J54" t="s">
        <v>884</v>
      </c>
      <c r="K54" t="s">
        <v>884</v>
      </c>
      <c r="L54" t="s">
        <v>887</v>
      </c>
      <c r="M54" t="s">
        <v>890</v>
      </c>
      <c r="N54" t="s">
        <v>494</v>
      </c>
      <c r="O54" t="s">
        <v>600</v>
      </c>
      <c r="P54"/>
      <c r="Q54"/>
      <c r="R54" t="s">
        <v>443</v>
      </c>
      <c r="S54" t="s">
        <v>885</v>
      </c>
      <c r="T54" s="16">
        <v>45582</v>
      </c>
      <c r="U54" t="s">
        <v>950</v>
      </c>
      <c r="V54" s="16">
        <v>45952.341666666667</v>
      </c>
      <c r="W54" t="s">
        <v>884</v>
      </c>
      <c r="X54" s="16">
        <v>45947.341666666667</v>
      </c>
      <c r="Y54">
        <v>31.4</v>
      </c>
      <c r="Z54"/>
      <c r="AA54">
        <v>10</v>
      </c>
      <c r="AB54" t="s">
        <v>2031</v>
      </c>
      <c r="AC54" t="s">
        <v>41</v>
      </c>
      <c r="AD54"/>
      <c r="AE54">
        <v>1</v>
      </c>
      <c r="AF54" t="s">
        <v>41</v>
      </c>
      <c r="AG54"/>
      <c r="AH54"/>
      <c r="AI54"/>
      <c r="AJ54"/>
      <c r="AK54">
        <v>361</v>
      </c>
    </row>
    <row r="55" spans="1:37" x14ac:dyDescent="0.2">
      <c r="A55" t="s">
        <v>2025</v>
      </c>
      <c r="B55" t="s">
        <v>2976</v>
      </c>
      <c r="C55">
        <v>18</v>
      </c>
      <c r="D55" t="s">
        <v>1798</v>
      </c>
      <c r="E55" t="s">
        <v>2480</v>
      </c>
      <c r="F55" t="s">
        <v>443</v>
      </c>
      <c r="G55" t="s">
        <v>34</v>
      </c>
      <c r="H55" t="s">
        <v>2088</v>
      </c>
      <c r="I55" t="s">
        <v>897</v>
      </c>
      <c r="J55" t="s">
        <v>884</v>
      </c>
      <c r="K55" t="s">
        <v>884</v>
      </c>
      <c r="L55" t="s">
        <v>887</v>
      </c>
      <c r="M55" t="s">
        <v>890</v>
      </c>
      <c r="N55" t="s">
        <v>731</v>
      </c>
      <c r="O55" t="s">
        <v>600</v>
      </c>
      <c r="P55"/>
      <c r="Q55"/>
      <c r="R55" t="s">
        <v>443</v>
      </c>
      <c r="S55" t="s">
        <v>885</v>
      </c>
      <c r="T55" s="16">
        <v>45909</v>
      </c>
      <c r="U55"/>
      <c r="V55" s="16">
        <v>45965.362500000003</v>
      </c>
      <c r="W55" t="s">
        <v>884</v>
      </c>
      <c r="X55" s="16">
        <v>45960.404166666667</v>
      </c>
      <c r="Y55">
        <v>18.399999999999999</v>
      </c>
      <c r="Z55"/>
      <c r="AA55">
        <v>11</v>
      </c>
      <c r="AB55" t="s">
        <v>2008</v>
      </c>
      <c r="AC55" t="s">
        <v>41</v>
      </c>
      <c r="AD55"/>
      <c r="AE55">
        <v>2</v>
      </c>
      <c r="AF55" t="s">
        <v>41</v>
      </c>
      <c r="AG55"/>
      <c r="AH55"/>
      <c r="AI55"/>
      <c r="AJ55"/>
      <c r="AK55">
        <v>361</v>
      </c>
    </row>
    <row r="56" spans="1:37" x14ac:dyDescent="0.2">
      <c r="A56" t="s">
        <v>2025</v>
      </c>
      <c r="B56" t="s">
        <v>2976</v>
      </c>
      <c r="C56">
        <v>18</v>
      </c>
      <c r="D56" t="s">
        <v>1797</v>
      </c>
      <c r="E56" t="s">
        <v>2478</v>
      </c>
      <c r="F56" t="s">
        <v>443</v>
      </c>
      <c r="G56" t="s">
        <v>34</v>
      </c>
      <c r="H56" t="s">
        <v>2088</v>
      </c>
      <c r="I56" t="s">
        <v>903</v>
      </c>
      <c r="J56" t="s">
        <v>884</v>
      </c>
      <c r="K56" t="s">
        <v>884</v>
      </c>
      <c r="L56" t="s">
        <v>887</v>
      </c>
      <c r="M56" t="s">
        <v>890</v>
      </c>
      <c r="N56" t="s">
        <v>731</v>
      </c>
      <c r="O56" t="s">
        <v>600</v>
      </c>
      <c r="P56"/>
      <c r="Q56"/>
      <c r="R56" t="s">
        <v>443</v>
      </c>
      <c r="S56" t="s">
        <v>885</v>
      </c>
      <c r="T56" s="16">
        <v>45909</v>
      </c>
      <c r="U56"/>
      <c r="V56" s="16">
        <v>45965.362500000003</v>
      </c>
      <c r="W56" t="s">
        <v>884</v>
      </c>
      <c r="X56" s="16">
        <v>45960.404166666667</v>
      </c>
      <c r="Y56">
        <v>18.399999999999999</v>
      </c>
      <c r="Z56"/>
      <c r="AA56">
        <v>11</v>
      </c>
      <c r="AB56" t="s">
        <v>2094</v>
      </c>
      <c r="AC56" t="s">
        <v>41</v>
      </c>
      <c r="AD56"/>
      <c r="AE56">
        <v>2</v>
      </c>
      <c r="AF56" t="s">
        <v>41</v>
      </c>
      <c r="AG56"/>
      <c r="AH56"/>
      <c r="AI56"/>
      <c r="AJ56"/>
      <c r="AK56">
        <v>361</v>
      </c>
    </row>
    <row r="57" spans="1:37" x14ac:dyDescent="0.2">
      <c r="A57" t="s">
        <v>2025</v>
      </c>
      <c r="B57" t="s">
        <v>2976</v>
      </c>
      <c r="C57">
        <v>18</v>
      </c>
      <c r="D57" t="s">
        <v>1796</v>
      </c>
      <c r="E57" t="s">
        <v>2476</v>
      </c>
      <c r="F57" t="s">
        <v>443</v>
      </c>
      <c r="G57" t="s">
        <v>34</v>
      </c>
      <c r="H57" t="s">
        <v>2088</v>
      </c>
      <c r="I57" t="s">
        <v>903</v>
      </c>
      <c r="J57" t="s">
        <v>884</v>
      </c>
      <c r="K57" t="s">
        <v>884</v>
      </c>
      <c r="L57" t="s">
        <v>887</v>
      </c>
      <c r="M57" t="s">
        <v>890</v>
      </c>
      <c r="N57" t="s">
        <v>731</v>
      </c>
      <c r="O57" t="s">
        <v>600</v>
      </c>
      <c r="P57"/>
      <c r="Q57"/>
      <c r="R57" t="s">
        <v>443</v>
      </c>
      <c r="S57" t="s">
        <v>885</v>
      </c>
      <c r="T57" s="16">
        <v>45909</v>
      </c>
      <c r="U57"/>
      <c r="V57" s="16">
        <v>45965.362500000003</v>
      </c>
      <c r="W57" t="s">
        <v>884</v>
      </c>
      <c r="X57" s="16">
        <v>45960.404166666667</v>
      </c>
      <c r="Y57">
        <v>18.399999999999999</v>
      </c>
      <c r="Z57"/>
      <c r="AA57">
        <v>11</v>
      </c>
      <c r="AB57" t="s">
        <v>2087</v>
      </c>
      <c r="AC57" t="s">
        <v>41</v>
      </c>
      <c r="AD57"/>
      <c r="AE57">
        <v>2</v>
      </c>
      <c r="AF57" t="s">
        <v>41</v>
      </c>
      <c r="AG57"/>
      <c r="AH57"/>
      <c r="AI57"/>
      <c r="AJ57"/>
      <c r="AK57">
        <v>361</v>
      </c>
    </row>
    <row r="58" spans="1:37" x14ac:dyDescent="0.2">
      <c r="A58" t="s">
        <v>2025</v>
      </c>
      <c r="B58" t="s">
        <v>2976</v>
      </c>
      <c r="C58">
        <v>18</v>
      </c>
      <c r="D58" t="s">
        <v>1795</v>
      </c>
      <c r="E58" t="s">
        <v>2474</v>
      </c>
      <c r="F58" t="s">
        <v>443</v>
      </c>
      <c r="G58" t="s">
        <v>34</v>
      </c>
      <c r="H58" t="s">
        <v>2088</v>
      </c>
      <c r="I58" t="s">
        <v>2030</v>
      </c>
      <c r="J58" t="s">
        <v>884</v>
      </c>
      <c r="K58" t="s">
        <v>884</v>
      </c>
      <c r="L58" t="s">
        <v>887</v>
      </c>
      <c r="M58" t="s">
        <v>886</v>
      </c>
      <c r="N58" t="s">
        <v>731</v>
      </c>
      <c r="O58" t="s">
        <v>600</v>
      </c>
      <c r="P58"/>
      <c r="Q58"/>
      <c r="R58" t="s">
        <v>443</v>
      </c>
      <c r="S58" t="s">
        <v>885</v>
      </c>
      <c r="T58" s="16">
        <v>45909</v>
      </c>
      <c r="U58"/>
      <c r="V58" s="16">
        <v>45965.362500000003</v>
      </c>
      <c r="W58" t="s">
        <v>884</v>
      </c>
      <c r="X58" s="16">
        <v>45960.404166666667</v>
      </c>
      <c r="Y58">
        <v>18.399999999999999</v>
      </c>
      <c r="Z58"/>
      <c r="AA58">
        <v>11</v>
      </c>
      <c r="AB58" t="s">
        <v>2978</v>
      </c>
      <c r="AC58" t="s">
        <v>41</v>
      </c>
      <c r="AD58"/>
      <c r="AE58">
        <v>2</v>
      </c>
      <c r="AF58" t="s">
        <v>41</v>
      </c>
      <c r="AG58"/>
      <c r="AH58"/>
      <c r="AI58"/>
      <c r="AJ58"/>
      <c r="AK58">
        <v>361</v>
      </c>
    </row>
    <row r="59" spans="1:37" x14ac:dyDescent="0.2">
      <c r="A59" t="s">
        <v>2025</v>
      </c>
      <c r="B59" t="s">
        <v>2976</v>
      </c>
      <c r="C59">
        <v>18</v>
      </c>
      <c r="D59" t="s">
        <v>830</v>
      </c>
      <c r="E59" t="s">
        <v>1904</v>
      </c>
      <c r="F59" t="s">
        <v>443</v>
      </c>
      <c r="G59" t="s">
        <v>34</v>
      </c>
      <c r="H59" t="s">
        <v>2979</v>
      </c>
      <c r="I59" t="s">
        <v>2030</v>
      </c>
      <c r="J59"/>
      <c r="K59" t="s">
        <v>884</v>
      </c>
      <c r="L59" t="s">
        <v>887</v>
      </c>
      <c r="M59" t="s">
        <v>886</v>
      </c>
      <c r="N59" t="s">
        <v>494</v>
      </c>
      <c r="O59" t="s">
        <v>600</v>
      </c>
      <c r="P59"/>
      <c r="Q59"/>
      <c r="R59" t="s">
        <v>443</v>
      </c>
      <c r="S59" t="s">
        <v>885</v>
      </c>
      <c r="T59" s="16">
        <v>45869</v>
      </c>
      <c r="U59"/>
      <c r="V59" s="16">
        <v>45925.372916666667</v>
      </c>
      <c r="W59" t="s">
        <v>884</v>
      </c>
      <c r="X59" s="16">
        <v>45920.372916666667</v>
      </c>
      <c r="Y59">
        <v>58.4</v>
      </c>
      <c r="Z59"/>
      <c r="AA59">
        <v>12</v>
      </c>
      <c r="AB59" t="s">
        <v>2029</v>
      </c>
      <c r="AC59" t="s">
        <v>41</v>
      </c>
      <c r="AD59"/>
      <c r="AE59">
        <v>2</v>
      </c>
      <c r="AF59" t="s">
        <v>41</v>
      </c>
      <c r="AG59"/>
      <c r="AH59"/>
      <c r="AI59"/>
      <c r="AJ59"/>
      <c r="AK59">
        <v>361</v>
      </c>
    </row>
    <row r="60" spans="1:37" x14ac:dyDescent="0.2">
      <c r="A60" t="s">
        <v>2025</v>
      </c>
      <c r="B60" t="s">
        <v>2976</v>
      </c>
      <c r="C60">
        <v>18</v>
      </c>
      <c r="D60" t="s">
        <v>1833</v>
      </c>
      <c r="E60" t="s">
        <v>1834</v>
      </c>
      <c r="F60" t="s">
        <v>443</v>
      </c>
      <c r="G60" t="s">
        <v>34</v>
      </c>
      <c r="H60" t="s">
        <v>2980</v>
      </c>
      <c r="I60" t="s">
        <v>894</v>
      </c>
      <c r="J60"/>
      <c r="K60" t="s">
        <v>884</v>
      </c>
      <c r="L60" t="s">
        <v>939</v>
      </c>
      <c r="M60" t="s">
        <v>886</v>
      </c>
      <c r="N60" t="s">
        <v>852</v>
      </c>
      <c r="O60" t="s">
        <v>600</v>
      </c>
      <c r="P60"/>
      <c r="Q60">
        <v>982126056167259</v>
      </c>
      <c r="R60" t="s">
        <v>443</v>
      </c>
      <c r="S60" t="s">
        <v>885</v>
      </c>
      <c r="T60" s="16">
        <v>44492</v>
      </c>
      <c r="U60"/>
      <c r="V60" s="16">
        <v>45957.508333333331</v>
      </c>
      <c r="W60" t="s">
        <v>884</v>
      </c>
      <c r="X60" s="16">
        <v>45952.508333333331</v>
      </c>
      <c r="Y60">
        <v>26.3</v>
      </c>
      <c r="Z60"/>
      <c r="AA60">
        <v>13</v>
      </c>
      <c r="AB60" t="s">
        <v>2033</v>
      </c>
      <c r="AC60" t="s">
        <v>41</v>
      </c>
      <c r="AD60"/>
      <c r="AE60">
        <v>1</v>
      </c>
      <c r="AF60" t="s">
        <v>41</v>
      </c>
      <c r="AG60"/>
      <c r="AH60"/>
      <c r="AI60"/>
      <c r="AJ60"/>
      <c r="AK60">
        <v>361</v>
      </c>
    </row>
    <row r="61" spans="1:37" x14ac:dyDescent="0.2">
      <c r="A61" t="s">
        <v>2025</v>
      </c>
      <c r="B61" t="s">
        <v>2976</v>
      </c>
      <c r="C61">
        <v>18</v>
      </c>
      <c r="D61" t="s">
        <v>1863</v>
      </c>
      <c r="E61" t="s">
        <v>1864</v>
      </c>
      <c r="F61" t="s">
        <v>443</v>
      </c>
      <c r="G61" t="s">
        <v>34</v>
      </c>
      <c r="H61" t="s">
        <v>2981</v>
      </c>
      <c r="I61" t="s">
        <v>894</v>
      </c>
      <c r="J61"/>
      <c r="K61" t="s">
        <v>884</v>
      </c>
      <c r="L61" t="s">
        <v>922</v>
      </c>
      <c r="M61" t="s">
        <v>886</v>
      </c>
      <c r="N61" t="s">
        <v>749</v>
      </c>
      <c r="O61" t="s">
        <v>600</v>
      </c>
      <c r="P61"/>
      <c r="Q61"/>
      <c r="R61" t="s">
        <v>443</v>
      </c>
      <c r="S61" t="s">
        <v>885</v>
      </c>
      <c r="T61" s="16">
        <v>45710</v>
      </c>
      <c r="U61" t="s">
        <v>2004</v>
      </c>
      <c r="V61" s="16">
        <v>45955.637499999997</v>
      </c>
      <c r="W61" t="s">
        <v>884</v>
      </c>
      <c r="X61" s="16">
        <v>45950.637499999997</v>
      </c>
      <c r="Y61">
        <v>28.1</v>
      </c>
      <c r="Z61"/>
      <c r="AA61">
        <v>14</v>
      </c>
      <c r="AB61" t="s">
        <v>2034</v>
      </c>
      <c r="AC61" t="s">
        <v>41</v>
      </c>
      <c r="AD61"/>
      <c r="AE61">
        <v>1</v>
      </c>
      <c r="AF61" t="s">
        <v>41</v>
      </c>
      <c r="AG61"/>
      <c r="AH61"/>
      <c r="AI61"/>
      <c r="AJ61"/>
      <c r="AK61">
        <v>361</v>
      </c>
    </row>
    <row r="62" spans="1:37" x14ac:dyDescent="0.2">
      <c r="A62" t="s">
        <v>2025</v>
      </c>
      <c r="B62" t="s">
        <v>2976</v>
      </c>
      <c r="C62">
        <v>18</v>
      </c>
      <c r="D62" t="s">
        <v>657</v>
      </c>
      <c r="E62" t="s">
        <v>656</v>
      </c>
      <c r="F62" t="s">
        <v>443</v>
      </c>
      <c r="G62" t="s">
        <v>34</v>
      </c>
      <c r="H62" t="s">
        <v>2808</v>
      </c>
      <c r="I62" t="s">
        <v>1999</v>
      </c>
      <c r="J62"/>
      <c r="K62" t="s">
        <v>884</v>
      </c>
      <c r="L62" t="s">
        <v>887</v>
      </c>
      <c r="M62" t="s">
        <v>890</v>
      </c>
      <c r="N62" t="s">
        <v>499</v>
      </c>
      <c r="O62" t="s">
        <v>600</v>
      </c>
      <c r="P62"/>
      <c r="Q62"/>
      <c r="R62" t="s">
        <v>443</v>
      </c>
      <c r="S62" t="s">
        <v>885</v>
      </c>
      <c r="T62" s="16">
        <v>44046</v>
      </c>
      <c r="U62"/>
      <c r="V62" s="16">
        <v>45837.607638888891</v>
      </c>
      <c r="W62" t="s">
        <v>892</v>
      </c>
      <c r="X62" s="16">
        <v>45832.607638888891</v>
      </c>
      <c r="Y62">
        <v>146.19999999999999</v>
      </c>
      <c r="Z62"/>
      <c r="AA62">
        <v>2</v>
      </c>
      <c r="AB62" t="s">
        <v>2035</v>
      </c>
      <c r="AC62" t="s">
        <v>41</v>
      </c>
      <c r="AD62"/>
      <c r="AE62">
        <v>1</v>
      </c>
      <c r="AF62" t="s">
        <v>41</v>
      </c>
      <c r="AG62"/>
      <c r="AH62"/>
      <c r="AI62"/>
      <c r="AJ62"/>
      <c r="AK62">
        <v>361</v>
      </c>
    </row>
    <row r="63" spans="1:37" x14ac:dyDescent="0.2">
      <c r="A63" t="s">
        <v>2025</v>
      </c>
      <c r="B63" t="s">
        <v>2976</v>
      </c>
      <c r="C63">
        <v>18</v>
      </c>
      <c r="D63" t="s">
        <v>1129</v>
      </c>
      <c r="E63" t="s">
        <v>1130</v>
      </c>
      <c r="F63" t="s">
        <v>443</v>
      </c>
      <c r="G63" t="s">
        <v>34</v>
      </c>
      <c r="H63" t="s">
        <v>2596</v>
      </c>
      <c r="I63" t="s">
        <v>2027</v>
      </c>
      <c r="J63"/>
      <c r="K63" t="s">
        <v>884</v>
      </c>
      <c r="L63" t="s">
        <v>922</v>
      </c>
      <c r="M63" t="s">
        <v>886</v>
      </c>
      <c r="N63" t="s">
        <v>749</v>
      </c>
      <c r="O63" t="s">
        <v>600</v>
      </c>
      <c r="P63"/>
      <c r="Q63"/>
      <c r="R63" t="s">
        <v>443</v>
      </c>
      <c r="S63" t="s">
        <v>885</v>
      </c>
      <c r="T63" s="16">
        <v>45209</v>
      </c>
      <c r="U63"/>
      <c r="V63" s="16">
        <v>45945.625</v>
      </c>
      <c r="W63" t="s">
        <v>884</v>
      </c>
      <c r="X63" s="16">
        <v>45940.625</v>
      </c>
      <c r="Y63">
        <v>38.1</v>
      </c>
      <c r="Z63"/>
      <c r="AA63">
        <v>3</v>
      </c>
      <c r="AB63" t="s">
        <v>2036</v>
      </c>
      <c r="AC63" t="s">
        <v>41</v>
      </c>
      <c r="AD63"/>
      <c r="AE63">
        <v>1</v>
      </c>
      <c r="AF63" t="s">
        <v>41</v>
      </c>
      <c r="AG63"/>
      <c r="AH63"/>
      <c r="AI63"/>
      <c r="AJ63"/>
      <c r="AK63">
        <v>361</v>
      </c>
    </row>
    <row r="64" spans="1:37" x14ac:dyDescent="0.2">
      <c r="A64" t="s">
        <v>2025</v>
      </c>
      <c r="B64" t="s">
        <v>2976</v>
      </c>
      <c r="C64">
        <v>18</v>
      </c>
      <c r="D64" t="s">
        <v>1124</v>
      </c>
      <c r="E64" t="s">
        <v>404</v>
      </c>
      <c r="F64" t="s">
        <v>443</v>
      </c>
      <c r="G64" t="s">
        <v>34</v>
      </c>
      <c r="H64" t="s">
        <v>2108</v>
      </c>
      <c r="I64" t="s">
        <v>897</v>
      </c>
      <c r="J64" t="s">
        <v>884</v>
      </c>
      <c r="K64" t="s">
        <v>884</v>
      </c>
      <c r="L64" t="s">
        <v>922</v>
      </c>
      <c r="M64" t="s">
        <v>911</v>
      </c>
      <c r="N64" t="s">
        <v>494</v>
      </c>
      <c r="O64" t="s">
        <v>600</v>
      </c>
      <c r="P64"/>
      <c r="Q64"/>
      <c r="R64" t="s">
        <v>443</v>
      </c>
      <c r="S64" t="s">
        <v>885</v>
      </c>
      <c r="T64" s="16">
        <v>45908</v>
      </c>
      <c r="U64"/>
      <c r="V64" s="16">
        <v>45948.543055555558</v>
      </c>
      <c r="W64" t="s">
        <v>884</v>
      </c>
      <c r="X64" s="16">
        <v>45943.543055555558</v>
      </c>
      <c r="Y64">
        <v>35.200000000000003</v>
      </c>
      <c r="Z64"/>
      <c r="AA64">
        <v>4</v>
      </c>
      <c r="AB64" t="s">
        <v>2037</v>
      </c>
      <c r="AC64" t="s">
        <v>41</v>
      </c>
      <c r="AD64"/>
      <c r="AE64">
        <v>1</v>
      </c>
      <c r="AF64" t="s">
        <v>41</v>
      </c>
      <c r="AG64"/>
      <c r="AH64"/>
      <c r="AI64"/>
      <c r="AJ64"/>
      <c r="AK64">
        <v>361</v>
      </c>
    </row>
    <row r="65" spans="1:37" x14ac:dyDescent="0.2">
      <c r="A65" t="s">
        <v>2025</v>
      </c>
      <c r="B65" t="s">
        <v>2976</v>
      </c>
      <c r="C65">
        <v>18</v>
      </c>
      <c r="D65" t="s">
        <v>1116</v>
      </c>
      <c r="E65" t="s">
        <v>1117</v>
      </c>
      <c r="F65" t="s">
        <v>443</v>
      </c>
      <c r="G65" t="s">
        <v>34</v>
      </c>
      <c r="H65" t="s">
        <v>2581</v>
      </c>
      <c r="I65" t="s">
        <v>910</v>
      </c>
      <c r="J65" t="s">
        <v>884</v>
      </c>
      <c r="K65" t="s">
        <v>911</v>
      </c>
      <c r="L65" t="s">
        <v>922</v>
      </c>
      <c r="M65" t="s">
        <v>886</v>
      </c>
      <c r="N65" t="s">
        <v>749</v>
      </c>
      <c r="O65" t="s">
        <v>600</v>
      </c>
      <c r="P65"/>
      <c r="Q65"/>
      <c r="R65" t="s">
        <v>443</v>
      </c>
      <c r="S65" t="s">
        <v>885</v>
      </c>
      <c r="T65" s="16">
        <v>44486</v>
      </c>
      <c r="U65"/>
      <c r="V65" s="16">
        <v>45950.584027777775</v>
      </c>
      <c r="W65" t="s">
        <v>911</v>
      </c>
      <c r="X65" s="16">
        <v>45945.584027777775</v>
      </c>
      <c r="Y65">
        <v>33.200000000000003</v>
      </c>
      <c r="Z65"/>
      <c r="AA65">
        <v>5</v>
      </c>
      <c r="AB65" t="s">
        <v>2038</v>
      </c>
      <c r="AC65" t="s">
        <v>41</v>
      </c>
      <c r="AD65"/>
      <c r="AE65">
        <v>1</v>
      </c>
      <c r="AF65" t="s">
        <v>41</v>
      </c>
      <c r="AG65"/>
      <c r="AH65"/>
      <c r="AI65"/>
      <c r="AJ65"/>
      <c r="AK65">
        <v>361</v>
      </c>
    </row>
    <row r="66" spans="1:37" x14ac:dyDescent="0.2">
      <c r="A66" t="s">
        <v>2025</v>
      </c>
      <c r="B66" t="s">
        <v>2976</v>
      </c>
      <c r="C66">
        <v>18</v>
      </c>
      <c r="D66" t="s">
        <v>1449</v>
      </c>
      <c r="E66" t="s">
        <v>1871</v>
      </c>
      <c r="F66" t="s">
        <v>443</v>
      </c>
      <c r="G66" t="s">
        <v>34</v>
      </c>
      <c r="H66" t="s">
        <v>1995</v>
      </c>
      <c r="I66" t="s">
        <v>2039</v>
      </c>
      <c r="J66"/>
      <c r="K66" t="s">
        <v>884</v>
      </c>
      <c r="L66" t="s">
        <v>922</v>
      </c>
      <c r="M66" t="s">
        <v>890</v>
      </c>
      <c r="N66" t="s">
        <v>749</v>
      </c>
      <c r="O66" t="s">
        <v>600</v>
      </c>
      <c r="P66"/>
      <c r="Q66"/>
      <c r="R66" t="s">
        <v>443</v>
      </c>
      <c r="S66" t="s">
        <v>885</v>
      </c>
      <c r="T66" s="16">
        <v>45221</v>
      </c>
      <c r="U66"/>
      <c r="V66" s="16">
        <v>45955.487500000003</v>
      </c>
      <c r="W66" t="s">
        <v>884</v>
      </c>
      <c r="X66" s="16">
        <v>45950.487500000003</v>
      </c>
      <c r="Y66">
        <v>28.3</v>
      </c>
      <c r="Z66"/>
      <c r="AA66">
        <v>6</v>
      </c>
      <c r="AB66" t="s">
        <v>2034</v>
      </c>
      <c r="AC66" t="s">
        <v>41</v>
      </c>
      <c r="AD66"/>
      <c r="AE66">
        <v>1</v>
      </c>
      <c r="AF66" t="s">
        <v>41</v>
      </c>
      <c r="AG66"/>
      <c r="AH66"/>
      <c r="AI66"/>
      <c r="AJ66"/>
      <c r="AK66">
        <v>361</v>
      </c>
    </row>
    <row r="67" spans="1:37" x14ac:dyDescent="0.2">
      <c r="A67" t="s">
        <v>2025</v>
      </c>
      <c r="B67" t="s">
        <v>2976</v>
      </c>
      <c r="C67">
        <v>18</v>
      </c>
      <c r="D67" t="s">
        <v>1120</v>
      </c>
      <c r="E67" t="s">
        <v>1880</v>
      </c>
      <c r="F67" t="s">
        <v>443</v>
      </c>
      <c r="G67" t="s">
        <v>34</v>
      </c>
      <c r="H67" t="s">
        <v>2982</v>
      </c>
      <c r="I67" t="s">
        <v>897</v>
      </c>
      <c r="J67"/>
      <c r="K67" t="s">
        <v>884</v>
      </c>
      <c r="L67" t="s">
        <v>922</v>
      </c>
      <c r="M67" t="s">
        <v>890</v>
      </c>
      <c r="N67" t="s">
        <v>494</v>
      </c>
      <c r="O67" t="s">
        <v>600</v>
      </c>
      <c r="P67"/>
      <c r="Q67"/>
      <c r="R67" t="s">
        <v>443</v>
      </c>
      <c r="S67" t="s">
        <v>885</v>
      </c>
      <c r="T67" s="16">
        <v>45800</v>
      </c>
      <c r="U67"/>
      <c r="V67" s="16">
        <v>45950.48333333333</v>
      </c>
      <c r="W67" t="s">
        <v>884</v>
      </c>
      <c r="X67" s="16">
        <v>45945.48333333333</v>
      </c>
      <c r="Y67">
        <v>33.299999999999997</v>
      </c>
      <c r="Z67"/>
      <c r="AA67">
        <v>7</v>
      </c>
      <c r="AB67" t="s">
        <v>2041</v>
      </c>
      <c r="AC67" t="s">
        <v>41</v>
      </c>
      <c r="AD67"/>
      <c r="AE67">
        <v>1</v>
      </c>
      <c r="AF67" t="s">
        <v>41</v>
      </c>
      <c r="AG67"/>
      <c r="AH67"/>
      <c r="AI67"/>
      <c r="AJ67"/>
      <c r="AK67">
        <v>361</v>
      </c>
    </row>
    <row r="68" spans="1:37" x14ac:dyDescent="0.2">
      <c r="A68" t="s">
        <v>2025</v>
      </c>
      <c r="B68" t="s">
        <v>2976</v>
      </c>
      <c r="C68">
        <v>18</v>
      </c>
      <c r="D68" t="s">
        <v>1854</v>
      </c>
      <c r="E68" t="s">
        <v>1855</v>
      </c>
      <c r="F68" t="s">
        <v>443</v>
      </c>
      <c r="G68" t="s">
        <v>34</v>
      </c>
      <c r="H68" t="s">
        <v>1478</v>
      </c>
      <c r="I68" t="s">
        <v>935</v>
      </c>
      <c r="J68"/>
      <c r="K68" t="s">
        <v>884</v>
      </c>
      <c r="L68" t="s">
        <v>922</v>
      </c>
      <c r="M68" t="s">
        <v>886</v>
      </c>
      <c r="N68" t="s">
        <v>749</v>
      </c>
      <c r="O68" t="s">
        <v>600</v>
      </c>
      <c r="P68"/>
      <c r="Q68"/>
      <c r="R68" t="s">
        <v>443</v>
      </c>
      <c r="S68" t="s">
        <v>885</v>
      </c>
      <c r="T68" s="16">
        <v>44856</v>
      </c>
      <c r="U68" t="s">
        <v>2013</v>
      </c>
      <c r="V68" s="16">
        <v>45956.515972222223</v>
      </c>
      <c r="W68" t="s">
        <v>884</v>
      </c>
      <c r="X68" s="16">
        <v>45951.515972222223</v>
      </c>
      <c r="Y68">
        <v>27.3</v>
      </c>
      <c r="Z68"/>
      <c r="AA68">
        <v>8</v>
      </c>
      <c r="AB68" t="s">
        <v>2042</v>
      </c>
      <c r="AC68" t="s">
        <v>41</v>
      </c>
      <c r="AD68"/>
      <c r="AE68">
        <v>1</v>
      </c>
      <c r="AF68" t="s">
        <v>41</v>
      </c>
      <c r="AG68"/>
      <c r="AH68"/>
      <c r="AI68"/>
      <c r="AJ68"/>
      <c r="AK68">
        <v>361</v>
      </c>
    </row>
    <row r="69" spans="1:37" x14ac:dyDescent="0.2">
      <c r="A69" t="s">
        <v>2025</v>
      </c>
      <c r="B69" t="s">
        <v>2976</v>
      </c>
      <c r="C69">
        <v>18</v>
      </c>
      <c r="D69" t="s">
        <v>1139</v>
      </c>
      <c r="E69"/>
      <c r="F69" t="s">
        <v>443</v>
      </c>
      <c r="G69" t="s">
        <v>34</v>
      </c>
      <c r="H69" t="s">
        <v>2124</v>
      </c>
      <c r="I69" t="s">
        <v>897</v>
      </c>
      <c r="J69" t="s">
        <v>884</v>
      </c>
      <c r="K69" t="s">
        <v>884</v>
      </c>
      <c r="L69" t="s">
        <v>922</v>
      </c>
      <c r="M69" t="s">
        <v>911</v>
      </c>
      <c r="N69" t="s">
        <v>494</v>
      </c>
      <c r="O69" t="s">
        <v>600</v>
      </c>
      <c r="P69"/>
      <c r="Q69"/>
      <c r="R69" t="s">
        <v>443</v>
      </c>
      <c r="S69" t="s">
        <v>885</v>
      </c>
      <c r="T69" s="16">
        <v>45891</v>
      </c>
      <c r="U69"/>
      <c r="V69" s="16">
        <v>45945.476388888892</v>
      </c>
      <c r="W69" t="s">
        <v>884</v>
      </c>
      <c r="X69" s="16">
        <v>45940.476388888892</v>
      </c>
      <c r="Y69">
        <v>38.299999999999997</v>
      </c>
      <c r="Z69"/>
      <c r="AA69">
        <v>9</v>
      </c>
      <c r="AB69" t="s">
        <v>2044</v>
      </c>
      <c r="AC69" t="s">
        <v>41</v>
      </c>
      <c r="AD69"/>
      <c r="AE69">
        <v>1</v>
      </c>
      <c r="AF69" t="s">
        <v>41</v>
      </c>
      <c r="AG69"/>
      <c r="AH69"/>
      <c r="AI69"/>
      <c r="AJ69"/>
      <c r="AK69">
        <v>361</v>
      </c>
    </row>
    <row r="70" spans="1:37" x14ac:dyDescent="0.2">
      <c r="A70" t="s">
        <v>2025</v>
      </c>
      <c r="B70" t="s">
        <v>2976</v>
      </c>
      <c r="C70">
        <v>18</v>
      </c>
      <c r="D70" t="s">
        <v>1135</v>
      </c>
      <c r="E70" t="s">
        <v>1136</v>
      </c>
      <c r="F70" t="s">
        <v>443</v>
      </c>
      <c r="G70" t="s">
        <v>34</v>
      </c>
      <c r="H70" t="s">
        <v>2124</v>
      </c>
      <c r="I70" t="s">
        <v>903</v>
      </c>
      <c r="J70" t="s">
        <v>884</v>
      </c>
      <c r="K70" t="s">
        <v>884</v>
      </c>
      <c r="L70" t="s">
        <v>922</v>
      </c>
      <c r="M70" t="s">
        <v>886</v>
      </c>
      <c r="N70" t="s">
        <v>494</v>
      </c>
      <c r="O70" t="s">
        <v>600</v>
      </c>
      <c r="P70"/>
      <c r="Q70"/>
      <c r="R70" t="s">
        <v>443</v>
      </c>
      <c r="S70" t="s">
        <v>885</v>
      </c>
      <c r="T70" s="16">
        <v>45891</v>
      </c>
      <c r="U70"/>
      <c r="V70" s="16">
        <v>45945.476388888892</v>
      </c>
      <c r="W70" t="s">
        <v>884</v>
      </c>
      <c r="X70" s="16">
        <v>45940.476388888892</v>
      </c>
      <c r="Y70">
        <v>38.299999999999997</v>
      </c>
      <c r="Z70"/>
      <c r="AA70">
        <v>9</v>
      </c>
      <c r="AB70" t="s">
        <v>2045</v>
      </c>
      <c r="AC70" t="s">
        <v>41</v>
      </c>
      <c r="AD70"/>
      <c r="AE70">
        <v>1</v>
      </c>
      <c r="AF70" t="s">
        <v>41</v>
      </c>
      <c r="AG70"/>
      <c r="AH70"/>
      <c r="AI70"/>
      <c r="AJ70"/>
      <c r="AK70">
        <v>361</v>
      </c>
    </row>
    <row r="71" spans="1:37" x14ac:dyDescent="0.2">
      <c r="A71" t="s">
        <v>2983</v>
      </c>
      <c r="B71" t="s">
        <v>2984</v>
      </c>
      <c r="C71">
        <v>23</v>
      </c>
      <c r="D71" t="s">
        <v>2281</v>
      </c>
      <c r="E71"/>
      <c r="F71" t="s">
        <v>443</v>
      </c>
      <c r="G71" t="s">
        <v>34</v>
      </c>
      <c r="H71" t="s">
        <v>2985</v>
      </c>
      <c r="I71" t="s">
        <v>2055</v>
      </c>
      <c r="J71"/>
      <c r="K71" t="s">
        <v>884</v>
      </c>
      <c r="L71" t="s">
        <v>922</v>
      </c>
      <c r="M71" t="s">
        <v>886</v>
      </c>
      <c r="N71" t="s">
        <v>749</v>
      </c>
      <c r="O71" t="s">
        <v>2244</v>
      </c>
      <c r="P71"/>
      <c r="Q71"/>
      <c r="R71" t="s">
        <v>443</v>
      </c>
      <c r="S71" t="s">
        <v>885</v>
      </c>
      <c r="T71" s="16">
        <v>45244</v>
      </c>
      <c r="U71"/>
      <c r="V71" s="16">
        <v>45980.658333333333</v>
      </c>
      <c r="W71" t="s">
        <v>892</v>
      </c>
      <c r="X71" s="16">
        <v>45975.658333333333</v>
      </c>
      <c r="Y71">
        <v>3.1</v>
      </c>
      <c r="Z71"/>
      <c r="AA71">
        <v>1</v>
      </c>
      <c r="AB71"/>
      <c r="AC71" t="s">
        <v>41</v>
      </c>
      <c r="AD71"/>
      <c r="AE71">
        <v>1</v>
      </c>
      <c r="AF71" t="s">
        <v>41</v>
      </c>
      <c r="AG71"/>
      <c r="AH71"/>
      <c r="AI71"/>
      <c r="AJ71"/>
      <c r="AK71">
        <v>361</v>
      </c>
    </row>
    <row r="72" spans="1:37" x14ac:dyDescent="0.2">
      <c r="A72" t="s">
        <v>2983</v>
      </c>
      <c r="B72" t="s">
        <v>2984</v>
      </c>
      <c r="C72">
        <v>23</v>
      </c>
      <c r="D72" t="s">
        <v>2246</v>
      </c>
      <c r="E72"/>
      <c r="F72" t="s">
        <v>443</v>
      </c>
      <c r="G72" t="s">
        <v>34</v>
      </c>
      <c r="H72" t="s">
        <v>2986</v>
      </c>
      <c r="I72" t="s">
        <v>903</v>
      </c>
      <c r="J72"/>
      <c r="K72" t="s">
        <v>884</v>
      </c>
      <c r="L72" t="s">
        <v>922</v>
      </c>
      <c r="M72" t="s">
        <v>911</v>
      </c>
      <c r="N72" t="s">
        <v>749</v>
      </c>
      <c r="O72" t="s">
        <v>2244</v>
      </c>
      <c r="P72"/>
      <c r="Q72"/>
      <c r="R72" t="s">
        <v>443</v>
      </c>
      <c r="S72" t="s">
        <v>885</v>
      </c>
      <c r="T72" s="16">
        <v>45943</v>
      </c>
      <c r="U72"/>
      <c r="V72" s="16">
        <v>45983.550694444442</v>
      </c>
      <c r="W72" t="s">
        <v>884</v>
      </c>
      <c r="X72" s="16">
        <v>45978.550694444442</v>
      </c>
      <c r="Y72">
        <v>0.2</v>
      </c>
      <c r="Z72"/>
      <c r="AA72">
        <v>10</v>
      </c>
      <c r="AB72"/>
      <c r="AC72" t="s">
        <v>41</v>
      </c>
      <c r="AD72"/>
      <c r="AE72">
        <v>1</v>
      </c>
      <c r="AF72" t="s">
        <v>41</v>
      </c>
      <c r="AG72"/>
      <c r="AH72"/>
      <c r="AI72"/>
      <c r="AJ72"/>
      <c r="AK72">
        <v>361</v>
      </c>
    </row>
    <row r="73" spans="1:37" x14ac:dyDescent="0.2">
      <c r="A73" t="s">
        <v>2983</v>
      </c>
      <c r="B73" t="s">
        <v>2984</v>
      </c>
      <c r="C73">
        <v>23</v>
      </c>
      <c r="D73" t="s">
        <v>2243</v>
      </c>
      <c r="E73"/>
      <c r="F73" t="s">
        <v>443</v>
      </c>
      <c r="G73" t="s">
        <v>34</v>
      </c>
      <c r="H73" t="s">
        <v>2986</v>
      </c>
      <c r="I73" t="s">
        <v>2077</v>
      </c>
      <c r="J73"/>
      <c r="K73" t="s">
        <v>884</v>
      </c>
      <c r="L73" t="s">
        <v>922</v>
      </c>
      <c r="M73" t="s">
        <v>911</v>
      </c>
      <c r="N73" t="s">
        <v>749</v>
      </c>
      <c r="O73" t="s">
        <v>2244</v>
      </c>
      <c r="P73"/>
      <c r="Q73"/>
      <c r="R73" t="s">
        <v>443</v>
      </c>
      <c r="S73" t="s">
        <v>885</v>
      </c>
      <c r="T73" s="16">
        <v>45943</v>
      </c>
      <c r="U73"/>
      <c r="V73" s="16">
        <v>45983.550694444442</v>
      </c>
      <c r="W73" t="s">
        <v>884</v>
      </c>
      <c r="X73" s="16">
        <v>45978.550694444442</v>
      </c>
      <c r="Y73">
        <v>0.2</v>
      </c>
      <c r="Z73"/>
      <c r="AA73">
        <v>10</v>
      </c>
      <c r="AB73"/>
      <c r="AC73" t="s">
        <v>41</v>
      </c>
      <c r="AD73"/>
      <c r="AE73">
        <v>1</v>
      </c>
      <c r="AF73" t="s">
        <v>41</v>
      </c>
      <c r="AG73"/>
      <c r="AH73"/>
      <c r="AI73"/>
      <c r="AJ73"/>
      <c r="AK73">
        <v>361</v>
      </c>
    </row>
    <row r="74" spans="1:37" x14ac:dyDescent="0.2">
      <c r="A74" t="s">
        <v>2983</v>
      </c>
      <c r="B74" t="s">
        <v>2984</v>
      </c>
      <c r="C74">
        <v>23</v>
      </c>
      <c r="D74" t="s">
        <v>2296</v>
      </c>
      <c r="E74"/>
      <c r="F74" t="s">
        <v>443</v>
      </c>
      <c r="G74" t="s">
        <v>34</v>
      </c>
      <c r="H74" t="s">
        <v>2985</v>
      </c>
      <c r="I74" t="s">
        <v>1999</v>
      </c>
      <c r="J74"/>
      <c r="K74" t="s">
        <v>884</v>
      </c>
      <c r="L74" t="s">
        <v>922</v>
      </c>
      <c r="M74" t="s">
        <v>890</v>
      </c>
      <c r="N74" t="s">
        <v>749</v>
      </c>
      <c r="O74" t="s">
        <v>2244</v>
      </c>
      <c r="P74"/>
      <c r="Q74"/>
      <c r="R74" t="s">
        <v>443</v>
      </c>
      <c r="S74" t="s">
        <v>885</v>
      </c>
      <c r="T74" s="16">
        <v>45244</v>
      </c>
      <c r="U74"/>
      <c r="V74" s="16">
        <v>45980.477777777778</v>
      </c>
      <c r="W74" t="s">
        <v>884</v>
      </c>
      <c r="X74" s="16">
        <v>45975.477777777778</v>
      </c>
      <c r="Y74">
        <v>3.3</v>
      </c>
      <c r="Z74"/>
      <c r="AA74">
        <v>2</v>
      </c>
      <c r="AB74"/>
      <c r="AC74" t="s">
        <v>41</v>
      </c>
      <c r="AD74"/>
      <c r="AE74">
        <v>1</v>
      </c>
      <c r="AF74" t="s">
        <v>41</v>
      </c>
      <c r="AG74"/>
      <c r="AH74"/>
      <c r="AI74"/>
      <c r="AJ74"/>
      <c r="AK74">
        <v>361</v>
      </c>
    </row>
    <row r="75" spans="1:37" x14ac:dyDescent="0.2">
      <c r="A75" t="s">
        <v>2983</v>
      </c>
      <c r="B75" t="s">
        <v>2984</v>
      </c>
      <c r="C75">
        <v>23</v>
      </c>
      <c r="D75" t="s">
        <v>2315</v>
      </c>
      <c r="E75"/>
      <c r="F75" t="s">
        <v>443</v>
      </c>
      <c r="G75" t="s">
        <v>34</v>
      </c>
      <c r="H75" t="s">
        <v>2141</v>
      </c>
      <c r="I75" t="s">
        <v>910</v>
      </c>
      <c r="J75"/>
      <c r="K75" t="s">
        <v>884</v>
      </c>
      <c r="L75" t="s">
        <v>922</v>
      </c>
      <c r="M75" t="s">
        <v>886</v>
      </c>
      <c r="N75" t="s">
        <v>749</v>
      </c>
      <c r="O75" t="s">
        <v>2244</v>
      </c>
      <c r="P75"/>
      <c r="Q75"/>
      <c r="R75" t="s">
        <v>443</v>
      </c>
      <c r="S75" t="s">
        <v>885</v>
      </c>
      <c r="T75" s="16">
        <v>45608</v>
      </c>
      <c r="U75" t="s">
        <v>2004</v>
      </c>
      <c r="V75" s="16">
        <v>45978.604166666664</v>
      </c>
      <c r="W75" t="s">
        <v>884</v>
      </c>
      <c r="X75" s="16">
        <v>45973.604166666664</v>
      </c>
      <c r="Y75">
        <v>5.2</v>
      </c>
      <c r="Z75"/>
      <c r="AA75">
        <v>3</v>
      </c>
      <c r="AB75"/>
      <c r="AC75" t="s">
        <v>41</v>
      </c>
      <c r="AD75"/>
      <c r="AE75">
        <v>1</v>
      </c>
      <c r="AF75" t="s">
        <v>41</v>
      </c>
      <c r="AG75"/>
      <c r="AH75"/>
      <c r="AI75"/>
      <c r="AJ75"/>
      <c r="AK75">
        <v>361</v>
      </c>
    </row>
    <row r="76" spans="1:37" x14ac:dyDescent="0.2">
      <c r="A76" t="s">
        <v>2983</v>
      </c>
      <c r="B76" t="s">
        <v>2984</v>
      </c>
      <c r="C76">
        <v>23</v>
      </c>
      <c r="D76" t="s">
        <v>2261</v>
      </c>
      <c r="E76"/>
      <c r="F76" t="s">
        <v>443</v>
      </c>
      <c r="G76" t="s">
        <v>1236</v>
      </c>
      <c r="H76" t="s">
        <v>2987</v>
      </c>
      <c r="I76" t="s">
        <v>2051</v>
      </c>
      <c r="J76"/>
      <c r="K76" t="s">
        <v>884</v>
      </c>
      <c r="L76" t="s">
        <v>922</v>
      </c>
      <c r="M76" t="s">
        <v>890</v>
      </c>
      <c r="N76" t="s">
        <v>749</v>
      </c>
      <c r="O76" t="s">
        <v>2244</v>
      </c>
      <c r="P76"/>
      <c r="Q76"/>
      <c r="R76" t="s">
        <v>443</v>
      </c>
      <c r="S76" t="s">
        <v>885</v>
      </c>
      <c r="T76" s="16">
        <v>44882</v>
      </c>
      <c r="U76"/>
      <c r="V76" s="16">
        <v>45983.472916666666</v>
      </c>
      <c r="W76" t="s">
        <v>884</v>
      </c>
      <c r="X76" s="16">
        <v>45978.472916666666</v>
      </c>
      <c r="Y76">
        <v>0.3</v>
      </c>
      <c r="Z76"/>
      <c r="AA76">
        <v>4</v>
      </c>
      <c r="AB76"/>
      <c r="AC76" t="s">
        <v>41</v>
      </c>
      <c r="AD76"/>
      <c r="AE76">
        <v>1</v>
      </c>
      <c r="AF76" t="s">
        <v>41</v>
      </c>
      <c r="AG76"/>
      <c r="AH76"/>
      <c r="AI76"/>
      <c r="AJ76"/>
      <c r="AK76">
        <v>361</v>
      </c>
    </row>
    <row r="77" spans="1:37" x14ac:dyDescent="0.2">
      <c r="A77" t="s">
        <v>2983</v>
      </c>
      <c r="B77" t="s">
        <v>2984</v>
      </c>
      <c r="C77">
        <v>23</v>
      </c>
      <c r="D77" t="s">
        <v>2253</v>
      </c>
      <c r="E77"/>
      <c r="F77" t="s">
        <v>443</v>
      </c>
      <c r="G77" t="s">
        <v>34</v>
      </c>
      <c r="H77" t="s">
        <v>2988</v>
      </c>
      <c r="I77" t="s">
        <v>897</v>
      </c>
      <c r="J77"/>
      <c r="K77" t="s">
        <v>884</v>
      </c>
      <c r="L77" t="s">
        <v>922</v>
      </c>
      <c r="M77" t="s">
        <v>911</v>
      </c>
      <c r="N77" t="s">
        <v>749</v>
      </c>
      <c r="O77" t="s">
        <v>2244</v>
      </c>
      <c r="P77"/>
      <c r="Q77"/>
      <c r="R77" t="s">
        <v>443</v>
      </c>
      <c r="S77" t="s">
        <v>885</v>
      </c>
      <c r="T77" s="16">
        <v>45613</v>
      </c>
      <c r="U77"/>
      <c r="V77" s="16">
        <v>45983.550694444442</v>
      </c>
      <c r="W77" t="s">
        <v>884</v>
      </c>
      <c r="X77" s="16">
        <v>45978.550694444442</v>
      </c>
      <c r="Y77">
        <v>0.2</v>
      </c>
      <c r="Z77"/>
      <c r="AA77">
        <v>5</v>
      </c>
      <c r="AB77"/>
      <c r="AC77" t="s">
        <v>41</v>
      </c>
      <c r="AD77"/>
      <c r="AE77">
        <v>1</v>
      </c>
      <c r="AF77" t="s">
        <v>41</v>
      </c>
      <c r="AG77"/>
      <c r="AH77"/>
      <c r="AI77"/>
      <c r="AJ77"/>
      <c r="AK77">
        <v>361</v>
      </c>
    </row>
    <row r="78" spans="1:37" x14ac:dyDescent="0.2">
      <c r="A78" t="s">
        <v>2983</v>
      </c>
      <c r="B78" t="s">
        <v>2984</v>
      </c>
      <c r="C78">
        <v>23</v>
      </c>
      <c r="D78" t="s">
        <v>2251</v>
      </c>
      <c r="E78"/>
      <c r="F78" t="s">
        <v>443</v>
      </c>
      <c r="G78" t="s">
        <v>34</v>
      </c>
      <c r="H78" t="s">
        <v>2988</v>
      </c>
      <c r="I78" t="s">
        <v>903</v>
      </c>
      <c r="J78"/>
      <c r="K78" t="s">
        <v>884</v>
      </c>
      <c r="L78" t="s">
        <v>922</v>
      </c>
      <c r="M78" t="s">
        <v>911</v>
      </c>
      <c r="N78" t="s">
        <v>749</v>
      </c>
      <c r="O78" t="s">
        <v>2244</v>
      </c>
      <c r="P78"/>
      <c r="Q78"/>
      <c r="R78" t="s">
        <v>443</v>
      </c>
      <c r="S78" t="s">
        <v>885</v>
      </c>
      <c r="T78" s="16">
        <v>45613</v>
      </c>
      <c r="U78"/>
      <c r="V78" s="16">
        <v>45983.550694444442</v>
      </c>
      <c r="W78" t="s">
        <v>884</v>
      </c>
      <c r="X78" s="16">
        <v>45978.550694444442</v>
      </c>
      <c r="Y78">
        <v>0.2</v>
      </c>
      <c r="Z78"/>
      <c r="AA78">
        <v>5</v>
      </c>
      <c r="AB78"/>
      <c r="AC78" t="s">
        <v>41</v>
      </c>
      <c r="AD78"/>
      <c r="AE78">
        <v>1</v>
      </c>
      <c r="AF78" t="s">
        <v>41</v>
      </c>
      <c r="AG78"/>
      <c r="AH78"/>
      <c r="AI78"/>
      <c r="AJ78"/>
      <c r="AK78">
        <v>361</v>
      </c>
    </row>
    <row r="79" spans="1:37" x14ac:dyDescent="0.2">
      <c r="A79" t="s">
        <v>2983</v>
      </c>
      <c r="B79" t="s">
        <v>2984</v>
      </c>
      <c r="C79">
        <v>23</v>
      </c>
      <c r="D79" t="s">
        <v>2248</v>
      </c>
      <c r="E79"/>
      <c r="F79" t="s">
        <v>443</v>
      </c>
      <c r="G79" t="s">
        <v>34</v>
      </c>
      <c r="H79" t="s">
        <v>2988</v>
      </c>
      <c r="I79" t="s">
        <v>2019</v>
      </c>
      <c r="J79"/>
      <c r="K79" t="s">
        <v>884</v>
      </c>
      <c r="L79" t="s">
        <v>922</v>
      </c>
      <c r="M79" t="s">
        <v>911</v>
      </c>
      <c r="N79" t="s">
        <v>749</v>
      </c>
      <c r="O79" t="s">
        <v>2244</v>
      </c>
      <c r="P79"/>
      <c r="Q79"/>
      <c r="R79" t="s">
        <v>443</v>
      </c>
      <c r="S79" t="s">
        <v>885</v>
      </c>
      <c r="T79" s="16">
        <v>45613</v>
      </c>
      <c r="U79"/>
      <c r="V79" s="16">
        <v>45983.550694444442</v>
      </c>
      <c r="W79" t="s">
        <v>884</v>
      </c>
      <c r="X79" s="16">
        <v>45978.550694444442</v>
      </c>
      <c r="Y79">
        <v>0.2</v>
      </c>
      <c r="Z79"/>
      <c r="AA79">
        <v>5</v>
      </c>
      <c r="AB79"/>
      <c r="AC79" t="s">
        <v>41</v>
      </c>
      <c r="AD79"/>
      <c r="AE79">
        <v>1</v>
      </c>
      <c r="AF79" t="s">
        <v>41</v>
      </c>
      <c r="AG79"/>
      <c r="AH79"/>
      <c r="AI79"/>
      <c r="AJ79"/>
      <c r="AK79">
        <v>361</v>
      </c>
    </row>
    <row r="80" spans="1:37" x14ac:dyDescent="0.2">
      <c r="A80" t="s">
        <v>2983</v>
      </c>
      <c r="B80" t="s">
        <v>2984</v>
      </c>
      <c r="C80">
        <v>23</v>
      </c>
      <c r="D80" t="s">
        <v>2276</v>
      </c>
      <c r="E80"/>
      <c r="F80" t="s">
        <v>443</v>
      </c>
      <c r="G80" t="s">
        <v>34</v>
      </c>
      <c r="H80" t="s">
        <v>2989</v>
      </c>
      <c r="I80" t="s">
        <v>2990</v>
      </c>
      <c r="J80"/>
      <c r="K80" t="s">
        <v>884</v>
      </c>
      <c r="L80" t="s">
        <v>887</v>
      </c>
      <c r="M80" t="s">
        <v>886</v>
      </c>
      <c r="N80" t="s">
        <v>852</v>
      </c>
      <c r="O80" t="s">
        <v>2244</v>
      </c>
      <c r="P80"/>
      <c r="Q80"/>
      <c r="R80" t="s">
        <v>443</v>
      </c>
      <c r="S80" t="s">
        <v>885</v>
      </c>
      <c r="T80" s="16">
        <v>45920</v>
      </c>
      <c r="U80"/>
      <c r="V80" s="16">
        <v>45981.472916666666</v>
      </c>
      <c r="W80" t="s">
        <v>884</v>
      </c>
      <c r="X80" s="16">
        <v>45976.472916666666</v>
      </c>
      <c r="Y80">
        <v>2.2999999999999998</v>
      </c>
      <c r="Z80"/>
      <c r="AA80">
        <v>6</v>
      </c>
      <c r="AB80"/>
      <c r="AC80" t="s">
        <v>41</v>
      </c>
      <c r="AD80"/>
      <c r="AE80">
        <v>1</v>
      </c>
      <c r="AF80" t="s">
        <v>41</v>
      </c>
      <c r="AG80"/>
      <c r="AH80"/>
      <c r="AI80"/>
      <c r="AJ80"/>
      <c r="AK80">
        <v>361</v>
      </c>
    </row>
    <row r="81" spans="1:37" x14ac:dyDescent="0.2">
      <c r="A81" t="s">
        <v>2983</v>
      </c>
      <c r="B81" t="s">
        <v>2984</v>
      </c>
      <c r="C81">
        <v>23</v>
      </c>
      <c r="D81" t="s">
        <v>2274</v>
      </c>
      <c r="E81"/>
      <c r="F81" t="s">
        <v>443</v>
      </c>
      <c r="G81" t="s">
        <v>34</v>
      </c>
      <c r="H81" t="s">
        <v>2989</v>
      </c>
      <c r="I81" t="s">
        <v>2017</v>
      </c>
      <c r="J81"/>
      <c r="K81" t="s">
        <v>884</v>
      </c>
      <c r="L81" t="s">
        <v>887</v>
      </c>
      <c r="M81" t="s">
        <v>886</v>
      </c>
      <c r="N81" t="s">
        <v>852</v>
      </c>
      <c r="O81" t="s">
        <v>2244</v>
      </c>
      <c r="P81"/>
      <c r="Q81"/>
      <c r="R81" t="s">
        <v>443</v>
      </c>
      <c r="S81" t="s">
        <v>885</v>
      </c>
      <c r="T81" s="16">
        <v>45920</v>
      </c>
      <c r="U81" t="s">
        <v>2028</v>
      </c>
      <c r="V81" s="16">
        <v>45981.472916666666</v>
      </c>
      <c r="W81" t="s">
        <v>884</v>
      </c>
      <c r="X81" s="16">
        <v>45976.472916666666</v>
      </c>
      <c r="Y81">
        <v>2.2999999999999998</v>
      </c>
      <c r="Z81"/>
      <c r="AA81">
        <v>6</v>
      </c>
      <c r="AB81"/>
      <c r="AC81" t="s">
        <v>41</v>
      </c>
      <c r="AD81"/>
      <c r="AE81">
        <v>1</v>
      </c>
      <c r="AF81" t="s">
        <v>41</v>
      </c>
      <c r="AG81"/>
      <c r="AH81"/>
      <c r="AI81"/>
      <c r="AJ81"/>
      <c r="AK81">
        <v>361</v>
      </c>
    </row>
    <row r="82" spans="1:37" x14ac:dyDescent="0.2">
      <c r="A82" t="s">
        <v>2983</v>
      </c>
      <c r="B82" t="s">
        <v>2984</v>
      </c>
      <c r="C82">
        <v>23</v>
      </c>
      <c r="D82" t="s">
        <v>2271</v>
      </c>
      <c r="E82"/>
      <c r="F82" t="s">
        <v>443</v>
      </c>
      <c r="G82" t="s">
        <v>34</v>
      </c>
      <c r="H82" t="s">
        <v>2989</v>
      </c>
      <c r="I82" t="s">
        <v>907</v>
      </c>
      <c r="J82"/>
      <c r="K82" t="s">
        <v>884</v>
      </c>
      <c r="L82" t="s">
        <v>887</v>
      </c>
      <c r="M82" t="s">
        <v>911</v>
      </c>
      <c r="N82" t="s">
        <v>852</v>
      </c>
      <c r="O82" t="s">
        <v>2244</v>
      </c>
      <c r="P82"/>
      <c r="Q82"/>
      <c r="R82" t="s">
        <v>443</v>
      </c>
      <c r="S82" t="s">
        <v>885</v>
      </c>
      <c r="T82" s="16">
        <v>45920</v>
      </c>
      <c r="U82" t="s">
        <v>2004</v>
      </c>
      <c r="V82" s="16">
        <v>45981.472916666666</v>
      </c>
      <c r="W82" t="s">
        <v>884</v>
      </c>
      <c r="X82" s="16">
        <v>45976.472916666666</v>
      </c>
      <c r="Y82">
        <v>2.2999999999999998</v>
      </c>
      <c r="Z82"/>
      <c r="AA82">
        <v>6</v>
      </c>
      <c r="AB82"/>
      <c r="AC82" t="s">
        <v>41</v>
      </c>
      <c r="AD82"/>
      <c r="AE82">
        <v>1</v>
      </c>
      <c r="AF82" t="s">
        <v>41</v>
      </c>
      <c r="AG82"/>
      <c r="AH82"/>
      <c r="AI82"/>
      <c r="AJ82"/>
      <c r="AK82">
        <v>361</v>
      </c>
    </row>
    <row r="83" spans="1:37" x14ac:dyDescent="0.2">
      <c r="A83" t="s">
        <v>2983</v>
      </c>
      <c r="B83" t="s">
        <v>2984</v>
      </c>
      <c r="C83">
        <v>23</v>
      </c>
      <c r="D83" t="s">
        <v>2278</v>
      </c>
      <c r="E83"/>
      <c r="F83" t="s">
        <v>443</v>
      </c>
      <c r="G83" t="s">
        <v>34</v>
      </c>
      <c r="H83" t="s">
        <v>2991</v>
      </c>
      <c r="I83" t="s">
        <v>907</v>
      </c>
      <c r="J83"/>
      <c r="K83" t="s">
        <v>884</v>
      </c>
      <c r="L83" t="s">
        <v>887</v>
      </c>
      <c r="M83" t="s">
        <v>886</v>
      </c>
      <c r="N83" t="s">
        <v>852</v>
      </c>
      <c r="O83" t="s">
        <v>2244</v>
      </c>
      <c r="P83"/>
      <c r="Q83"/>
      <c r="R83" t="s">
        <v>443</v>
      </c>
      <c r="S83" t="s">
        <v>885</v>
      </c>
      <c r="T83" s="16">
        <v>45245</v>
      </c>
      <c r="U83" t="s">
        <v>2004</v>
      </c>
      <c r="V83" s="16">
        <v>45981.472916666666</v>
      </c>
      <c r="W83" t="s">
        <v>884</v>
      </c>
      <c r="X83" s="16">
        <v>45976.472916666666</v>
      </c>
      <c r="Y83">
        <v>2.2999999999999998</v>
      </c>
      <c r="Z83"/>
      <c r="AA83">
        <v>7</v>
      </c>
      <c r="AB83"/>
      <c r="AC83" t="s">
        <v>41</v>
      </c>
      <c r="AD83"/>
      <c r="AE83">
        <v>1</v>
      </c>
      <c r="AF83" t="s">
        <v>41</v>
      </c>
      <c r="AG83"/>
      <c r="AH83"/>
      <c r="AI83"/>
      <c r="AJ83"/>
      <c r="AK83">
        <v>361</v>
      </c>
    </row>
    <row r="84" spans="1:37" x14ac:dyDescent="0.2">
      <c r="A84" t="s">
        <v>2983</v>
      </c>
      <c r="B84" t="s">
        <v>2984</v>
      </c>
      <c r="C84">
        <v>23</v>
      </c>
      <c r="D84" t="s">
        <v>2323</v>
      </c>
      <c r="E84"/>
      <c r="F84" t="s">
        <v>443</v>
      </c>
      <c r="G84" t="s">
        <v>34</v>
      </c>
      <c r="H84" t="s">
        <v>913</v>
      </c>
      <c r="I84" t="s">
        <v>2039</v>
      </c>
      <c r="J84"/>
      <c r="K84" t="s">
        <v>884</v>
      </c>
      <c r="L84" t="s">
        <v>922</v>
      </c>
      <c r="M84" t="s">
        <v>911</v>
      </c>
      <c r="N84" t="s">
        <v>749</v>
      </c>
      <c r="O84" t="s">
        <v>2244</v>
      </c>
      <c r="P84"/>
      <c r="Q84"/>
      <c r="R84" t="s">
        <v>443</v>
      </c>
      <c r="S84" t="s">
        <v>885</v>
      </c>
      <c r="T84" s="16"/>
      <c r="U84"/>
      <c r="V84" s="16">
        <v>45978.554166666669</v>
      </c>
      <c r="W84" t="s">
        <v>884</v>
      </c>
      <c r="X84" s="16">
        <v>45973.554166666669</v>
      </c>
      <c r="Y84">
        <v>5.2</v>
      </c>
      <c r="Z84"/>
      <c r="AA84">
        <v>8</v>
      </c>
      <c r="AB84"/>
      <c r="AC84" t="s">
        <v>41</v>
      </c>
      <c r="AD84"/>
      <c r="AE84">
        <v>0</v>
      </c>
      <c r="AF84" t="s">
        <v>41</v>
      </c>
      <c r="AG84"/>
      <c r="AH84"/>
      <c r="AI84"/>
      <c r="AJ84"/>
      <c r="AK84">
        <v>361</v>
      </c>
    </row>
    <row r="85" spans="1:37" x14ac:dyDescent="0.2">
      <c r="A85" t="s">
        <v>2983</v>
      </c>
      <c r="B85" t="s">
        <v>2984</v>
      </c>
      <c r="C85">
        <v>23</v>
      </c>
      <c r="D85" t="s">
        <v>2321</v>
      </c>
      <c r="E85"/>
      <c r="F85" t="s">
        <v>443</v>
      </c>
      <c r="G85" t="s">
        <v>34</v>
      </c>
      <c r="H85" t="s">
        <v>913</v>
      </c>
      <c r="I85" t="s">
        <v>2030</v>
      </c>
      <c r="J85"/>
      <c r="K85" t="s">
        <v>884</v>
      </c>
      <c r="L85" t="s">
        <v>922</v>
      </c>
      <c r="M85" t="s">
        <v>911</v>
      </c>
      <c r="N85" t="s">
        <v>749</v>
      </c>
      <c r="O85" t="s">
        <v>2244</v>
      </c>
      <c r="P85"/>
      <c r="Q85"/>
      <c r="R85" t="s">
        <v>443</v>
      </c>
      <c r="S85" t="s">
        <v>885</v>
      </c>
      <c r="T85" s="16"/>
      <c r="U85" t="s">
        <v>2004</v>
      </c>
      <c r="V85" s="16">
        <v>45978.554166666669</v>
      </c>
      <c r="W85" t="s">
        <v>884</v>
      </c>
      <c r="X85" s="16">
        <v>45973.554166666669</v>
      </c>
      <c r="Y85">
        <v>5.2</v>
      </c>
      <c r="Z85"/>
      <c r="AA85">
        <v>8</v>
      </c>
      <c r="AB85"/>
      <c r="AC85" t="s">
        <v>41</v>
      </c>
      <c r="AD85"/>
      <c r="AE85">
        <v>0</v>
      </c>
      <c r="AF85" t="s">
        <v>41</v>
      </c>
      <c r="AG85"/>
      <c r="AH85"/>
      <c r="AI85"/>
      <c r="AJ85"/>
      <c r="AK85">
        <v>361</v>
      </c>
    </row>
    <row r="86" spans="1:37" x14ac:dyDescent="0.2">
      <c r="A86" t="s">
        <v>2983</v>
      </c>
      <c r="B86" t="s">
        <v>2984</v>
      </c>
      <c r="C86">
        <v>23</v>
      </c>
      <c r="D86" t="s">
        <v>2319</v>
      </c>
      <c r="E86"/>
      <c r="F86" t="s">
        <v>443</v>
      </c>
      <c r="G86" t="s">
        <v>34</v>
      </c>
      <c r="H86" t="s">
        <v>913</v>
      </c>
      <c r="I86" t="s">
        <v>2030</v>
      </c>
      <c r="J86"/>
      <c r="K86" t="s">
        <v>884</v>
      </c>
      <c r="L86" t="s">
        <v>922</v>
      </c>
      <c r="M86" t="s">
        <v>911</v>
      </c>
      <c r="N86" t="s">
        <v>749</v>
      </c>
      <c r="O86" t="s">
        <v>2244</v>
      </c>
      <c r="P86"/>
      <c r="Q86"/>
      <c r="R86" t="s">
        <v>443</v>
      </c>
      <c r="S86" t="s">
        <v>885</v>
      </c>
      <c r="T86" s="16"/>
      <c r="U86" t="s">
        <v>2004</v>
      </c>
      <c r="V86" s="16">
        <v>45978.554166666669</v>
      </c>
      <c r="W86" t="s">
        <v>884</v>
      </c>
      <c r="X86" s="16">
        <v>45973.554166666669</v>
      </c>
      <c r="Y86">
        <v>5.2</v>
      </c>
      <c r="Z86"/>
      <c r="AA86">
        <v>8</v>
      </c>
      <c r="AB86"/>
      <c r="AC86" t="s">
        <v>41</v>
      </c>
      <c r="AD86"/>
      <c r="AE86">
        <v>0</v>
      </c>
      <c r="AF86" t="s">
        <v>41</v>
      </c>
      <c r="AG86"/>
      <c r="AH86"/>
      <c r="AI86"/>
      <c r="AJ86"/>
      <c r="AK86">
        <v>361</v>
      </c>
    </row>
    <row r="87" spans="1:37" x14ac:dyDescent="0.2">
      <c r="A87" t="s">
        <v>2983</v>
      </c>
      <c r="B87" t="s">
        <v>2984</v>
      </c>
      <c r="C87">
        <v>23</v>
      </c>
      <c r="D87" t="s">
        <v>2317</v>
      </c>
      <c r="E87"/>
      <c r="F87" t="s">
        <v>443</v>
      </c>
      <c r="G87" t="s">
        <v>34</v>
      </c>
      <c r="H87" t="s">
        <v>913</v>
      </c>
      <c r="I87" t="s">
        <v>2012</v>
      </c>
      <c r="J87"/>
      <c r="K87" t="s">
        <v>884</v>
      </c>
      <c r="L87" t="s">
        <v>922</v>
      </c>
      <c r="M87" t="s">
        <v>886</v>
      </c>
      <c r="N87" t="s">
        <v>749</v>
      </c>
      <c r="O87" t="s">
        <v>2244</v>
      </c>
      <c r="P87"/>
      <c r="Q87"/>
      <c r="R87" t="s">
        <v>443</v>
      </c>
      <c r="S87" t="s">
        <v>885</v>
      </c>
      <c r="T87" s="16"/>
      <c r="U87" t="s">
        <v>2028</v>
      </c>
      <c r="V87" s="16">
        <v>45978.554166666669</v>
      </c>
      <c r="W87" t="s">
        <v>884</v>
      </c>
      <c r="X87" s="16">
        <v>45973.554166666669</v>
      </c>
      <c r="Y87">
        <v>5.2</v>
      </c>
      <c r="Z87"/>
      <c r="AA87">
        <v>8</v>
      </c>
      <c r="AB87"/>
      <c r="AC87" t="s">
        <v>41</v>
      </c>
      <c r="AD87"/>
      <c r="AE87">
        <v>0</v>
      </c>
      <c r="AF87" t="s">
        <v>41</v>
      </c>
      <c r="AG87"/>
      <c r="AH87"/>
      <c r="AI87"/>
      <c r="AJ87"/>
      <c r="AK87">
        <v>361</v>
      </c>
    </row>
    <row r="88" spans="1:37" x14ac:dyDescent="0.2">
      <c r="A88" t="s">
        <v>2983</v>
      </c>
      <c r="B88" t="s">
        <v>2984</v>
      </c>
      <c r="C88">
        <v>23</v>
      </c>
      <c r="D88" t="s">
        <v>2309</v>
      </c>
      <c r="E88"/>
      <c r="F88" t="s">
        <v>443</v>
      </c>
      <c r="G88" t="s">
        <v>34</v>
      </c>
      <c r="H88" t="s">
        <v>2032</v>
      </c>
      <c r="I88" t="s">
        <v>897</v>
      </c>
      <c r="J88"/>
      <c r="K88" t="s">
        <v>884</v>
      </c>
      <c r="L88" t="s">
        <v>922</v>
      </c>
      <c r="M88" t="s">
        <v>911</v>
      </c>
      <c r="N88" t="s">
        <v>749</v>
      </c>
      <c r="O88" t="s">
        <v>2244</v>
      </c>
      <c r="P88"/>
      <c r="Q88"/>
      <c r="R88" t="s">
        <v>443</v>
      </c>
      <c r="S88" t="s">
        <v>885</v>
      </c>
      <c r="T88" s="16">
        <v>45882</v>
      </c>
      <c r="U88"/>
      <c r="V88">
        <v>45979.477777777778</v>
      </c>
      <c r="W88" t="s">
        <v>884</v>
      </c>
      <c r="X88" s="16">
        <v>45974.477777777778</v>
      </c>
      <c r="Y88">
        <v>4.3</v>
      </c>
      <c r="Z88"/>
      <c r="AA88">
        <v>9</v>
      </c>
      <c r="AB88"/>
      <c r="AC88" t="s">
        <v>41</v>
      </c>
      <c r="AD88"/>
      <c r="AE88">
        <v>1</v>
      </c>
      <c r="AF88" t="s">
        <v>41</v>
      </c>
      <c r="AG88"/>
      <c r="AH88"/>
      <c r="AI88"/>
      <c r="AJ88"/>
      <c r="AK88">
        <v>361</v>
      </c>
    </row>
    <row r="89" spans="1:37" x14ac:dyDescent="0.2">
      <c r="A89" t="s">
        <v>2983</v>
      </c>
      <c r="B89" t="s">
        <v>2984</v>
      </c>
      <c r="C89">
        <v>23</v>
      </c>
      <c r="D89" t="s">
        <v>2307</v>
      </c>
      <c r="E89"/>
      <c r="F89" t="s">
        <v>443</v>
      </c>
      <c r="G89" t="s">
        <v>34</v>
      </c>
      <c r="H89" t="s">
        <v>2032</v>
      </c>
      <c r="I89" t="s">
        <v>897</v>
      </c>
      <c r="J89"/>
      <c r="K89" t="s">
        <v>884</v>
      </c>
      <c r="L89" t="s">
        <v>922</v>
      </c>
      <c r="M89" t="s">
        <v>911</v>
      </c>
      <c r="N89" t="s">
        <v>749</v>
      </c>
      <c r="O89" t="s">
        <v>2244</v>
      </c>
      <c r="P89"/>
      <c r="Q89"/>
      <c r="R89" t="s">
        <v>443</v>
      </c>
      <c r="S89" t="s">
        <v>885</v>
      </c>
      <c r="T89" s="16">
        <v>45882</v>
      </c>
      <c r="U89"/>
      <c r="V89" s="16">
        <v>45979.477777777778</v>
      </c>
      <c r="W89" t="s">
        <v>884</v>
      </c>
      <c r="X89" s="16">
        <v>45974.477777777778</v>
      </c>
      <c r="Y89">
        <v>4.3</v>
      </c>
      <c r="Z89"/>
      <c r="AA89">
        <v>9</v>
      </c>
      <c r="AB89"/>
      <c r="AC89" t="s">
        <v>41</v>
      </c>
      <c r="AD89"/>
      <c r="AE89">
        <v>1</v>
      </c>
      <c r="AF89" t="s">
        <v>41</v>
      </c>
      <c r="AG89"/>
      <c r="AH89"/>
      <c r="AI89"/>
      <c r="AJ89"/>
      <c r="AK89">
        <v>361</v>
      </c>
    </row>
    <row r="90" spans="1:37" x14ac:dyDescent="0.2">
      <c r="A90" t="s">
        <v>2983</v>
      </c>
      <c r="B90" t="s">
        <v>2984</v>
      </c>
      <c r="C90">
        <v>23</v>
      </c>
      <c r="D90" t="s">
        <v>2305</v>
      </c>
      <c r="E90"/>
      <c r="F90" t="s">
        <v>443</v>
      </c>
      <c r="G90" t="s">
        <v>34</v>
      </c>
      <c r="H90" t="s">
        <v>2032</v>
      </c>
      <c r="I90" t="s">
        <v>897</v>
      </c>
      <c r="J90"/>
      <c r="K90" t="s">
        <v>884</v>
      </c>
      <c r="L90" t="s">
        <v>922</v>
      </c>
      <c r="M90" t="s">
        <v>911</v>
      </c>
      <c r="N90" t="s">
        <v>749</v>
      </c>
      <c r="O90" t="s">
        <v>2244</v>
      </c>
      <c r="P90"/>
      <c r="Q90"/>
      <c r="R90" t="s">
        <v>443</v>
      </c>
      <c r="S90" t="s">
        <v>885</v>
      </c>
      <c r="T90" s="16">
        <v>45882</v>
      </c>
      <c r="U90"/>
      <c r="V90" s="16">
        <v>45979.477777777778</v>
      </c>
      <c r="W90" t="s">
        <v>884</v>
      </c>
      <c r="X90" s="16">
        <v>45974.477777777778</v>
      </c>
      <c r="Y90">
        <v>4.3</v>
      </c>
      <c r="Z90"/>
      <c r="AA90">
        <v>9</v>
      </c>
      <c r="AB90"/>
      <c r="AC90" t="s">
        <v>41</v>
      </c>
      <c r="AD90"/>
      <c r="AE90">
        <v>1</v>
      </c>
      <c r="AF90" t="s">
        <v>41</v>
      </c>
      <c r="AG90"/>
      <c r="AH90"/>
      <c r="AI90"/>
      <c r="AJ90"/>
      <c r="AK90">
        <v>361</v>
      </c>
    </row>
    <row r="91" spans="1:37" x14ac:dyDescent="0.2">
      <c r="A91" t="s">
        <v>2983</v>
      </c>
      <c r="B91" t="s">
        <v>2984</v>
      </c>
      <c r="C91">
        <v>23</v>
      </c>
      <c r="D91" t="s">
        <v>2303</v>
      </c>
      <c r="E91"/>
      <c r="F91" t="s">
        <v>443</v>
      </c>
      <c r="G91" t="s">
        <v>34</v>
      </c>
      <c r="H91" t="s">
        <v>2032</v>
      </c>
      <c r="I91" t="s">
        <v>903</v>
      </c>
      <c r="J91"/>
      <c r="K91" t="s">
        <v>884</v>
      </c>
      <c r="L91" t="s">
        <v>922</v>
      </c>
      <c r="M91" t="s">
        <v>911</v>
      </c>
      <c r="N91" t="s">
        <v>749</v>
      </c>
      <c r="O91" t="s">
        <v>2244</v>
      </c>
      <c r="P91"/>
      <c r="Q91"/>
      <c r="R91" t="s">
        <v>443</v>
      </c>
      <c r="S91" t="s">
        <v>885</v>
      </c>
      <c r="T91" s="16">
        <v>45882</v>
      </c>
      <c r="U91"/>
      <c r="V91" s="16">
        <v>45979.477777777778</v>
      </c>
      <c r="W91" t="s">
        <v>884</v>
      </c>
      <c r="X91" s="16">
        <v>45974.477777777778</v>
      </c>
      <c r="Y91">
        <v>4.3</v>
      </c>
      <c r="Z91"/>
      <c r="AA91">
        <v>9</v>
      </c>
      <c r="AB91"/>
      <c r="AC91" t="s">
        <v>41</v>
      </c>
      <c r="AD91"/>
      <c r="AE91">
        <v>1</v>
      </c>
      <c r="AF91" t="s">
        <v>41</v>
      </c>
      <c r="AG91"/>
      <c r="AH91"/>
      <c r="AI91"/>
      <c r="AJ91"/>
      <c r="AK91">
        <v>361</v>
      </c>
    </row>
    <row r="92" spans="1:37" x14ac:dyDescent="0.2">
      <c r="A92" t="s">
        <v>2983</v>
      </c>
      <c r="B92" t="s">
        <v>2984</v>
      </c>
      <c r="C92">
        <v>23</v>
      </c>
      <c r="D92" t="s">
        <v>2301</v>
      </c>
      <c r="E92"/>
      <c r="F92" t="s">
        <v>443</v>
      </c>
      <c r="G92" t="s">
        <v>34</v>
      </c>
      <c r="H92" t="s">
        <v>2032</v>
      </c>
      <c r="I92" t="s">
        <v>894</v>
      </c>
      <c r="J92"/>
      <c r="K92" t="s">
        <v>884</v>
      </c>
      <c r="L92" t="s">
        <v>922</v>
      </c>
      <c r="M92" t="s">
        <v>911</v>
      </c>
      <c r="N92" t="s">
        <v>749</v>
      </c>
      <c r="O92" t="s">
        <v>2244</v>
      </c>
      <c r="P92"/>
      <c r="Q92"/>
      <c r="R92" t="s">
        <v>443</v>
      </c>
      <c r="S92" t="s">
        <v>885</v>
      </c>
      <c r="T92" s="16">
        <v>45882</v>
      </c>
      <c r="U92" t="s">
        <v>2004</v>
      </c>
      <c r="V92" s="16">
        <v>45979.477777777778</v>
      </c>
      <c r="W92" t="s">
        <v>884</v>
      </c>
      <c r="X92" s="16">
        <v>45974.477777777778</v>
      </c>
      <c r="Y92">
        <v>4.3</v>
      </c>
      <c r="Z92"/>
      <c r="AA92">
        <v>9</v>
      </c>
      <c r="AB92"/>
      <c r="AC92" t="s">
        <v>41</v>
      </c>
      <c r="AD92"/>
      <c r="AE92">
        <v>1</v>
      </c>
      <c r="AF92" t="s">
        <v>41</v>
      </c>
      <c r="AG92"/>
      <c r="AH92"/>
      <c r="AI92"/>
      <c r="AJ92"/>
      <c r="AK92">
        <v>361</v>
      </c>
    </row>
    <row r="93" spans="1:37" x14ac:dyDescent="0.2">
      <c r="A93" t="s">
        <v>2983</v>
      </c>
      <c r="B93" t="s">
        <v>2984</v>
      </c>
      <c r="C93">
        <v>23</v>
      </c>
      <c r="D93" t="s">
        <v>2298</v>
      </c>
      <c r="E93"/>
      <c r="F93" t="s">
        <v>443</v>
      </c>
      <c r="G93" t="s">
        <v>34</v>
      </c>
      <c r="H93" t="s">
        <v>1212</v>
      </c>
      <c r="I93" t="s">
        <v>2030</v>
      </c>
      <c r="J93"/>
      <c r="K93" t="s">
        <v>884</v>
      </c>
      <c r="L93" t="s">
        <v>922</v>
      </c>
      <c r="M93" t="s">
        <v>886</v>
      </c>
      <c r="N93" t="s">
        <v>749</v>
      </c>
      <c r="O93" t="s">
        <v>2244</v>
      </c>
      <c r="P93"/>
      <c r="Q93"/>
      <c r="R93" t="s">
        <v>443</v>
      </c>
      <c r="S93" t="s">
        <v>885</v>
      </c>
      <c r="T93" s="16">
        <v>45243</v>
      </c>
      <c r="U93" t="s">
        <v>2004</v>
      </c>
      <c r="V93" s="16">
        <v>45979.477777777778</v>
      </c>
      <c r="W93" t="s">
        <v>884</v>
      </c>
      <c r="X93" s="16">
        <v>45974.477777777778</v>
      </c>
      <c r="Y93">
        <v>4.3</v>
      </c>
      <c r="Z93"/>
      <c r="AA93">
        <v>9</v>
      </c>
      <c r="AB93"/>
      <c r="AC93" t="s">
        <v>41</v>
      </c>
      <c r="AD93"/>
      <c r="AE93">
        <v>1</v>
      </c>
      <c r="AF93" t="s">
        <v>41</v>
      </c>
      <c r="AG93"/>
      <c r="AH93"/>
      <c r="AI93"/>
      <c r="AJ93"/>
      <c r="AK93">
        <v>361</v>
      </c>
    </row>
    <row r="94" spans="1:37" x14ac:dyDescent="0.2">
      <c r="A94" t="s">
        <v>2046</v>
      </c>
      <c r="B94" t="s">
        <v>2992</v>
      </c>
      <c r="C94">
        <v>20</v>
      </c>
      <c r="D94" t="s">
        <v>465</v>
      </c>
      <c r="E94" t="s">
        <v>31</v>
      </c>
      <c r="F94" t="s">
        <v>443</v>
      </c>
      <c r="G94" t="s">
        <v>34</v>
      </c>
      <c r="H94" t="s">
        <v>2944</v>
      </c>
      <c r="I94" t="s">
        <v>897</v>
      </c>
      <c r="J94" t="s">
        <v>884</v>
      </c>
      <c r="K94" t="s">
        <v>892</v>
      </c>
      <c r="L94" t="s">
        <v>887</v>
      </c>
      <c r="M94" t="s">
        <v>886</v>
      </c>
      <c r="N94" t="s">
        <v>461</v>
      </c>
      <c r="O94" t="s">
        <v>463</v>
      </c>
      <c r="P94"/>
      <c r="Q94">
        <v>982091070185820</v>
      </c>
      <c r="R94" t="s">
        <v>443</v>
      </c>
      <c r="S94" t="s">
        <v>885</v>
      </c>
      <c r="T94" s="16">
        <v>44634</v>
      </c>
      <c r="U94" t="s">
        <v>2013</v>
      </c>
      <c r="V94" s="16">
        <v>45004.865277777775</v>
      </c>
      <c r="W94" t="s">
        <v>892</v>
      </c>
      <c r="X94" s="16">
        <v>44999.865277777775</v>
      </c>
      <c r="Y94">
        <v>978.9</v>
      </c>
      <c r="Z94"/>
      <c r="AA94" t="s">
        <v>462</v>
      </c>
      <c r="AB94" t="s">
        <v>2047</v>
      </c>
      <c r="AC94" t="s">
        <v>41</v>
      </c>
      <c r="AD94"/>
      <c r="AE94">
        <v>3</v>
      </c>
      <c r="AF94" t="s">
        <v>41</v>
      </c>
      <c r="AG94"/>
      <c r="AH94"/>
      <c r="AI94"/>
      <c r="AJ94"/>
      <c r="AK94">
        <v>361</v>
      </c>
    </row>
    <row r="95" spans="1:37" x14ac:dyDescent="0.2">
      <c r="A95" t="s">
        <v>2046</v>
      </c>
      <c r="B95" t="s">
        <v>2992</v>
      </c>
      <c r="C95">
        <v>20</v>
      </c>
      <c r="D95" t="s">
        <v>237</v>
      </c>
      <c r="E95" t="s">
        <v>238</v>
      </c>
      <c r="F95" t="s">
        <v>443</v>
      </c>
      <c r="G95" t="s">
        <v>34</v>
      </c>
      <c r="H95" t="s">
        <v>2939</v>
      </c>
      <c r="I95" t="s">
        <v>894</v>
      </c>
      <c r="J95" t="s">
        <v>884</v>
      </c>
      <c r="K95" t="s">
        <v>892</v>
      </c>
      <c r="L95" t="s">
        <v>887</v>
      </c>
      <c r="M95" t="s">
        <v>890</v>
      </c>
      <c r="N95" t="s">
        <v>461</v>
      </c>
      <c r="O95" t="s">
        <v>463</v>
      </c>
      <c r="P95"/>
      <c r="Q95">
        <v>941000028853363</v>
      </c>
      <c r="R95" t="s">
        <v>443</v>
      </c>
      <c r="S95" t="s">
        <v>885</v>
      </c>
      <c r="T95" s="16">
        <v>45075</v>
      </c>
      <c r="U95"/>
      <c r="V95">
        <v>45363.642361111109</v>
      </c>
      <c r="W95" t="s">
        <v>892</v>
      </c>
      <c r="X95" s="16">
        <v>45358.600694444445</v>
      </c>
      <c r="Y95">
        <v>620.20000000000005</v>
      </c>
      <c r="Z95"/>
      <c r="AA95" t="s">
        <v>462</v>
      </c>
      <c r="AB95" t="s">
        <v>2048</v>
      </c>
      <c r="AC95" t="s">
        <v>41</v>
      </c>
      <c r="AD95"/>
      <c r="AE95">
        <v>1</v>
      </c>
      <c r="AF95" t="s">
        <v>41</v>
      </c>
      <c r="AG95"/>
      <c r="AH95"/>
      <c r="AI95"/>
      <c r="AJ95"/>
      <c r="AK95">
        <v>361</v>
      </c>
    </row>
    <row r="96" spans="1:37" x14ac:dyDescent="0.2">
      <c r="A96" t="s">
        <v>2046</v>
      </c>
      <c r="B96" t="s">
        <v>2992</v>
      </c>
      <c r="C96">
        <v>20</v>
      </c>
      <c r="D96" t="s">
        <v>488</v>
      </c>
      <c r="E96" t="s">
        <v>487</v>
      </c>
      <c r="F96" t="s">
        <v>443</v>
      </c>
      <c r="G96" t="s">
        <v>34</v>
      </c>
      <c r="H96" t="s">
        <v>2935</v>
      </c>
      <c r="I96" t="s">
        <v>894</v>
      </c>
      <c r="J96" t="s">
        <v>884</v>
      </c>
      <c r="K96" t="s">
        <v>884</v>
      </c>
      <c r="L96" t="s">
        <v>887</v>
      </c>
      <c r="M96" t="s">
        <v>886</v>
      </c>
      <c r="N96" t="s">
        <v>461</v>
      </c>
      <c r="O96" t="s">
        <v>463</v>
      </c>
      <c r="P96"/>
      <c r="Q96">
        <v>941000028852735</v>
      </c>
      <c r="R96" t="s">
        <v>443</v>
      </c>
      <c r="S96" t="s">
        <v>885</v>
      </c>
      <c r="T96" s="16">
        <v>44694</v>
      </c>
      <c r="U96"/>
      <c r="V96" s="16">
        <v>45370.461805555555</v>
      </c>
      <c r="W96" t="s">
        <v>892</v>
      </c>
      <c r="X96" s="16">
        <v>45365.461805555555</v>
      </c>
      <c r="Y96">
        <v>613.29999999999995</v>
      </c>
      <c r="Z96"/>
      <c r="AA96" t="s">
        <v>462</v>
      </c>
      <c r="AB96" t="s">
        <v>2049</v>
      </c>
      <c r="AC96" t="s">
        <v>41</v>
      </c>
      <c r="AD96"/>
      <c r="AE96">
        <v>2</v>
      </c>
      <c r="AF96" t="s">
        <v>41</v>
      </c>
      <c r="AG96"/>
      <c r="AH96"/>
      <c r="AI96"/>
      <c r="AJ96"/>
      <c r="AK96">
        <v>361</v>
      </c>
    </row>
    <row r="97" spans="1:37" x14ac:dyDescent="0.2">
      <c r="A97" t="s">
        <v>2046</v>
      </c>
      <c r="B97" t="s">
        <v>2992</v>
      </c>
      <c r="C97">
        <v>20</v>
      </c>
      <c r="D97" t="s">
        <v>240</v>
      </c>
      <c r="E97" t="s">
        <v>241</v>
      </c>
      <c r="F97" t="s">
        <v>443</v>
      </c>
      <c r="G97" t="s">
        <v>34</v>
      </c>
      <c r="H97" t="s">
        <v>2908</v>
      </c>
      <c r="I97" t="s">
        <v>897</v>
      </c>
      <c r="J97"/>
      <c r="K97" t="s">
        <v>884</v>
      </c>
      <c r="L97" t="s">
        <v>922</v>
      </c>
      <c r="M97" t="s">
        <v>890</v>
      </c>
      <c r="N97" t="s">
        <v>461</v>
      </c>
      <c r="O97" t="s">
        <v>463</v>
      </c>
      <c r="P97"/>
      <c r="Q97"/>
      <c r="R97" t="s">
        <v>443</v>
      </c>
      <c r="S97" t="s">
        <v>885</v>
      </c>
      <c r="T97" s="16">
        <v>45383</v>
      </c>
      <c r="U97"/>
      <c r="V97" s="16">
        <v>45753.511805555558</v>
      </c>
      <c r="W97" t="s">
        <v>892</v>
      </c>
      <c r="X97" s="16">
        <v>45748.511805555558</v>
      </c>
      <c r="Y97">
        <v>230.3</v>
      </c>
      <c r="Z97"/>
      <c r="AA97" t="s">
        <v>462</v>
      </c>
      <c r="AB97" t="s">
        <v>2050</v>
      </c>
      <c r="AC97" t="s">
        <v>41</v>
      </c>
      <c r="AD97"/>
      <c r="AE97">
        <v>3</v>
      </c>
      <c r="AF97" t="s">
        <v>41</v>
      </c>
      <c r="AG97"/>
      <c r="AH97"/>
      <c r="AI97"/>
      <c r="AJ97"/>
      <c r="AK97">
        <v>361</v>
      </c>
    </row>
    <row r="98" spans="1:37" x14ac:dyDescent="0.2">
      <c r="A98" t="s">
        <v>2046</v>
      </c>
      <c r="B98" t="s">
        <v>2992</v>
      </c>
      <c r="C98">
        <v>20</v>
      </c>
      <c r="D98" t="s">
        <v>554</v>
      </c>
      <c r="E98" t="s">
        <v>553</v>
      </c>
      <c r="F98" t="s">
        <v>443</v>
      </c>
      <c r="G98" t="s">
        <v>34</v>
      </c>
      <c r="H98" t="s">
        <v>2887</v>
      </c>
      <c r="I98" t="s">
        <v>897</v>
      </c>
      <c r="J98"/>
      <c r="K98" t="s">
        <v>884</v>
      </c>
      <c r="L98" t="s">
        <v>922</v>
      </c>
      <c r="M98" t="s">
        <v>886</v>
      </c>
      <c r="N98" t="s">
        <v>461</v>
      </c>
      <c r="O98" t="s">
        <v>463</v>
      </c>
      <c r="P98"/>
      <c r="Q98"/>
      <c r="R98" t="s">
        <v>443</v>
      </c>
      <c r="S98" t="s">
        <v>885</v>
      </c>
      <c r="T98" s="16">
        <v>45040</v>
      </c>
      <c r="U98"/>
      <c r="V98" s="16">
        <v>45776.581250000003</v>
      </c>
      <c r="W98" t="s">
        <v>892</v>
      </c>
      <c r="X98" s="16">
        <v>45771.581250000003</v>
      </c>
      <c r="Y98">
        <v>207.2</v>
      </c>
      <c r="Z98"/>
      <c r="AA98" t="s">
        <v>462</v>
      </c>
      <c r="AB98" t="s">
        <v>2034</v>
      </c>
      <c r="AC98" t="s">
        <v>41</v>
      </c>
      <c r="AD98"/>
      <c r="AE98">
        <v>2</v>
      </c>
      <c r="AF98" t="s">
        <v>41</v>
      </c>
      <c r="AG98"/>
      <c r="AH98"/>
      <c r="AI98"/>
      <c r="AJ98"/>
      <c r="AK98">
        <v>361</v>
      </c>
    </row>
    <row r="99" spans="1:37" x14ac:dyDescent="0.2">
      <c r="A99" t="s">
        <v>2046</v>
      </c>
      <c r="B99" t="s">
        <v>2992</v>
      </c>
      <c r="C99">
        <v>20</v>
      </c>
      <c r="D99" t="s">
        <v>610</v>
      </c>
      <c r="E99" t="s">
        <v>609</v>
      </c>
      <c r="F99" t="s">
        <v>443</v>
      </c>
      <c r="G99" t="s">
        <v>34</v>
      </c>
      <c r="H99" t="s">
        <v>2846</v>
      </c>
      <c r="I99" t="s">
        <v>2051</v>
      </c>
      <c r="J99"/>
      <c r="K99" t="s">
        <v>892</v>
      </c>
      <c r="L99" t="s">
        <v>922</v>
      </c>
      <c r="M99" t="s">
        <v>890</v>
      </c>
      <c r="N99" t="s">
        <v>461</v>
      </c>
      <c r="O99" t="s">
        <v>463</v>
      </c>
      <c r="P99"/>
      <c r="Q99"/>
      <c r="R99" t="s">
        <v>443</v>
      </c>
      <c r="S99" t="s">
        <v>885</v>
      </c>
      <c r="T99" s="16">
        <v>45081</v>
      </c>
      <c r="U99" t="s">
        <v>2004</v>
      </c>
      <c r="V99" s="16">
        <v>45817.613888888889</v>
      </c>
      <c r="W99" t="s">
        <v>892</v>
      </c>
      <c r="X99" s="16">
        <v>45812.613888888889</v>
      </c>
      <c r="Y99">
        <v>166.2</v>
      </c>
      <c r="Z99"/>
      <c r="AA99" t="s">
        <v>462</v>
      </c>
      <c r="AB99"/>
      <c r="AC99" t="s">
        <v>41</v>
      </c>
      <c r="AD99"/>
      <c r="AE99">
        <v>2</v>
      </c>
      <c r="AF99" t="s">
        <v>41</v>
      </c>
      <c r="AG99"/>
      <c r="AH99"/>
      <c r="AI99"/>
      <c r="AJ99"/>
      <c r="AK99">
        <v>361</v>
      </c>
    </row>
    <row r="100" spans="1:37" x14ac:dyDescent="0.2">
      <c r="A100" t="s">
        <v>2046</v>
      </c>
      <c r="B100" t="s">
        <v>2992</v>
      </c>
      <c r="C100">
        <v>20</v>
      </c>
      <c r="D100" t="s">
        <v>668</v>
      </c>
      <c r="E100" t="s">
        <v>667</v>
      </c>
      <c r="F100" t="s">
        <v>443</v>
      </c>
      <c r="G100" t="s">
        <v>34</v>
      </c>
      <c r="H100" t="s">
        <v>2799</v>
      </c>
      <c r="I100" t="s">
        <v>897</v>
      </c>
      <c r="J100" t="s">
        <v>884</v>
      </c>
      <c r="K100" t="s">
        <v>884</v>
      </c>
      <c r="L100" t="s">
        <v>2052</v>
      </c>
      <c r="M100" t="s">
        <v>890</v>
      </c>
      <c r="N100" t="s">
        <v>461</v>
      </c>
      <c r="O100" t="s">
        <v>463</v>
      </c>
      <c r="P100"/>
      <c r="Q100"/>
      <c r="R100" t="s">
        <v>443</v>
      </c>
      <c r="S100" t="s">
        <v>885</v>
      </c>
      <c r="T100" s="16">
        <v>44751</v>
      </c>
      <c r="U100"/>
      <c r="V100" s="16">
        <v>45852.590277777781</v>
      </c>
      <c r="W100" t="s">
        <v>892</v>
      </c>
      <c r="X100" s="16">
        <v>45847.590277777781</v>
      </c>
      <c r="Y100">
        <v>131.19999999999999</v>
      </c>
      <c r="Z100"/>
      <c r="AA100" t="s">
        <v>462</v>
      </c>
      <c r="AB100" t="s">
        <v>2053</v>
      </c>
      <c r="AC100" t="s">
        <v>41</v>
      </c>
      <c r="AD100"/>
      <c r="AE100">
        <v>2</v>
      </c>
      <c r="AF100" t="s">
        <v>41</v>
      </c>
      <c r="AG100"/>
      <c r="AH100"/>
      <c r="AI100"/>
      <c r="AJ100"/>
      <c r="AK100">
        <v>361</v>
      </c>
    </row>
    <row r="101" spans="1:37" x14ac:dyDescent="0.2">
      <c r="A101" t="s">
        <v>2046</v>
      </c>
      <c r="B101" t="s">
        <v>2992</v>
      </c>
      <c r="C101">
        <v>20</v>
      </c>
      <c r="D101" t="s">
        <v>684</v>
      </c>
      <c r="E101" t="s">
        <v>683</v>
      </c>
      <c r="F101" t="s">
        <v>443</v>
      </c>
      <c r="G101" t="s">
        <v>34</v>
      </c>
      <c r="H101" t="s">
        <v>2993</v>
      </c>
      <c r="I101" t="s">
        <v>894</v>
      </c>
      <c r="J101"/>
      <c r="K101" t="s">
        <v>884</v>
      </c>
      <c r="L101" t="s">
        <v>922</v>
      </c>
      <c r="M101" t="s">
        <v>890</v>
      </c>
      <c r="N101" t="s">
        <v>461</v>
      </c>
      <c r="O101" t="s">
        <v>463</v>
      </c>
      <c r="P101"/>
      <c r="Q101"/>
      <c r="R101" t="s">
        <v>443</v>
      </c>
      <c r="S101" t="s">
        <v>885</v>
      </c>
      <c r="T101" s="16">
        <v>45819</v>
      </c>
      <c r="U101" t="s">
        <v>2004</v>
      </c>
      <c r="V101" s="16">
        <v>45866.588888888888</v>
      </c>
      <c r="W101" t="s">
        <v>892</v>
      </c>
      <c r="X101" s="16">
        <v>45861.588888888888</v>
      </c>
      <c r="Y101">
        <v>117.2</v>
      </c>
      <c r="Z101"/>
      <c r="AA101" t="s">
        <v>462</v>
      </c>
      <c r="AB101" t="s">
        <v>2054</v>
      </c>
      <c r="AC101" t="s">
        <v>41</v>
      </c>
      <c r="AD101"/>
      <c r="AE101">
        <v>2</v>
      </c>
      <c r="AF101" t="s">
        <v>41</v>
      </c>
      <c r="AG101"/>
      <c r="AH101"/>
      <c r="AI101"/>
      <c r="AJ101"/>
      <c r="AK101">
        <v>361</v>
      </c>
    </row>
    <row r="102" spans="1:37" x14ac:dyDescent="0.2">
      <c r="A102" t="s">
        <v>2046</v>
      </c>
      <c r="B102" t="s">
        <v>2992</v>
      </c>
      <c r="C102">
        <v>20</v>
      </c>
      <c r="D102" t="s">
        <v>773</v>
      </c>
      <c r="E102" t="s">
        <v>771</v>
      </c>
      <c r="F102" t="s">
        <v>443</v>
      </c>
      <c r="G102" t="s">
        <v>548</v>
      </c>
      <c r="H102" t="s">
        <v>2727</v>
      </c>
      <c r="I102" t="s">
        <v>2055</v>
      </c>
      <c r="J102"/>
      <c r="K102" t="s">
        <v>884</v>
      </c>
      <c r="L102" t="s">
        <v>2052</v>
      </c>
      <c r="M102" t="s">
        <v>890</v>
      </c>
      <c r="N102" t="s">
        <v>461</v>
      </c>
      <c r="O102" t="s">
        <v>463</v>
      </c>
      <c r="P102"/>
      <c r="Q102"/>
      <c r="R102" t="s">
        <v>443</v>
      </c>
      <c r="S102" t="s">
        <v>885</v>
      </c>
      <c r="T102" s="16">
        <v>44443</v>
      </c>
      <c r="U102"/>
      <c r="V102">
        <v>45819.593055555553</v>
      </c>
      <c r="W102" t="s">
        <v>892</v>
      </c>
      <c r="X102" s="16">
        <v>45814.593055555553</v>
      </c>
      <c r="Y102">
        <v>164.2</v>
      </c>
      <c r="Z102"/>
      <c r="AA102" t="s">
        <v>462</v>
      </c>
      <c r="AB102"/>
      <c r="AC102" t="s">
        <v>41</v>
      </c>
      <c r="AD102"/>
      <c r="AE102">
        <v>2</v>
      </c>
      <c r="AF102" t="s">
        <v>41</v>
      </c>
      <c r="AG102"/>
      <c r="AH102"/>
      <c r="AI102"/>
      <c r="AJ102"/>
      <c r="AK102">
        <v>361</v>
      </c>
    </row>
    <row r="103" spans="1:37" x14ac:dyDescent="0.2">
      <c r="A103" t="s">
        <v>2046</v>
      </c>
      <c r="B103" t="s">
        <v>2992</v>
      </c>
      <c r="C103">
        <v>20</v>
      </c>
      <c r="D103" t="s">
        <v>479</v>
      </c>
      <c r="E103" t="s">
        <v>478</v>
      </c>
      <c r="F103" t="s">
        <v>443</v>
      </c>
      <c r="G103" t="s">
        <v>34</v>
      </c>
      <c r="H103" t="s">
        <v>2718</v>
      </c>
      <c r="I103" t="s">
        <v>894</v>
      </c>
      <c r="J103" t="s">
        <v>884</v>
      </c>
      <c r="K103" t="s">
        <v>884</v>
      </c>
      <c r="L103" t="s">
        <v>922</v>
      </c>
      <c r="M103" t="s">
        <v>890</v>
      </c>
      <c r="N103" t="s">
        <v>461</v>
      </c>
      <c r="O103" t="s">
        <v>463</v>
      </c>
      <c r="P103"/>
      <c r="Q103">
        <v>941000028841335</v>
      </c>
      <c r="R103" t="s">
        <v>443</v>
      </c>
      <c r="S103" t="s">
        <v>885</v>
      </c>
      <c r="T103" s="16">
        <v>45177</v>
      </c>
      <c r="U103"/>
      <c r="V103" s="16">
        <v>45243.695833333331</v>
      </c>
      <c r="W103" t="s">
        <v>892</v>
      </c>
      <c r="X103" s="16">
        <v>45238.695833333331</v>
      </c>
      <c r="Y103">
        <v>740.1</v>
      </c>
      <c r="Z103"/>
      <c r="AA103" t="s">
        <v>475</v>
      </c>
      <c r="AB103" t="s">
        <v>2056</v>
      </c>
      <c r="AC103" t="s">
        <v>41</v>
      </c>
      <c r="AD103"/>
      <c r="AE103">
        <v>2</v>
      </c>
      <c r="AF103" t="s">
        <v>41</v>
      </c>
      <c r="AG103"/>
      <c r="AH103"/>
      <c r="AI103"/>
      <c r="AJ103"/>
      <c r="AK103">
        <v>361</v>
      </c>
    </row>
    <row r="104" spans="1:37" x14ac:dyDescent="0.2">
      <c r="A104" t="s">
        <v>2046</v>
      </c>
      <c r="B104" t="s">
        <v>2992</v>
      </c>
      <c r="C104">
        <v>20</v>
      </c>
      <c r="D104" t="s">
        <v>549</v>
      </c>
      <c r="E104" t="s">
        <v>547</v>
      </c>
      <c r="F104" t="s">
        <v>443</v>
      </c>
      <c r="G104" t="s">
        <v>548</v>
      </c>
      <c r="H104" t="s">
        <v>2891</v>
      </c>
      <c r="I104" t="s">
        <v>897</v>
      </c>
      <c r="J104" t="s">
        <v>884</v>
      </c>
      <c r="K104" t="s">
        <v>884</v>
      </c>
      <c r="L104" t="s">
        <v>887</v>
      </c>
      <c r="M104" t="s">
        <v>886</v>
      </c>
      <c r="N104" t="s">
        <v>461</v>
      </c>
      <c r="O104" t="s">
        <v>463</v>
      </c>
      <c r="P104"/>
      <c r="Q104">
        <v>941000030971951</v>
      </c>
      <c r="R104" t="s">
        <v>443</v>
      </c>
      <c r="S104" t="s">
        <v>885</v>
      </c>
      <c r="T104" s="16">
        <v>42853</v>
      </c>
      <c r="U104"/>
      <c r="V104" s="16">
        <v>45773.611111111109</v>
      </c>
      <c r="W104" t="s">
        <v>892</v>
      </c>
      <c r="X104" s="16">
        <v>45768.611111111109</v>
      </c>
      <c r="Y104">
        <v>210.2</v>
      </c>
      <c r="Z104"/>
      <c r="AA104" t="s">
        <v>475</v>
      </c>
      <c r="AB104" t="s">
        <v>2057</v>
      </c>
      <c r="AC104" t="s">
        <v>41</v>
      </c>
      <c r="AD104"/>
      <c r="AE104">
        <v>3</v>
      </c>
      <c r="AF104" t="s">
        <v>41</v>
      </c>
      <c r="AG104"/>
      <c r="AH104"/>
      <c r="AI104"/>
      <c r="AJ104"/>
      <c r="AK104">
        <v>361</v>
      </c>
    </row>
    <row r="105" spans="1:37" x14ac:dyDescent="0.2">
      <c r="A105" t="s">
        <v>2046</v>
      </c>
      <c r="B105" t="s">
        <v>2992</v>
      </c>
      <c r="C105">
        <v>20</v>
      </c>
      <c r="D105" t="s">
        <v>620</v>
      </c>
      <c r="E105" t="s">
        <v>619</v>
      </c>
      <c r="F105" t="s">
        <v>443</v>
      </c>
      <c r="G105" t="s">
        <v>34</v>
      </c>
      <c r="H105" t="s">
        <v>2840</v>
      </c>
      <c r="I105" t="s">
        <v>2055</v>
      </c>
      <c r="J105"/>
      <c r="K105" t="s">
        <v>884</v>
      </c>
      <c r="L105" t="s">
        <v>922</v>
      </c>
      <c r="M105" t="s">
        <v>886</v>
      </c>
      <c r="N105" t="s">
        <v>461</v>
      </c>
      <c r="O105" t="s">
        <v>463</v>
      </c>
      <c r="P105"/>
      <c r="Q105"/>
      <c r="R105" t="s">
        <v>443</v>
      </c>
      <c r="S105" t="s">
        <v>885</v>
      </c>
      <c r="T105" s="16">
        <v>45452</v>
      </c>
      <c r="U105" t="s">
        <v>2000</v>
      </c>
      <c r="V105" s="16">
        <v>45822.435416666667</v>
      </c>
      <c r="W105" t="s">
        <v>892</v>
      </c>
      <c r="X105" s="16">
        <v>45817.435416666667</v>
      </c>
      <c r="Y105">
        <v>161.30000000000001</v>
      </c>
      <c r="Z105"/>
      <c r="AA105" t="s">
        <v>475</v>
      </c>
      <c r="AB105"/>
      <c r="AC105" t="s">
        <v>41</v>
      </c>
      <c r="AD105"/>
      <c r="AE105">
        <v>2</v>
      </c>
      <c r="AF105" t="s">
        <v>41</v>
      </c>
      <c r="AG105"/>
      <c r="AH105"/>
      <c r="AI105"/>
      <c r="AJ105"/>
      <c r="AK105">
        <v>361</v>
      </c>
    </row>
    <row r="106" spans="1:37" x14ac:dyDescent="0.2">
      <c r="A106" t="s">
        <v>2046</v>
      </c>
      <c r="B106" t="s">
        <v>2992</v>
      </c>
      <c r="C106">
        <v>20</v>
      </c>
      <c r="D106" t="s">
        <v>701</v>
      </c>
      <c r="E106" t="s">
        <v>1925</v>
      </c>
      <c r="F106" t="s">
        <v>443</v>
      </c>
      <c r="G106" t="s">
        <v>34</v>
      </c>
      <c r="H106" t="s">
        <v>2772</v>
      </c>
      <c r="I106" t="s">
        <v>2027</v>
      </c>
      <c r="J106" t="s">
        <v>884</v>
      </c>
      <c r="K106" t="s">
        <v>884</v>
      </c>
      <c r="L106" t="s">
        <v>922</v>
      </c>
      <c r="M106" t="s">
        <v>886</v>
      </c>
      <c r="N106" t="s">
        <v>461</v>
      </c>
      <c r="O106" t="s">
        <v>463</v>
      </c>
      <c r="P106"/>
      <c r="Q106"/>
      <c r="R106" t="s">
        <v>443</v>
      </c>
      <c r="S106" t="s">
        <v>885</v>
      </c>
      <c r="T106" s="16">
        <v>45505</v>
      </c>
      <c r="U106"/>
      <c r="V106" s="16">
        <v>45875.515277777777</v>
      </c>
      <c r="W106" t="s">
        <v>892</v>
      </c>
      <c r="X106" s="16">
        <v>45870.515277777777</v>
      </c>
      <c r="Y106">
        <v>108.3</v>
      </c>
      <c r="Z106"/>
      <c r="AA106" t="s">
        <v>724</v>
      </c>
      <c r="AB106" t="s">
        <v>2058</v>
      </c>
      <c r="AC106" t="s">
        <v>41</v>
      </c>
      <c r="AD106"/>
      <c r="AE106">
        <v>2</v>
      </c>
      <c r="AF106" t="s">
        <v>41</v>
      </c>
      <c r="AG106"/>
      <c r="AH106"/>
      <c r="AI106"/>
      <c r="AJ106"/>
      <c r="AK106">
        <v>361</v>
      </c>
    </row>
    <row r="107" spans="1:37" x14ac:dyDescent="0.2">
      <c r="A107" t="s">
        <v>2046</v>
      </c>
      <c r="B107" t="s">
        <v>2992</v>
      </c>
      <c r="C107">
        <v>20</v>
      </c>
      <c r="D107" t="s">
        <v>726</v>
      </c>
      <c r="E107" t="s">
        <v>725</v>
      </c>
      <c r="F107" t="s">
        <v>443</v>
      </c>
      <c r="G107" t="s">
        <v>34</v>
      </c>
      <c r="H107" t="s">
        <v>2754</v>
      </c>
      <c r="I107" t="s">
        <v>903</v>
      </c>
      <c r="J107"/>
      <c r="K107" t="s">
        <v>892</v>
      </c>
      <c r="L107" t="s">
        <v>922</v>
      </c>
      <c r="M107" t="s">
        <v>886</v>
      </c>
      <c r="N107" t="s">
        <v>461</v>
      </c>
      <c r="O107" t="s">
        <v>463</v>
      </c>
      <c r="P107"/>
      <c r="Q107"/>
      <c r="R107" t="s">
        <v>443</v>
      </c>
      <c r="S107" t="s">
        <v>885</v>
      </c>
      <c r="T107" s="16">
        <v>45511</v>
      </c>
      <c r="U107"/>
      <c r="V107" s="16">
        <v>45881.615972222222</v>
      </c>
      <c r="W107" t="s">
        <v>892</v>
      </c>
      <c r="X107" s="16">
        <v>45876.615972222222</v>
      </c>
      <c r="Y107">
        <v>102.2</v>
      </c>
      <c r="Z107"/>
      <c r="AA107" t="s">
        <v>724</v>
      </c>
      <c r="AB107"/>
      <c r="AC107" t="s">
        <v>41</v>
      </c>
      <c r="AD107"/>
      <c r="AE107">
        <v>3</v>
      </c>
      <c r="AF107" t="s">
        <v>41</v>
      </c>
      <c r="AG107"/>
      <c r="AH107"/>
      <c r="AI107"/>
      <c r="AJ107"/>
      <c r="AK107">
        <v>361</v>
      </c>
    </row>
    <row r="108" spans="1:37" x14ac:dyDescent="0.2">
      <c r="A108" t="s">
        <v>2046</v>
      </c>
      <c r="B108" t="s">
        <v>2992</v>
      </c>
      <c r="C108">
        <v>20</v>
      </c>
      <c r="D108" t="s">
        <v>789</v>
      </c>
      <c r="E108" t="s">
        <v>1182</v>
      </c>
      <c r="F108" t="s">
        <v>443</v>
      </c>
      <c r="G108" t="s">
        <v>34</v>
      </c>
      <c r="H108" t="s">
        <v>2711</v>
      </c>
      <c r="I108" t="s">
        <v>923</v>
      </c>
      <c r="J108"/>
      <c r="K108" t="s">
        <v>884</v>
      </c>
      <c r="L108" t="s">
        <v>922</v>
      </c>
      <c r="M108" t="s">
        <v>890</v>
      </c>
      <c r="N108" t="s">
        <v>461</v>
      </c>
      <c r="O108" t="s">
        <v>463</v>
      </c>
      <c r="P108"/>
      <c r="Q108"/>
      <c r="R108" t="s">
        <v>443</v>
      </c>
      <c r="S108" t="s">
        <v>885</v>
      </c>
      <c r="T108" s="16">
        <v>45178</v>
      </c>
      <c r="U108"/>
      <c r="V108" s="16">
        <v>45914.477777777778</v>
      </c>
      <c r="W108" t="s">
        <v>892</v>
      </c>
      <c r="X108" s="16">
        <v>45909.477777777778</v>
      </c>
      <c r="Y108">
        <v>69.3</v>
      </c>
      <c r="Z108"/>
      <c r="AA108" t="s">
        <v>831</v>
      </c>
      <c r="AB108" t="s">
        <v>2050</v>
      </c>
      <c r="AC108" t="s">
        <v>41</v>
      </c>
      <c r="AD108"/>
      <c r="AE108">
        <v>2</v>
      </c>
      <c r="AF108" t="s">
        <v>41</v>
      </c>
      <c r="AG108"/>
      <c r="AH108"/>
      <c r="AI108"/>
      <c r="AJ108"/>
      <c r="AK108">
        <v>361</v>
      </c>
    </row>
    <row r="109" spans="1:37" x14ac:dyDescent="0.2">
      <c r="A109" t="s">
        <v>2046</v>
      </c>
      <c r="B109" t="s">
        <v>2992</v>
      </c>
      <c r="C109">
        <v>20</v>
      </c>
      <c r="D109" t="s">
        <v>790</v>
      </c>
      <c r="E109" t="s">
        <v>1181</v>
      </c>
      <c r="F109" t="s">
        <v>443</v>
      </c>
      <c r="G109" t="s">
        <v>34</v>
      </c>
      <c r="H109" t="s">
        <v>2711</v>
      </c>
      <c r="I109" t="s">
        <v>935</v>
      </c>
      <c r="J109"/>
      <c r="K109" t="s">
        <v>884</v>
      </c>
      <c r="L109" t="s">
        <v>922</v>
      </c>
      <c r="M109" t="s">
        <v>886</v>
      </c>
      <c r="N109" t="s">
        <v>461</v>
      </c>
      <c r="O109" t="s">
        <v>463</v>
      </c>
      <c r="P109"/>
      <c r="Q109"/>
      <c r="R109" t="s">
        <v>443</v>
      </c>
      <c r="S109" t="s">
        <v>885</v>
      </c>
      <c r="T109" s="16">
        <v>45178</v>
      </c>
      <c r="U109" t="s">
        <v>2013</v>
      </c>
      <c r="V109" s="16">
        <v>45914.477777777778</v>
      </c>
      <c r="W109" t="s">
        <v>892</v>
      </c>
      <c r="X109" s="16">
        <v>45909.477777777778</v>
      </c>
      <c r="Y109">
        <v>69.3</v>
      </c>
      <c r="Z109"/>
      <c r="AA109" t="s">
        <v>831</v>
      </c>
      <c r="AB109" t="s">
        <v>976</v>
      </c>
      <c r="AC109" t="s">
        <v>41</v>
      </c>
      <c r="AD109"/>
      <c r="AE109">
        <v>2</v>
      </c>
      <c r="AF109" t="s">
        <v>41</v>
      </c>
      <c r="AG109"/>
      <c r="AH109"/>
      <c r="AI109"/>
      <c r="AJ109"/>
      <c r="AK109">
        <v>361</v>
      </c>
    </row>
    <row r="110" spans="1:37" x14ac:dyDescent="0.2">
      <c r="A110" t="s">
        <v>2046</v>
      </c>
      <c r="B110" t="s">
        <v>2992</v>
      </c>
      <c r="C110">
        <v>20</v>
      </c>
      <c r="D110" t="s">
        <v>793</v>
      </c>
      <c r="E110" t="s">
        <v>1180</v>
      </c>
      <c r="F110" t="s">
        <v>443</v>
      </c>
      <c r="G110" t="s">
        <v>34</v>
      </c>
      <c r="H110" t="s">
        <v>1917</v>
      </c>
      <c r="I110" t="s">
        <v>1999</v>
      </c>
      <c r="J110"/>
      <c r="K110" t="s">
        <v>884</v>
      </c>
      <c r="L110" t="s">
        <v>922</v>
      </c>
      <c r="M110" t="s">
        <v>886</v>
      </c>
      <c r="N110" t="s">
        <v>461</v>
      </c>
      <c r="O110" t="s">
        <v>463</v>
      </c>
      <c r="P110"/>
      <c r="Q110"/>
      <c r="R110" t="s">
        <v>443</v>
      </c>
      <c r="S110" t="s">
        <v>885</v>
      </c>
      <c r="T110" s="16">
        <v>45546</v>
      </c>
      <c r="U110"/>
      <c r="V110" s="16">
        <v>45916.525000000001</v>
      </c>
      <c r="W110" t="s">
        <v>892</v>
      </c>
      <c r="X110" s="16">
        <v>45911.525000000001</v>
      </c>
      <c r="Y110">
        <v>67.3</v>
      </c>
      <c r="Z110"/>
      <c r="AA110" t="s">
        <v>831</v>
      </c>
      <c r="AB110" t="s">
        <v>976</v>
      </c>
      <c r="AC110" t="s">
        <v>41</v>
      </c>
      <c r="AD110"/>
      <c r="AE110">
        <v>2</v>
      </c>
      <c r="AF110" t="s">
        <v>41</v>
      </c>
      <c r="AG110"/>
      <c r="AH110"/>
      <c r="AI110"/>
      <c r="AJ110"/>
      <c r="AK110">
        <v>361</v>
      </c>
    </row>
    <row r="111" spans="1:37" x14ac:dyDescent="0.2">
      <c r="A111" t="s">
        <v>2046</v>
      </c>
      <c r="B111" t="s">
        <v>2992</v>
      </c>
      <c r="C111">
        <v>20</v>
      </c>
      <c r="D111" t="s">
        <v>555</v>
      </c>
      <c r="E111" t="s">
        <v>1199</v>
      </c>
      <c r="F111" t="s">
        <v>443</v>
      </c>
      <c r="G111" t="s">
        <v>34</v>
      </c>
      <c r="H111" t="s">
        <v>2885</v>
      </c>
      <c r="I111" t="s">
        <v>903</v>
      </c>
      <c r="J111" t="s">
        <v>884</v>
      </c>
      <c r="K111" t="s">
        <v>892</v>
      </c>
      <c r="L111" t="s">
        <v>887</v>
      </c>
      <c r="M111" t="s">
        <v>890</v>
      </c>
      <c r="N111" t="s">
        <v>461</v>
      </c>
      <c r="O111" t="s">
        <v>463</v>
      </c>
      <c r="P111"/>
      <c r="Q111"/>
      <c r="R111" t="s">
        <v>443</v>
      </c>
      <c r="S111" t="s">
        <v>885</v>
      </c>
      <c r="T111" s="16">
        <v>45413</v>
      </c>
      <c r="U111"/>
      <c r="V111" s="16">
        <v>45783.585416666669</v>
      </c>
      <c r="W111" t="s">
        <v>892</v>
      </c>
      <c r="X111" s="16">
        <v>45778.585416666669</v>
      </c>
      <c r="Y111">
        <v>200.2</v>
      </c>
      <c r="Z111"/>
      <c r="AA111" t="s">
        <v>558</v>
      </c>
      <c r="AB111" t="s">
        <v>2050</v>
      </c>
      <c r="AC111" t="s">
        <v>41</v>
      </c>
      <c r="AD111"/>
      <c r="AE111">
        <v>2</v>
      </c>
      <c r="AF111" t="s">
        <v>41</v>
      </c>
      <c r="AG111"/>
      <c r="AH111"/>
      <c r="AI111"/>
      <c r="AJ111"/>
      <c r="AK111">
        <v>361</v>
      </c>
    </row>
    <row r="112" spans="1:37" x14ac:dyDescent="0.2">
      <c r="A112" t="s">
        <v>2046</v>
      </c>
      <c r="B112" t="s">
        <v>2992</v>
      </c>
      <c r="C112">
        <v>20</v>
      </c>
      <c r="D112" t="s">
        <v>560</v>
      </c>
      <c r="E112" t="s">
        <v>559</v>
      </c>
      <c r="F112" t="s">
        <v>443</v>
      </c>
      <c r="G112" t="s">
        <v>548</v>
      </c>
      <c r="H112" t="s">
        <v>2881</v>
      </c>
      <c r="I112" t="s">
        <v>897</v>
      </c>
      <c r="J112" t="s">
        <v>884</v>
      </c>
      <c r="K112" t="s">
        <v>884</v>
      </c>
      <c r="L112" t="s">
        <v>2052</v>
      </c>
      <c r="M112" t="s">
        <v>886</v>
      </c>
      <c r="N112" t="s">
        <v>461</v>
      </c>
      <c r="O112" t="s">
        <v>463</v>
      </c>
      <c r="P112"/>
      <c r="Q112"/>
      <c r="R112" t="s">
        <v>443</v>
      </c>
      <c r="S112" t="s">
        <v>885</v>
      </c>
      <c r="T112" s="16">
        <v>45048</v>
      </c>
      <c r="U112"/>
      <c r="V112" s="16">
        <v>45784.522222222222</v>
      </c>
      <c r="W112" t="s">
        <v>892</v>
      </c>
      <c r="X112" s="16">
        <v>45779.522222222222</v>
      </c>
      <c r="Y112">
        <v>199.3</v>
      </c>
      <c r="Z112"/>
      <c r="AA112" t="s">
        <v>558</v>
      </c>
      <c r="AB112" t="s">
        <v>2058</v>
      </c>
      <c r="AC112" t="s">
        <v>41</v>
      </c>
      <c r="AD112"/>
      <c r="AE112">
        <v>2</v>
      </c>
      <c r="AF112" t="s">
        <v>41</v>
      </c>
      <c r="AG112"/>
      <c r="AH112"/>
      <c r="AI112"/>
      <c r="AJ112"/>
      <c r="AK112">
        <v>361</v>
      </c>
    </row>
    <row r="113" spans="1:37" x14ac:dyDescent="0.2">
      <c r="A113" t="s">
        <v>2046</v>
      </c>
      <c r="B113" t="s">
        <v>2992</v>
      </c>
      <c r="C113">
        <v>20</v>
      </c>
      <c r="D113" t="s">
        <v>722</v>
      </c>
      <c r="E113" t="s">
        <v>721</v>
      </c>
      <c r="F113" t="s">
        <v>443</v>
      </c>
      <c r="G113" t="s">
        <v>34</v>
      </c>
      <c r="H113" t="s">
        <v>2757</v>
      </c>
      <c r="I113" t="s">
        <v>897</v>
      </c>
      <c r="J113" t="s">
        <v>884</v>
      </c>
      <c r="K113" t="s">
        <v>884</v>
      </c>
      <c r="L113" t="s">
        <v>922</v>
      </c>
      <c r="M113" t="s">
        <v>886</v>
      </c>
      <c r="N113" t="s">
        <v>461</v>
      </c>
      <c r="O113" t="s">
        <v>463</v>
      </c>
      <c r="P113"/>
      <c r="Q113"/>
      <c r="R113" t="s">
        <v>443</v>
      </c>
      <c r="S113" t="s">
        <v>885</v>
      </c>
      <c r="T113" s="16">
        <v>45510</v>
      </c>
      <c r="U113"/>
      <c r="V113" s="16">
        <v>45880.477777777778</v>
      </c>
      <c r="W113" t="s">
        <v>892</v>
      </c>
      <c r="X113" s="16">
        <v>45875.477777777778</v>
      </c>
      <c r="Y113">
        <v>103.3</v>
      </c>
      <c r="Z113"/>
      <c r="AA113" t="s">
        <v>558</v>
      </c>
      <c r="AB113" t="s">
        <v>2058</v>
      </c>
      <c r="AC113" t="s">
        <v>41</v>
      </c>
      <c r="AD113"/>
      <c r="AE113">
        <v>2</v>
      </c>
      <c r="AF113" t="s">
        <v>41</v>
      </c>
      <c r="AG113"/>
      <c r="AH113"/>
      <c r="AI113"/>
      <c r="AJ113"/>
      <c r="AK113">
        <v>361</v>
      </c>
    </row>
    <row r="114" spans="1:37" x14ac:dyDescent="0.2">
      <c r="A114" t="s">
        <v>987</v>
      </c>
      <c r="B114" t="s">
        <v>2994</v>
      </c>
      <c r="C114">
        <v>2</v>
      </c>
      <c r="D114" t="s">
        <v>855</v>
      </c>
      <c r="E114" t="s">
        <v>854</v>
      </c>
      <c r="F114" t="s">
        <v>444</v>
      </c>
      <c r="G114" t="s">
        <v>468</v>
      </c>
      <c r="H114" t="s">
        <v>2646</v>
      </c>
      <c r="I114" t="s">
        <v>935</v>
      </c>
      <c r="J114" t="s">
        <v>884</v>
      </c>
      <c r="K114" t="s">
        <v>884</v>
      </c>
      <c r="L114" t="s">
        <v>887</v>
      </c>
      <c r="M114" t="s">
        <v>886</v>
      </c>
      <c r="N114" t="s">
        <v>494</v>
      </c>
      <c r="O114" t="s">
        <v>469</v>
      </c>
      <c r="P114" t="s">
        <v>456</v>
      </c>
      <c r="Q114">
        <v>941000030976546</v>
      </c>
      <c r="R114" t="s">
        <v>444</v>
      </c>
      <c r="S114" t="s">
        <v>885</v>
      </c>
      <c r="T114" s="16">
        <v>44838</v>
      </c>
      <c r="U114"/>
      <c r="V114" s="16">
        <v>45935.542361111111</v>
      </c>
      <c r="W114" t="s">
        <v>884</v>
      </c>
      <c r="X114" s="16">
        <v>45930.542361111111</v>
      </c>
      <c r="Y114">
        <v>48.2</v>
      </c>
      <c r="Z114"/>
      <c r="AA114" t="s">
        <v>469</v>
      </c>
      <c r="AB114" t="s">
        <v>988</v>
      </c>
      <c r="AC114" t="s">
        <v>41</v>
      </c>
      <c r="AD114"/>
      <c r="AE114">
        <v>1</v>
      </c>
      <c r="AF114" t="s">
        <v>41</v>
      </c>
      <c r="AG114"/>
      <c r="AH114"/>
      <c r="AI114"/>
      <c r="AJ114"/>
      <c r="AK114">
        <v>361</v>
      </c>
    </row>
    <row r="115" spans="1:37" x14ac:dyDescent="0.2">
      <c r="A115" t="s">
        <v>987</v>
      </c>
      <c r="B115" t="s">
        <v>2994</v>
      </c>
      <c r="C115">
        <v>2</v>
      </c>
      <c r="D115" t="s">
        <v>1867</v>
      </c>
      <c r="E115" t="s">
        <v>1868</v>
      </c>
      <c r="F115" t="s">
        <v>444</v>
      </c>
      <c r="G115" t="s">
        <v>510</v>
      </c>
      <c r="H115" t="s">
        <v>2995</v>
      </c>
      <c r="I115" t="s">
        <v>935</v>
      </c>
      <c r="J115" t="s">
        <v>884</v>
      </c>
      <c r="K115" t="s">
        <v>884</v>
      </c>
      <c r="L115" t="s">
        <v>922</v>
      </c>
      <c r="M115" t="s">
        <v>886</v>
      </c>
      <c r="N115" t="s">
        <v>494</v>
      </c>
      <c r="O115" t="s">
        <v>469</v>
      </c>
      <c r="P115" t="s">
        <v>735</v>
      </c>
      <c r="Q115"/>
      <c r="R115" t="s">
        <v>444</v>
      </c>
      <c r="S115" t="s">
        <v>885</v>
      </c>
      <c r="T115" s="16">
        <v>44855</v>
      </c>
      <c r="U115"/>
      <c r="V115" s="16">
        <v>45955.609722222223</v>
      </c>
      <c r="W115" t="s">
        <v>884</v>
      </c>
      <c r="X115" s="16">
        <v>45950.609722222223</v>
      </c>
      <c r="Y115">
        <v>28.2</v>
      </c>
      <c r="Z115"/>
      <c r="AA115" t="s">
        <v>469</v>
      </c>
      <c r="AB115" t="s">
        <v>1218</v>
      </c>
      <c r="AC115" t="s">
        <v>41</v>
      </c>
      <c r="AD115"/>
      <c r="AE115">
        <v>3</v>
      </c>
      <c r="AF115" t="s">
        <v>41</v>
      </c>
      <c r="AG115"/>
      <c r="AH115"/>
      <c r="AI115"/>
      <c r="AJ115"/>
      <c r="AK115">
        <v>361</v>
      </c>
    </row>
    <row r="116" spans="1:37" x14ac:dyDescent="0.2">
      <c r="A116" t="s">
        <v>2060</v>
      </c>
      <c r="B116" t="s">
        <v>2996</v>
      </c>
      <c r="C116">
        <v>8</v>
      </c>
      <c r="D116" t="s">
        <v>838</v>
      </c>
      <c r="E116" t="s">
        <v>1171</v>
      </c>
      <c r="F116" t="s">
        <v>443</v>
      </c>
      <c r="G116" t="s">
        <v>34</v>
      </c>
      <c r="H116" t="s">
        <v>1929</v>
      </c>
      <c r="I116" t="s">
        <v>964</v>
      </c>
      <c r="J116"/>
      <c r="K116" t="s">
        <v>892</v>
      </c>
      <c r="L116" t="s">
        <v>902</v>
      </c>
      <c r="M116" t="s">
        <v>890</v>
      </c>
      <c r="N116" t="s">
        <v>461</v>
      </c>
      <c r="O116" t="s">
        <v>671</v>
      </c>
      <c r="P116"/>
      <c r="Q116">
        <v>941000031784874</v>
      </c>
      <c r="R116" t="s">
        <v>443</v>
      </c>
      <c r="S116" t="s">
        <v>885</v>
      </c>
      <c r="T116" s="16">
        <v>45144</v>
      </c>
      <c r="U116" t="s">
        <v>2004</v>
      </c>
      <c r="V116" s="16"/>
      <c r="W116" t="s">
        <v>892</v>
      </c>
      <c r="X116" s="16">
        <v>45922.666666666664</v>
      </c>
      <c r="Y116">
        <v>56.1</v>
      </c>
      <c r="Z116"/>
      <c r="AA116" t="s">
        <v>1172</v>
      </c>
      <c r="AB116" t="s">
        <v>2061</v>
      </c>
      <c r="AC116" t="s">
        <v>41</v>
      </c>
      <c r="AD116"/>
      <c r="AE116">
        <v>1</v>
      </c>
      <c r="AF116" t="s">
        <v>41</v>
      </c>
      <c r="AG116"/>
      <c r="AH116"/>
      <c r="AI116"/>
      <c r="AJ116"/>
      <c r="AK116">
        <v>361</v>
      </c>
    </row>
    <row r="117" spans="1:37" x14ac:dyDescent="0.2">
      <c r="A117" t="s">
        <v>2060</v>
      </c>
      <c r="B117" t="s">
        <v>2996</v>
      </c>
      <c r="C117">
        <v>8</v>
      </c>
      <c r="D117" t="s">
        <v>2395</v>
      </c>
      <c r="E117"/>
      <c r="F117" t="s">
        <v>443</v>
      </c>
      <c r="G117" t="s">
        <v>34</v>
      </c>
      <c r="H117" t="s">
        <v>2147</v>
      </c>
      <c r="I117" t="s">
        <v>935</v>
      </c>
      <c r="J117"/>
      <c r="K117" t="s">
        <v>884</v>
      </c>
      <c r="L117" t="s">
        <v>922</v>
      </c>
      <c r="M117" t="s">
        <v>886</v>
      </c>
      <c r="N117" t="s">
        <v>749</v>
      </c>
      <c r="O117" t="s">
        <v>671</v>
      </c>
      <c r="P117"/>
      <c r="Q117"/>
      <c r="R117" t="s">
        <v>443</v>
      </c>
      <c r="S117" t="s">
        <v>885</v>
      </c>
      <c r="T117" s="16">
        <v>45236</v>
      </c>
      <c r="U117" t="s">
        <v>2013</v>
      </c>
      <c r="V117" s="16">
        <v>45972.520138888889</v>
      </c>
      <c r="W117" t="s">
        <v>884</v>
      </c>
      <c r="X117" s="16">
        <v>45967.520138888889</v>
      </c>
      <c r="Y117">
        <v>11.3</v>
      </c>
      <c r="Z117"/>
      <c r="AA117" t="s">
        <v>700</v>
      </c>
      <c r="AB117"/>
      <c r="AC117" t="s">
        <v>41</v>
      </c>
      <c r="AD117"/>
      <c r="AE117">
        <v>1</v>
      </c>
      <c r="AF117" t="s">
        <v>41</v>
      </c>
      <c r="AG117"/>
      <c r="AH117"/>
      <c r="AI117"/>
      <c r="AJ117"/>
      <c r="AK117">
        <v>361</v>
      </c>
    </row>
    <row r="118" spans="1:37" x14ac:dyDescent="0.2">
      <c r="A118" t="s">
        <v>2060</v>
      </c>
      <c r="B118" t="s">
        <v>2996</v>
      </c>
      <c r="C118">
        <v>8</v>
      </c>
      <c r="D118" t="s">
        <v>2437</v>
      </c>
      <c r="E118"/>
      <c r="F118" t="s">
        <v>443</v>
      </c>
      <c r="G118" t="s">
        <v>34</v>
      </c>
      <c r="H118" t="s">
        <v>2064</v>
      </c>
      <c r="I118" t="s">
        <v>894</v>
      </c>
      <c r="J118"/>
      <c r="K118" t="s">
        <v>884</v>
      </c>
      <c r="L118" t="s">
        <v>922</v>
      </c>
      <c r="M118" t="s">
        <v>911</v>
      </c>
      <c r="N118" t="s">
        <v>470</v>
      </c>
      <c r="O118" t="s">
        <v>671</v>
      </c>
      <c r="P118"/>
      <c r="Q118"/>
      <c r="R118" t="s">
        <v>443</v>
      </c>
      <c r="S118" t="s">
        <v>885</v>
      </c>
      <c r="T118" s="16">
        <v>45600</v>
      </c>
      <c r="U118"/>
      <c r="V118">
        <v>45970.554166666669</v>
      </c>
      <c r="W118" t="s">
        <v>884</v>
      </c>
      <c r="X118" s="16">
        <v>45965.554166666669</v>
      </c>
      <c r="Y118">
        <v>13.2</v>
      </c>
      <c r="Z118"/>
      <c r="AA118" t="s">
        <v>2438</v>
      </c>
      <c r="AB118"/>
      <c r="AC118" t="s">
        <v>41</v>
      </c>
      <c r="AD118"/>
      <c r="AE118">
        <v>1</v>
      </c>
      <c r="AF118" t="s">
        <v>41</v>
      </c>
      <c r="AG118"/>
      <c r="AH118"/>
      <c r="AI118"/>
      <c r="AJ118"/>
      <c r="AK118">
        <v>361</v>
      </c>
    </row>
    <row r="119" spans="1:37" x14ac:dyDescent="0.2">
      <c r="A119" t="s">
        <v>2060</v>
      </c>
      <c r="B119" t="s">
        <v>2996</v>
      </c>
      <c r="C119">
        <v>8</v>
      </c>
      <c r="D119" t="s">
        <v>1817</v>
      </c>
      <c r="E119" t="s">
        <v>2506</v>
      </c>
      <c r="F119" t="s">
        <v>443</v>
      </c>
      <c r="G119" t="s">
        <v>34</v>
      </c>
      <c r="H119" t="s">
        <v>2997</v>
      </c>
      <c r="I119" t="s">
        <v>2077</v>
      </c>
      <c r="J119"/>
      <c r="K119" t="s">
        <v>884</v>
      </c>
      <c r="L119" t="s">
        <v>922</v>
      </c>
      <c r="M119" t="s">
        <v>886</v>
      </c>
      <c r="N119" t="s">
        <v>494</v>
      </c>
      <c r="O119" t="s">
        <v>671</v>
      </c>
      <c r="P119"/>
      <c r="Q119"/>
      <c r="R119" t="s">
        <v>443</v>
      </c>
      <c r="S119" t="s">
        <v>885</v>
      </c>
      <c r="T119" s="16">
        <v>45711</v>
      </c>
      <c r="U119"/>
      <c r="V119" s="16">
        <v>45958.537499999999</v>
      </c>
      <c r="W119" t="s">
        <v>884</v>
      </c>
      <c r="X119" s="16">
        <v>45953.537499999999</v>
      </c>
      <c r="Y119">
        <v>25.3</v>
      </c>
      <c r="Z119"/>
      <c r="AA119" t="s">
        <v>2508</v>
      </c>
      <c r="AB119"/>
      <c r="AC119" t="s">
        <v>41</v>
      </c>
      <c r="AD119"/>
      <c r="AE119">
        <v>1</v>
      </c>
      <c r="AF119" t="s">
        <v>41</v>
      </c>
      <c r="AG119"/>
      <c r="AH119"/>
      <c r="AI119"/>
      <c r="AJ119"/>
      <c r="AK119">
        <v>361</v>
      </c>
    </row>
    <row r="120" spans="1:37" x14ac:dyDescent="0.2">
      <c r="A120" t="s">
        <v>2060</v>
      </c>
      <c r="B120" t="s">
        <v>2996</v>
      </c>
      <c r="C120">
        <v>8</v>
      </c>
      <c r="D120" t="s">
        <v>673</v>
      </c>
      <c r="E120" t="s">
        <v>672</v>
      </c>
      <c r="F120" t="s">
        <v>443</v>
      </c>
      <c r="G120" t="s">
        <v>34</v>
      </c>
      <c r="H120" t="s">
        <v>2795</v>
      </c>
      <c r="I120" t="s">
        <v>2062</v>
      </c>
      <c r="J120" t="s">
        <v>884</v>
      </c>
      <c r="K120" t="s">
        <v>884</v>
      </c>
      <c r="L120" t="s">
        <v>887</v>
      </c>
      <c r="M120" t="s">
        <v>890</v>
      </c>
      <c r="N120" t="s">
        <v>682</v>
      </c>
      <c r="O120" t="s">
        <v>671</v>
      </c>
      <c r="P120"/>
      <c r="Q120"/>
      <c r="R120" t="s">
        <v>443</v>
      </c>
      <c r="S120" t="s">
        <v>885</v>
      </c>
      <c r="T120" s="16">
        <v>44387</v>
      </c>
      <c r="U120"/>
      <c r="V120">
        <v>45853.584027777775</v>
      </c>
      <c r="W120" t="s">
        <v>892</v>
      </c>
      <c r="X120" s="16">
        <v>45848.584027777775</v>
      </c>
      <c r="Y120">
        <v>130.19999999999999</v>
      </c>
      <c r="Z120"/>
      <c r="AA120" t="s">
        <v>1194</v>
      </c>
      <c r="AB120"/>
      <c r="AC120" t="s">
        <v>41</v>
      </c>
      <c r="AD120"/>
      <c r="AE120">
        <v>1</v>
      </c>
      <c r="AF120" t="s">
        <v>41</v>
      </c>
      <c r="AG120"/>
      <c r="AH120"/>
      <c r="AI120"/>
      <c r="AJ120"/>
      <c r="AK120">
        <v>361</v>
      </c>
    </row>
    <row r="121" spans="1:37" x14ac:dyDescent="0.2">
      <c r="A121" t="s">
        <v>2060</v>
      </c>
      <c r="B121" t="s">
        <v>2996</v>
      </c>
      <c r="C121">
        <v>8</v>
      </c>
      <c r="D121" t="s">
        <v>839</v>
      </c>
      <c r="E121" t="s">
        <v>1170</v>
      </c>
      <c r="F121" t="s">
        <v>443</v>
      </c>
      <c r="G121" t="s">
        <v>34</v>
      </c>
      <c r="H121" t="s">
        <v>2998</v>
      </c>
      <c r="I121" t="s">
        <v>903</v>
      </c>
      <c r="J121" t="s">
        <v>884</v>
      </c>
      <c r="K121" t="s">
        <v>892</v>
      </c>
      <c r="L121" t="s">
        <v>887</v>
      </c>
      <c r="M121" t="s">
        <v>890</v>
      </c>
      <c r="N121" t="s">
        <v>461</v>
      </c>
      <c r="O121" t="s">
        <v>671</v>
      </c>
      <c r="P121"/>
      <c r="Q121"/>
      <c r="R121" t="s">
        <v>443</v>
      </c>
      <c r="S121" t="s">
        <v>885</v>
      </c>
      <c r="T121" s="16">
        <v>45648</v>
      </c>
      <c r="U121"/>
      <c r="V121" s="16">
        <v>45927.696527777778</v>
      </c>
      <c r="W121" t="s">
        <v>892</v>
      </c>
      <c r="X121" s="16">
        <v>45922.696527777778</v>
      </c>
      <c r="Y121">
        <v>56.1</v>
      </c>
      <c r="Z121"/>
      <c r="AA121" t="s">
        <v>1169</v>
      </c>
      <c r="AB121" t="s">
        <v>2058</v>
      </c>
      <c r="AC121" t="s">
        <v>41</v>
      </c>
      <c r="AD121"/>
      <c r="AE121">
        <v>1</v>
      </c>
      <c r="AF121" t="s">
        <v>41</v>
      </c>
      <c r="AG121"/>
      <c r="AH121"/>
      <c r="AI121"/>
      <c r="AJ121"/>
      <c r="AK121">
        <v>361</v>
      </c>
    </row>
    <row r="122" spans="1:37" x14ac:dyDescent="0.2">
      <c r="A122" t="s">
        <v>2060</v>
      </c>
      <c r="B122" t="s">
        <v>2996</v>
      </c>
      <c r="C122">
        <v>8</v>
      </c>
      <c r="D122" t="s">
        <v>1167</v>
      </c>
      <c r="E122" t="s">
        <v>1168</v>
      </c>
      <c r="F122" t="s">
        <v>443</v>
      </c>
      <c r="G122" t="s">
        <v>34</v>
      </c>
      <c r="H122" t="s">
        <v>2998</v>
      </c>
      <c r="I122" t="s">
        <v>903</v>
      </c>
      <c r="J122" t="s">
        <v>884</v>
      </c>
      <c r="K122" t="s">
        <v>892</v>
      </c>
      <c r="L122" t="s">
        <v>887</v>
      </c>
      <c r="M122" t="s">
        <v>890</v>
      </c>
      <c r="N122" t="s">
        <v>461</v>
      </c>
      <c r="O122" t="s">
        <v>671</v>
      </c>
      <c r="P122"/>
      <c r="Q122"/>
      <c r="R122" t="s">
        <v>443</v>
      </c>
      <c r="S122" t="s">
        <v>885</v>
      </c>
      <c r="T122" s="16">
        <v>45648</v>
      </c>
      <c r="U122"/>
      <c r="V122" s="16">
        <v>45927.696527777778</v>
      </c>
      <c r="W122" t="s">
        <v>892</v>
      </c>
      <c r="X122" s="16">
        <v>45922.696527777778</v>
      </c>
      <c r="Y122">
        <v>56.1</v>
      </c>
      <c r="Z122"/>
      <c r="AA122" t="s">
        <v>1169</v>
      </c>
      <c r="AB122" t="s">
        <v>2063</v>
      </c>
      <c r="AC122" t="s">
        <v>41</v>
      </c>
      <c r="AD122"/>
      <c r="AE122">
        <v>1</v>
      </c>
      <c r="AF122" t="s">
        <v>41</v>
      </c>
      <c r="AG122"/>
      <c r="AH122"/>
      <c r="AI122"/>
      <c r="AJ122"/>
      <c r="AK122">
        <v>361</v>
      </c>
    </row>
    <row r="123" spans="1:37" x14ac:dyDescent="0.2">
      <c r="A123" t="s">
        <v>2060</v>
      </c>
      <c r="B123" t="s">
        <v>2996</v>
      </c>
      <c r="C123">
        <v>8</v>
      </c>
      <c r="D123" t="s">
        <v>1845</v>
      </c>
      <c r="E123" t="s">
        <v>2543</v>
      </c>
      <c r="F123" t="s">
        <v>443</v>
      </c>
      <c r="G123" t="s">
        <v>34</v>
      </c>
      <c r="H123" t="s">
        <v>2999</v>
      </c>
      <c r="I123" t="s">
        <v>2065</v>
      </c>
      <c r="J123"/>
      <c r="K123" t="s">
        <v>892</v>
      </c>
      <c r="L123" t="s">
        <v>922</v>
      </c>
      <c r="M123" t="s">
        <v>886</v>
      </c>
      <c r="N123" t="s">
        <v>749</v>
      </c>
      <c r="O123" t="s">
        <v>671</v>
      </c>
      <c r="P123"/>
      <c r="Q123"/>
      <c r="R123" t="s">
        <v>443</v>
      </c>
      <c r="S123" t="s">
        <v>885</v>
      </c>
      <c r="T123" s="16">
        <v>45586</v>
      </c>
      <c r="U123"/>
      <c r="V123" s="16">
        <v>45956.646527777775</v>
      </c>
      <c r="W123" t="s">
        <v>892</v>
      </c>
      <c r="X123" s="16">
        <v>45951.646527777775</v>
      </c>
      <c r="Y123">
        <v>27.1</v>
      </c>
      <c r="Z123"/>
      <c r="AA123" t="s">
        <v>2544</v>
      </c>
      <c r="AB123" t="s">
        <v>2058</v>
      </c>
      <c r="AC123" t="s">
        <v>41</v>
      </c>
      <c r="AD123"/>
      <c r="AE123">
        <v>1</v>
      </c>
      <c r="AF123" t="s">
        <v>41</v>
      </c>
      <c r="AG123"/>
      <c r="AH123"/>
      <c r="AI123"/>
      <c r="AJ123"/>
      <c r="AK123">
        <v>361</v>
      </c>
    </row>
    <row r="124" spans="1:37" x14ac:dyDescent="0.2">
      <c r="A124" t="s">
        <v>967</v>
      </c>
      <c r="B124" t="s">
        <v>3000</v>
      </c>
      <c r="C124">
        <v>109</v>
      </c>
      <c r="D124" t="s">
        <v>43</v>
      </c>
      <c r="E124" t="s">
        <v>485</v>
      </c>
      <c r="F124" t="s">
        <v>444</v>
      </c>
      <c r="G124" t="s">
        <v>468</v>
      </c>
      <c r="H124" t="s">
        <v>2937</v>
      </c>
      <c r="I124" t="s">
        <v>985</v>
      </c>
      <c r="J124" t="s">
        <v>884</v>
      </c>
      <c r="K124" t="s">
        <v>884</v>
      </c>
      <c r="L124" t="s">
        <v>887</v>
      </c>
      <c r="M124" t="s">
        <v>890</v>
      </c>
      <c r="N124" t="s">
        <v>461</v>
      </c>
      <c r="O124" t="s">
        <v>446</v>
      </c>
      <c r="P124" t="s">
        <v>481</v>
      </c>
      <c r="Q124">
        <v>941000028853270</v>
      </c>
      <c r="R124" t="s">
        <v>444</v>
      </c>
      <c r="S124" t="s">
        <v>885</v>
      </c>
      <c r="T124" s="16">
        <v>44702</v>
      </c>
      <c r="U124"/>
      <c r="V124" s="16">
        <v>45369.333333333336</v>
      </c>
      <c r="W124" t="s">
        <v>892</v>
      </c>
      <c r="X124" s="16">
        <v>45364.333333333336</v>
      </c>
      <c r="Y124">
        <v>614.4</v>
      </c>
      <c r="Z124"/>
      <c r="AA124" t="s">
        <v>482</v>
      </c>
      <c r="AB124" t="s">
        <v>936</v>
      </c>
      <c r="AC124" t="s">
        <v>41</v>
      </c>
      <c r="AD124"/>
      <c r="AE124">
        <v>3</v>
      </c>
      <c r="AF124" t="s">
        <v>41</v>
      </c>
      <c r="AG124"/>
      <c r="AH124"/>
      <c r="AI124"/>
      <c r="AJ124"/>
      <c r="AK124">
        <v>361</v>
      </c>
    </row>
    <row r="125" spans="1:37" x14ac:dyDescent="0.2">
      <c r="A125" t="s">
        <v>967</v>
      </c>
      <c r="B125" t="s">
        <v>3000</v>
      </c>
      <c r="C125">
        <v>109</v>
      </c>
      <c r="D125" t="s">
        <v>51</v>
      </c>
      <c r="E125" t="s">
        <v>1952</v>
      </c>
      <c r="F125" t="s">
        <v>444</v>
      </c>
      <c r="G125" t="s">
        <v>451</v>
      </c>
      <c r="H125" t="s">
        <v>1474</v>
      </c>
      <c r="I125" t="s">
        <v>951</v>
      </c>
      <c r="J125" t="s">
        <v>884</v>
      </c>
      <c r="K125" t="s">
        <v>892</v>
      </c>
      <c r="L125" t="s">
        <v>887</v>
      </c>
      <c r="M125" t="s">
        <v>890</v>
      </c>
      <c r="N125" t="s">
        <v>461</v>
      </c>
      <c r="O125" t="s">
        <v>446</v>
      </c>
      <c r="P125" t="s">
        <v>629</v>
      </c>
      <c r="Q125">
        <v>982091074516862</v>
      </c>
      <c r="R125" t="s">
        <v>444</v>
      </c>
      <c r="S125" t="s">
        <v>885</v>
      </c>
      <c r="T125" s="16">
        <v>44708</v>
      </c>
      <c r="U125" t="s">
        <v>950</v>
      </c>
      <c r="V125" s="16">
        <v>45860.586805555555</v>
      </c>
      <c r="W125" t="s">
        <v>892</v>
      </c>
      <c r="X125" s="16">
        <v>45855.586805555555</v>
      </c>
      <c r="Y125">
        <v>123.2</v>
      </c>
      <c r="Z125"/>
      <c r="AA125" t="s">
        <v>482</v>
      </c>
      <c r="AB125" t="s">
        <v>2066</v>
      </c>
      <c r="AC125" t="s">
        <v>41</v>
      </c>
      <c r="AD125"/>
      <c r="AE125">
        <v>3</v>
      </c>
      <c r="AF125" t="s">
        <v>41</v>
      </c>
      <c r="AG125"/>
      <c r="AH125"/>
      <c r="AI125"/>
      <c r="AJ125"/>
      <c r="AK125">
        <v>361</v>
      </c>
    </row>
    <row r="126" spans="1:37" x14ac:dyDescent="0.2">
      <c r="A126" t="s">
        <v>967</v>
      </c>
      <c r="B126" t="s">
        <v>3000</v>
      </c>
      <c r="C126">
        <v>109</v>
      </c>
      <c r="D126" t="s">
        <v>505</v>
      </c>
      <c r="E126" t="s">
        <v>2929</v>
      </c>
      <c r="F126" t="s">
        <v>443</v>
      </c>
      <c r="G126" t="s">
        <v>34</v>
      </c>
      <c r="H126" t="s">
        <v>2930</v>
      </c>
      <c r="I126" t="s">
        <v>2039</v>
      </c>
      <c r="J126" t="s">
        <v>884</v>
      </c>
      <c r="K126" t="s">
        <v>884</v>
      </c>
      <c r="L126" t="s">
        <v>922</v>
      </c>
      <c r="M126" t="s">
        <v>886</v>
      </c>
      <c r="N126" t="s">
        <v>461</v>
      </c>
      <c r="O126" t="s">
        <v>446</v>
      </c>
      <c r="P126"/>
      <c r="Q126">
        <v>941000031683466</v>
      </c>
      <c r="R126" t="s">
        <v>443</v>
      </c>
      <c r="S126" t="s">
        <v>885</v>
      </c>
      <c r="T126" s="16">
        <v>45476</v>
      </c>
      <c r="U126"/>
      <c r="V126" s="16">
        <v>45509.534722222219</v>
      </c>
      <c r="W126" t="s">
        <v>892</v>
      </c>
      <c r="X126" s="16">
        <v>45504.534722222219</v>
      </c>
      <c r="Y126">
        <v>474.3</v>
      </c>
      <c r="Z126"/>
      <c r="AA126" t="s">
        <v>482</v>
      </c>
      <c r="AB126" t="s">
        <v>2067</v>
      </c>
      <c r="AC126" t="s">
        <v>41</v>
      </c>
      <c r="AD126"/>
      <c r="AE126">
        <v>1</v>
      </c>
      <c r="AF126" t="s">
        <v>41</v>
      </c>
      <c r="AG126"/>
      <c r="AH126"/>
      <c r="AI126"/>
      <c r="AJ126"/>
      <c r="AK126">
        <v>361</v>
      </c>
    </row>
    <row r="127" spans="1:37" x14ac:dyDescent="0.2">
      <c r="A127" t="s">
        <v>967</v>
      </c>
      <c r="B127" t="s">
        <v>3000</v>
      </c>
      <c r="C127">
        <v>109</v>
      </c>
      <c r="D127" t="s">
        <v>57</v>
      </c>
      <c r="E127" t="s">
        <v>507</v>
      </c>
      <c r="F127" t="s">
        <v>444</v>
      </c>
      <c r="G127" t="s">
        <v>451</v>
      </c>
      <c r="H127" t="s">
        <v>2927</v>
      </c>
      <c r="I127" t="s">
        <v>917</v>
      </c>
      <c r="J127" t="s">
        <v>884</v>
      </c>
      <c r="K127" t="s">
        <v>884</v>
      </c>
      <c r="L127" t="s">
        <v>887</v>
      </c>
      <c r="M127" t="s">
        <v>890</v>
      </c>
      <c r="N127" t="s">
        <v>461</v>
      </c>
      <c r="O127" t="s">
        <v>446</v>
      </c>
      <c r="P127" t="s">
        <v>456</v>
      </c>
      <c r="Q127">
        <v>941000029787399</v>
      </c>
      <c r="R127" t="s">
        <v>444</v>
      </c>
      <c r="S127" t="s">
        <v>885</v>
      </c>
      <c r="T127" s="16">
        <v>44442</v>
      </c>
      <c r="U127"/>
      <c r="V127" s="16">
        <v>45539.418749999997</v>
      </c>
      <c r="W127" t="s">
        <v>892</v>
      </c>
      <c r="X127" s="16">
        <v>45534.418749999997</v>
      </c>
      <c r="Y127">
        <v>444.3</v>
      </c>
      <c r="Z127"/>
      <c r="AA127" t="s">
        <v>482</v>
      </c>
      <c r="AB127" t="s">
        <v>960</v>
      </c>
      <c r="AC127" t="s">
        <v>41</v>
      </c>
      <c r="AD127"/>
      <c r="AE127">
        <v>3</v>
      </c>
      <c r="AF127" t="s">
        <v>41</v>
      </c>
      <c r="AG127"/>
      <c r="AH127"/>
      <c r="AI127"/>
      <c r="AJ127"/>
      <c r="AK127">
        <v>361</v>
      </c>
    </row>
    <row r="128" spans="1:37" x14ac:dyDescent="0.2">
      <c r="A128" t="s">
        <v>967</v>
      </c>
      <c r="B128" t="s">
        <v>3000</v>
      </c>
      <c r="C128">
        <v>109</v>
      </c>
      <c r="D128" t="s">
        <v>70</v>
      </c>
      <c r="E128" t="s">
        <v>1948</v>
      </c>
      <c r="F128" t="s">
        <v>444</v>
      </c>
      <c r="G128" t="s">
        <v>72</v>
      </c>
      <c r="H128" t="s">
        <v>3001</v>
      </c>
      <c r="I128" t="s">
        <v>907</v>
      </c>
      <c r="J128" t="s">
        <v>884</v>
      </c>
      <c r="K128" t="s">
        <v>884</v>
      </c>
      <c r="L128" t="s">
        <v>887</v>
      </c>
      <c r="M128" t="s">
        <v>890</v>
      </c>
      <c r="N128" t="s">
        <v>461</v>
      </c>
      <c r="O128" t="s">
        <v>446</v>
      </c>
      <c r="P128" t="s">
        <v>511</v>
      </c>
      <c r="Q128">
        <v>941000031749603</v>
      </c>
      <c r="R128" t="s">
        <v>444</v>
      </c>
      <c r="S128" t="s">
        <v>885</v>
      </c>
      <c r="T128" s="16">
        <v>44128</v>
      </c>
      <c r="U128"/>
      <c r="V128" s="16">
        <v>45593.788194444445</v>
      </c>
      <c r="W128" t="s">
        <v>892</v>
      </c>
      <c r="X128" s="16">
        <v>45588.788194444445</v>
      </c>
      <c r="Y128">
        <v>390</v>
      </c>
      <c r="Z128"/>
      <c r="AA128" t="s">
        <v>482</v>
      </c>
      <c r="AB128" t="s">
        <v>955</v>
      </c>
      <c r="AC128" t="s">
        <v>41</v>
      </c>
      <c r="AD128"/>
      <c r="AE128">
        <v>3</v>
      </c>
      <c r="AF128" t="s">
        <v>41</v>
      </c>
      <c r="AG128"/>
      <c r="AH128"/>
      <c r="AI128"/>
      <c r="AJ128"/>
      <c r="AK128">
        <v>361</v>
      </c>
    </row>
    <row r="129" spans="1:37" x14ac:dyDescent="0.2">
      <c r="A129" t="s">
        <v>967</v>
      </c>
      <c r="B129" t="s">
        <v>3000</v>
      </c>
      <c r="C129">
        <v>109</v>
      </c>
      <c r="D129" t="s">
        <v>78</v>
      </c>
      <c r="E129" t="s">
        <v>516</v>
      </c>
      <c r="F129" t="s">
        <v>444</v>
      </c>
      <c r="G129" t="s">
        <v>451</v>
      </c>
      <c r="H129" t="s">
        <v>2921</v>
      </c>
      <c r="I129" t="s">
        <v>903</v>
      </c>
      <c r="J129" t="s">
        <v>884</v>
      </c>
      <c r="K129" t="s">
        <v>884</v>
      </c>
      <c r="L129" t="s">
        <v>887</v>
      </c>
      <c r="M129" t="s">
        <v>890</v>
      </c>
      <c r="N129" t="s">
        <v>461</v>
      </c>
      <c r="O129" t="s">
        <v>446</v>
      </c>
      <c r="P129" t="s">
        <v>514</v>
      </c>
      <c r="Q129">
        <v>982091074517107</v>
      </c>
      <c r="R129" t="s">
        <v>444</v>
      </c>
      <c r="S129" t="s">
        <v>885</v>
      </c>
      <c r="T129" s="16">
        <v>43807</v>
      </c>
      <c r="U129" t="s">
        <v>950</v>
      </c>
      <c r="V129" s="16">
        <v>45623.710416666669</v>
      </c>
      <c r="W129" t="s">
        <v>892</v>
      </c>
      <c r="X129" s="16">
        <v>45618.710416666669</v>
      </c>
      <c r="Y129">
        <v>360</v>
      </c>
      <c r="Z129"/>
      <c r="AA129" t="s">
        <v>482</v>
      </c>
      <c r="AB129" t="s">
        <v>984</v>
      </c>
      <c r="AC129" t="s">
        <v>41</v>
      </c>
      <c r="AD129"/>
      <c r="AE129">
        <v>3</v>
      </c>
      <c r="AF129" t="s">
        <v>41</v>
      </c>
      <c r="AG129"/>
      <c r="AH129"/>
      <c r="AI129"/>
      <c r="AJ129"/>
      <c r="AK129">
        <v>361</v>
      </c>
    </row>
    <row r="130" spans="1:37" x14ac:dyDescent="0.2">
      <c r="A130" t="s">
        <v>967</v>
      </c>
      <c r="B130" t="s">
        <v>3000</v>
      </c>
      <c r="C130">
        <v>109</v>
      </c>
      <c r="D130" t="s">
        <v>519</v>
      </c>
      <c r="E130" t="s">
        <v>518</v>
      </c>
      <c r="F130" t="s">
        <v>443</v>
      </c>
      <c r="G130" t="s">
        <v>34</v>
      </c>
      <c r="H130" t="s">
        <v>2919</v>
      </c>
      <c r="I130" t="s">
        <v>897</v>
      </c>
      <c r="J130" t="s">
        <v>884</v>
      </c>
      <c r="K130" t="s">
        <v>884</v>
      </c>
      <c r="L130" t="s">
        <v>937</v>
      </c>
      <c r="M130" t="s">
        <v>886</v>
      </c>
      <c r="N130" t="s">
        <v>461</v>
      </c>
      <c r="O130" t="s">
        <v>446</v>
      </c>
      <c r="P130"/>
      <c r="Q130">
        <v>982091074519645</v>
      </c>
      <c r="R130" t="s">
        <v>443</v>
      </c>
      <c r="S130" t="s">
        <v>885</v>
      </c>
      <c r="T130" s="16">
        <v>45305</v>
      </c>
      <c r="U130"/>
      <c r="V130" s="16"/>
      <c r="W130" t="s">
        <v>892</v>
      </c>
      <c r="X130" s="16">
        <v>45671.453472222223</v>
      </c>
      <c r="Y130">
        <v>307.3</v>
      </c>
      <c r="Z130"/>
      <c r="AA130" t="s">
        <v>482</v>
      </c>
      <c r="AB130" t="s">
        <v>2068</v>
      </c>
      <c r="AC130" t="s">
        <v>41</v>
      </c>
      <c r="AD130"/>
      <c r="AE130">
        <v>1</v>
      </c>
      <c r="AF130" t="s">
        <v>41</v>
      </c>
      <c r="AG130"/>
      <c r="AH130"/>
      <c r="AI130"/>
      <c r="AJ130"/>
      <c r="AK130">
        <v>361</v>
      </c>
    </row>
    <row r="131" spans="1:37" x14ac:dyDescent="0.2">
      <c r="A131" t="s">
        <v>967</v>
      </c>
      <c r="B131" t="s">
        <v>3000</v>
      </c>
      <c r="C131">
        <v>109</v>
      </c>
      <c r="D131" t="s">
        <v>109</v>
      </c>
      <c r="E131" t="s">
        <v>2916</v>
      </c>
      <c r="F131" t="s">
        <v>444</v>
      </c>
      <c r="G131" t="s">
        <v>111</v>
      </c>
      <c r="H131" t="s">
        <v>2917</v>
      </c>
      <c r="I131" t="s">
        <v>932</v>
      </c>
      <c r="J131" t="s">
        <v>884</v>
      </c>
      <c r="K131" t="s">
        <v>892</v>
      </c>
      <c r="L131" t="s">
        <v>956</v>
      </c>
      <c r="M131" t="s">
        <v>890</v>
      </c>
      <c r="N131" t="s">
        <v>461</v>
      </c>
      <c r="O131" t="s">
        <v>446</v>
      </c>
      <c r="P131" t="s">
        <v>520</v>
      </c>
      <c r="Q131">
        <v>982091074435993</v>
      </c>
      <c r="R131" t="s">
        <v>444</v>
      </c>
      <c r="S131" t="s">
        <v>885</v>
      </c>
      <c r="T131" s="16">
        <v>42056</v>
      </c>
      <c r="U131"/>
      <c r="V131"/>
      <c r="W131" t="s">
        <v>892</v>
      </c>
      <c r="X131" s="16">
        <v>45708.541666666664</v>
      </c>
      <c r="Y131">
        <v>270.2</v>
      </c>
      <c r="Z131"/>
      <c r="AA131" t="s">
        <v>482</v>
      </c>
      <c r="AB131" t="s">
        <v>944</v>
      </c>
      <c r="AC131" t="s">
        <v>41</v>
      </c>
      <c r="AD131"/>
      <c r="AE131">
        <v>3</v>
      </c>
      <c r="AF131" t="s">
        <v>41</v>
      </c>
      <c r="AG131"/>
      <c r="AH131"/>
      <c r="AI131"/>
      <c r="AJ131"/>
      <c r="AK131">
        <v>361</v>
      </c>
    </row>
    <row r="132" spans="1:37" x14ac:dyDescent="0.2">
      <c r="A132" t="s">
        <v>967</v>
      </c>
      <c r="B132" t="s">
        <v>3000</v>
      </c>
      <c r="C132">
        <v>109</v>
      </c>
      <c r="D132" t="s">
        <v>156</v>
      </c>
      <c r="E132" t="s">
        <v>528</v>
      </c>
      <c r="F132" t="s">
        <v>444</v>
      </c>
      <c r="G132" t="s">
        <v>510</v>
      </c>
      <c r="H132" t="s">
        <v>2910</v>
      </c>
      <c r="I132" t="s">
        <v>903</v>
      </c>
      <c r="J132" t="s">
        <v>884</v>
      </c>
      <c r="K132" t="s">
        <v>884</v>
      </c>
      <c r="L132" t="s">
        <v>922</v>
      </c>
      <c r="M132" t="s">
        <v>886</v>
      </c>
      <c r="N132" t="s">
        <v>461</v>
      </c>
      <c r="O132" t="s">
        <v>446</v>
      </c>
      <c r="P132" t="s">
        <v>508</v>
      </c>
      <c r="Q132">
        <v>941000031749716</v>
      </c>
      <c r="R132" t="s">
        <v>444</v>
      </c>
      <c r="S132" t="s">
        <v>885</v>
      </c>
      <c r="T132" s="16">
        <v>44999</v>
      </c>
      <c r="U132"/>
      <c r="V132" s="16">
        <v>45735.629861111112</v>
      </c>
      <c r="W132" t="s">
        <v>892</v>
      </c>
      <c r="X132" s="16">
        <v>45730.629861111112</v>
      </c>
      <c r="Y132">
        <v>248.1</v>
      </c>
      <c r="Z132"/>
      <c r="AA132" t="s">
        <v>482</v>
      </c>
      <c r="AB132" t="s">
        <v>960</v>
      </c>
      <c r="AC132" t="s">
        <v>41</v>
      </c>
      <c r="AD132"/>
      <c r="AE132">
        <v>3</v>
      </c>
      <c r="AF132" t="s">
        <v>41</v>
      </c>
      <c r="AG132"/>
      <c r="AH132"/>
      <c r="AI132"/>
      <c r="AJ132"/>
      <c r="AK132">
        <v>361</v>
      </c>
    </row>
    <row r="133" spans="1:37" x14ac:dyDescent="0.2">
      <c r="A133" t="s">
        <v>967</v>
      </c>
      <c r="B133" t="s">
        <v>3000</v>
      </c>
      <c r="C133">
        <v>109</v>
      </c>
      <c r="D133" t="s">
        <v>104</v>
      </c>
      <c r="E133" t="s">
        <v>1202</v>
      </c>
      <c r="F133" t="s">
        <v>444</v>
      </c>
      <c r="G133" t="s">
        <v>451</v>
      </c>
      <c r="H133" t="s">
        <v>2906</v>
      </c>
      <c r="I133" t="s">
        <v>964</v>
      </c>
      <c r="J133" t="s">
        <v>884</v>
      </c>
      <c r="K133" t="s">
        <v>884</v>
      </c>
      <c r="L133" t="s">
        <v>887</v>
      </c>
      <c r="M133" t="s">
        <v>890</v>
      </c>
      <c r="N133" t="s">
        <v>461</v>
      </c>
      <c r="O133" t="s">
        <v>446</v>
      </c>
      <c r="P133" t="s">
        <v>508</v>
      </c>
      <c r="Q133">
        <v>941000030971791</v>
      </c>
      <c r="R133" t="s">
        <v>444</v>
      </c>
      <c r="S133" t="s">
        <v>885</v>
      </c>
      <c r="T133" s="16">
        <v>45018</v>
      </c>
      <c r="U133"/>
      <c r="V133" s="16">
        <v>45754.594444444447</v>
      </c>
      <c r="W133" t="s">
        <v>892</v>
      </c>
      <c r="X133" s="16">
        <v>45749.594444444447</v>
      </c>
      <c r="Y133">
        <v>229.2</v>
      </c>
      <c r="Z133"/>
      <c r="AA133" t="s">
        <v>482</v>
      </c>
      <c r="AB133" t="s">
        <v>940</v>
      </c>
      <c r="AC133" t="s">
        <v>41</v>
      </c>
      <c r="AD133"/>
      <c r="AE133">
        <v>3</v>
      </c>
      <c r="AF133" t="s">
        <v>41</v>
      </c>
      <c r="AG133"/>
      <c r="AH133"/>
      <c r="AI133"/>
      <c r="AJ133"/>
      <c r="AK133">
        <v>361</v>
      </c>
    </row>
    <row r="134" spans="1:37" x14ac:dyDescent="0.2">
      <c r="A134" t="s">
        <v>967</v>
      </c>
      <c r="B134" t="s">
        <v>3000</v>
      </c>
      <c r="C134">
        <v>109</v>
      </c>
      <c r="D134" t="s">
        <v>201</v>
      </c>
      <c r="E134" t="s">
        <v>538</v>
      </c>
      <c r="F134" t="s">
        <v>444</v>
      </c>
      <c r="G134" t="s">
        <v>535</v>
      </c>
      <c r="H134" t="s">
        <v>2596</v>
      </c>
      <c r="I134" t="s">
        <v>888</v>
      </c>
      <c r="J134" t="s">
        <v>884</v>
      </c>
      <c r="K134" t="s">
        <v>884</v>
      </c>
      <c r="L134" t="s">
        <v>887</v>
      </c>
      <c r="M134" t="s">
        <v>890</v>
      </c>
      <c r="N134" t="s">
        <v>461</v>
      </c>
      <c r="O134" t="s">
        <v>446</v>
      </c>
      <c r="P134" t="s">
        <v>466</v>
      </c>
      <c r="Q134">
        <v>941000030972568</v>
      </c>
      <c r="R134" t="s">
        <v>444</v>
      </c>
      <c r="S134" t="s">
        <v>885</v>
      </c>
      <c r="T134" s="16">
        <v>45209</v>
      </c>
      <c r="U134"/>
      <c r="V134" s="16">
        <v>45762.424305555556</v>
      </c>
      <c r="W134" t="s">
        <v>892</v>
      </c>
      <c r="X134" s="16">
        <v>45757.424305555556</v>
      </c>
      <c r="Y134">
        <v>221.3</v>
      </c>
      <c r="Z134"/>
      <c r="AA134" t="s">
        <v>482</v>
      </c>
      <c r="AB134" t="s">
        <v>904</v>
      </c>
      <c r="AC134" t="s">
        <v>41</v>
      </c>
      <c r="AD134"/>
      <c r="AE134">
        <v>2</v>
      </c>
      <c r="AF134" t="s">
        <v>41</v>
      </c>
      <c r="AG134"/>
      <c r="AH134"/>
      <c r="AI134"/>
      <c r="AJ134"/>
      <c r="AK134">
        <v>361</v>
      </c>
    </row>
    <row r="135" spans="1:37" x14ac:dyDescent="0.2">
      <c r="A135" t="s">
        <v>967</v>
      </c>
      <c r="B135" t="s">
        <v>3000</v>
      </c>
      <c r="C135">
        <v>109</v>
      </c>
      <c r="D135" t="s">
        <v>131</v>
      </c>
      <c r="E135" t="s">
        <v>1201</v>
      </c>
      <c r="F135" t="s">
        <v>444</v>
      </c>
      <c r="G135" t="s">
        <v>451</v>
      </c>
      <c r="H135" t="s">
        <v>2896</v>
      </c>
      <c r="I135" t="s">
        <v>917</v>
      </c>
      <c r="J135" t="s">
        <v>884</v>
      </c>
      <c r="K135" t="s">
        <v>884</v>
      </c>
      <c r="L135" t="s">
        <v>887</v>
      </c>
      <c r="M135" t="s">
        <v>890</v>
      </c>
      <c r="N135" t="s">
        <v>461</v>
      </c>
      <c r="O135" t="s">
        <v>446</v>
      </c>
      <c r="P135" t="s">
        <v>540</v>
      </c>
      <c r="Q135">
        <v>941000031684008</v>
      </c>
      <c r="R135" t="s">
        <v>444</v>
      </c>
      <c r="S135" t="s">
        <v>885</v>
      </c>
      <c r="T135" s="16">
        <v>44307</v>
      </c>
      <c r="U135"/>
      <c r="V135" s="16">
        <v>45764.78125</v>
      </c>
      <c r="W135" t="s">
        <v>892</v>
      </c>
      <c r="X135" s="16">
        <v>45759.78125</v>
      </c>
      <c r="Y135">
        <v>219</v>
      </c>
      <c r="Z135"/>
      <c r="AA135" t="s">
        <v>482</v>
      </c>
      <c r="AB135" t="s">
        <v>997</v>
      </c>
      <c r="AC135" t="s">
        <v>41</v>
      </c>
      <c r="AD135"/>
      <c r="AE135">
        <v>3</v>
      </c>
      <c r="AF135" t="s">
        <v>41</v>
      </c>
      <c r="AG135"/>
      <c r="AH135"/>
      <c r="AI135"/>
      <c r="AJ135"/>
      <c r="AK135">
        <v>361</v>
      </c>
    </row>
    <row r="136" spans="1:37" x14ac:dyDescent="0.2">
      <c r="A136" t="s">
        <v>967</v>
      </c>
      <c r="B136" t="s">
        <v>3000</v>
      </c>
      <c r="C136">
        <v>109</v>
      </c>
      <c r="D136" t="s">
        <v>162</v>
      </c>
      <c r="E136" t="s">
        <v>543</v>
      </c>
      <c r="F136" t="s">
        <v>443</v>
      </c>
      <c r="G136" t="s">
        <v>34</v>
      </c>
      <c r="H136" t="s">
        <v>3002</v>
      </c>
      <c r="I136" t="s">
        <v>2012</v>
      </c>
      <c r="J136" t="s">
        <v>884</v>
      </c>
      <c r="K136" t="s">
        <v>884</v>
      </c>
      <c r="L136" t="s">
        <v>922</v>
      </c>
      <c r="M136" t="s">
        <v>886</v>
      </c>
      <c r="N136" t="s">
        <v>461</v>
      </c>
      <c r="O136" t="s">
        <v>446</v>
      </c>
      <c r="P136"/>
      <c r="Q136">
        <v>941000030951091</v>
      </c>
      <c r="R136" t="s">
        <v>443</v>
      </c>
      <c r="S136" t="s">
        <v>885</v>
      </c>
      <c r="T136" s="16">
        <v>45744</v>
      </c>
      <c r="U136"/>
      <c r="V136" s="16">
        <v>45773.591666666667</v>
      </c>
      <c r="W136" t="s">
        <v>892</v>
      </c>
      <c r="X136" s="16">
        <v>45768.591666666667</v>
      </c>
      <c r="Y136">
        <v>210.2</v>
      </c>
      <c r="Z136"/>
      <c r="AA136" t="s">
        <v>482</v>
      </c>
      <c r="AB136" t="s">
        <v>2006</v>
      </c>
      <c r="AC136" t="s">
        <v>41</v>
      </c>
      <c r="AD136"/>
      <c r="AE136">
        <v>2</v>
      </c>
      <c r="AF136" t="s">
        <v>41</v>
      </c>
      <c r="AG136"/>
      <c r="AH136"/>
      <c r="AI136"/>
      <c r="AJ136"/>
      <c r="AK136">
        <v>361</v>
      </c>
    </row>
    <row r="137" spans="1:37" x14ac:dyDescent="0.2">
      <c r="A137" t="s">
        <v>967</v>
      </c>
      <c r="B137" t="s">
        <v>3000</v>
      </c>
      <c r="C137">
        <v>109</v>
      </c>
      <c r="D137" t="s">
        <v>167</v>
      </c>
      <c r="E137" t="s">
        <v>545</v>
      </c>
      <c r="F137" t="s">
        <v>443</v>
      </c>
      <c r="G137" t="s">
        <v>34</v>
      </c>
      <c r="H137" t="s">
        <v>3002</v>
      </c>
      <c r="I137" t="s">
        <v>903</v>
      </c>
      <c r="J137" t="s">
        <v>884</v>
      </c>
      <c r="K137" t="s">
        <v>884</v>
      </c>
      <c r="L137" t="s">
        <v>922</v>
      </c>
      <c r="M137" t="s">
        <v>890</v>
      </c>
      <c r="N137" t="s">
        <v>461</v>
      </c>
      <c r="O137" t="s">
        <v>446</v>
      </c>
      <c r="P137"/>
      <c r="Q137">
        <v>941000030976414</v>
      </c>
      <c r="R137" t="s">
        <v>443</v>
      </c>
      <c r="S137" t="s">
        <v>885</v>
      </c>
      <c r="T137" s="16">
        <v>45744</v>
      </c>
      <c r="U137"/>
      <c r="V137" s="16">
        <v>45773.591666666667</v>
      </c>
      <c r="W137" t="s">
        <v>892</v>
      </c>
      <c r="X137" s="16">
        <v>45768.591666666667</v>
      </c>
      <c r="Y137">
        <v>210.2</v>
      </c>
      <c r="Z137"/>
      <c r="AA137" t="s">
        <v>482</v>
      </c>
      <c r="AB137" t="s">
        <v>2029</v>
      </c>
      <c r="AC137" t="s">
        <v>41</v>
      </c>
      <c r="AD137"/>
      <c r="AE137">
        <v>1</v>
      </c>
      <c r="AF137" t="s">
        <v>41</v>
      </c>
      <c r="AG137"/>
      <c r="AH137"/>
      <c r="AI137"/>
      <c r="AJ137"/>
      <c r="AK137">
        <v>361</v>
      </c>
    </row>
    <row r="138" spans="1:37" x14ac:dyDescent="0.2">
      <c r="A138" t="s">
        <v>967</v>
      </c>
      <c r="B138" t="s">
        <v>3000</v>
      </c>
      <c r="C138">
        <v>109</v>
      </c>
      <c r="D138" t="s">
        <v>115</v>
      </c>
      <c r="E138" t="s">
        <v>551</v>
      </c>
      <c r="F138" t="s">
        <v>444</v>
      </c>
      <c r="G138" t="s">
        <v>451</v>
      </c>
      <c r="H138" t="s">
        <v>2889</v>
      </c>
      <c r="I138" t="s">
        <v>983</v>
      </c>
      <c r="J138" t="s">
        <v>884</v>
      </c>
      <c r="K138" t="s">
        <v>884</v>
      </c>
      <c r="L138" t="s">
        <v>887</v>
      </c>
      <c r="M138" t="s">
        <v>890</v>
      </c>
      <c r="N138" t="s">
        <v>461</v>
      </c>
      <c r="O138" t="s">
        <v>446</v>
      </c>
      <c r="P138" t="s">
        <v>466</v>
      </c>
      <c r="Q138">
        <v>941000030951402</v>
      </c>
      <c r="R138" t="s">
        <v>444</v>
      </c>
      <c r="S138" t="s">
        <v>885</v>
      </c>
      <c r="T138" s="16">
        <v>45037</v>
      </c>
      <c r="U138"/>
      <c r="V138" s="16">
        <v>45773.615972222222</v>
      </c>
      <c r="W138" t="s">
        <v>892</v>
      </c>
      <c r="X138" s="16">
        <v>45768.615972222222</v>
      </c>
      <c r="Y138">
        <v>210.2</v>
      </c>
      <c r="Z138"/>
      <c r="AA138" t="s">
        <v>482</v>
      </c>
      <c r="AB138" t="s">
        <v>905</v>
      </c>
      <c r="AC138" t="s">
        <v>41</v>
      </c>
      <c r="AD138"/>
      <c r="AE138">
        <v>2</v>
      </c>
      <c r="AF138" t="s">
        <v>41</v>
      </c>
      <c r="AG138"/>
      <c r="AH138"/>
      <c r="AI138"/>
      <c r="AJ138"/>
      <c r="AK138">
        <v>361</v>
      </c>
    </row>
    <row r="139" spans="1:37" x14ac:dyDescent="0.2">
      <c r="A139" t="s">
        <v>967</v>
      </c>
      <c r="B139" t="s">
        <v>3000</v>
      </c>
      <c r="C139">
        <v>109</v>
      </c>
      <c r="D139" t="s">
        <v>594</v>
      </c>
      <c r="E139" t="s">
        <v>593</v>
      </c>
      <c r="F139" t="s">
        <v>443</v>
      </c>
      <c r="G139" t="s">
        <v>34</v>
      </c>
      <c r="H139" t="s">
        <v>2966</v>
      </c>
      <c r="I139" t="s">
        <v>897</v>
      </c>
      <c r="J139"/>
      <c r="K139" t="s">
        <v>884</v>
      </c>
      <c r="L139" t="s">
        <v>922</v>
      </c>
      <c r="M139" t="s">
        <v>890</v>
      </c>
      <c r="N139" t="s">
        <v>494</v>
      </c>
      <c r="O139" t="s">
        <v>446</v>
      </c>
      <c r="P139"/>
      <c r="Q139"/>
      <c r="R139" t="s">
        <v>443</v>
      </c>
      <c r="S139" t="s">
        <v>885</v>
      </c>
      <c r="T139" s="16">
        <v>45771</v>
      </c>
      <c r="U139"/>
      <c r="V139" s="16">
        <v>45801.65</v>
      </c>
      <c r="W139" t="s">
        <v>884</v>
      </c>
      <c r="X139" s="16">
        <v>45796.65</v>
      </c>
      <c r="Y139">
        <v>182.1</v>
      </c>
      <c r="Z139"/>
      <c r="AA139" t="s">
        <v>482</v>
      </c>
      <c r="AB139" t="s">
        <v>2070</v>
      </c>
      <c r="AC139" t="s">
        <v>41</v>
      </c>
      <c r="AD139"/>
      <c r="AE139">
        <v>1</v>
      </c>
      <c r="AF139" t="s">
        <v>41</v>
      </c>
      <c r="AG139"/>
      <c r="AH139"/>
      <c r="AI139"/>
      <c r="AJ139"/>
      <c r="AK139">
        <v>361</v>
      </c>
    </row>
    <row r="140" spans="1:37" x14ac:dyDescent="0.2">
      <c r="A140" t="s">
        <v>967</v>
      </c>
      <c r="B140" t="s">
        <v>3000</v>
      </c>
      <c r="C140">
        <v>109</v>
      </c>
      <c r="D140" t="s">
        <v>139</v>
      </c>
      <c r="E140" t="s">
        <v>2853</v>
      </c>
      <c r="F140" t="s">
        <v>444</v>
      </c>
      <c r="G140" t="s">
        <v>529</v>
      </c>
      <c r="H140" t="s">
        <v>2854</v>
      </c>
      <c r="I140" t="s">
        <v>935</v>
      </c>
      <c r="J140" t="s">
        <v>884</v>
      </c>
      <c r="K140" t="s">
        <v>884</v>
      </c>
      <c r="L140" t="s">
        <v>887</v>
      </c>
      <c r="M140" t="s">
        <v>886</v>
      </c>
      <c r="N140" t="s">
        <v>461</v>
      </c>
      <c r="O140" t="s">
        <v>446</v>
      </c>
      <c r="P140" t="s">
        <v>520</v>
      </c>
      <c r="Q140">
        <v>941000031749636</v>
      </c>
      <c r="R140" t="s">
        <v>444</v>
      </c>
      <c r="S140" t="s">
        <v>885</v>
      </c>
      <c r="T140" s="16">
        <v>45434</v>
      </c>
      <c r="U140"/>
      <c r="V140" s="16">
        <v>45804.612500000003</v>
      </c>
      <c r="W140" t="s">
        <v>892</v>
      </c>
      <c r="X140" s="16">
        <v>45799.612500000003</v>
      </c>
      <c r="Y140">
        <v>179.2</v>
      </c>
      <c r="Z140"/>
      <c r="AA140" t="s">
        <v>482</v>
      </c>
      <c r="AB140" t="s">
        <v>936</v>
      </c>
      <c r="AC140" t="s">
        <v>41</v>
      </c>
      <c r="AD140"/>
      <c r="AE140">
        <v>3</v>
      </c>
      <c r="AF140" t="s">
        <v>41</v>
      </c>
      <c r="AG140"/>
      <c r="AH140"/>
      <c r="AI140"/>
      <c r="AJ140"/>
      <c r="AK140">
        <v>361</v>
      </c>
    </row>
    <row r="141" spans="1:37" x14ac:dyDescent="0.2">
      <c r="A141" t="s">
        <v>967</v>
      </c>
      <c r="B141" t="s">
        <v>3000</v>
      </c>
      <c r="C141">
        <v>109</v>
      </c>
      <c r="D141" t="s">
        <v>343</v>
      </c>
      <c r="E141" t="s">
        <v>604</v>
      </c>
      <c r="F141" t="s">
        <v>443</v>
      </c>
      <c r="G141" t="s">
        <v>34</v>
      </c>
      <c r="H141" t="s">
        <v>2850</v>
      </c>
      <c r="I141" t="s">
        <v>897</v>
      </c>
      <c r="J141"/>
      <c r="K141" t="s">
        <v>884</v>
      </c>
      <c r="L141" t="s">
        <v>922</v>
      </c>
      <c r="M141" t="s">
        <v>890</v>
      </c>
      <c r="N141" t="s">
        <v>461</v>
      </c>
      <c r="O141" t="s">
        <v>446</v>
      </c>
      <c r="P141"/>
      <c r="Q141">
        <v>941000031749682</v>
      </c>
      <c r="R141" t="s">
        <v>443</v>
      </c>
      <c r="S141" t="s">
        <v>885</v>
      </c>
      <c r="T141" s="16">
        <v>45079</v>
      </c>
      <c r="U141"/>
      <c r="V141" s="16">
        <v>45815.474999999999</v>
      </c>
      <c r="W141" t="s">
        <v>892</v>
      </c>
      <c r="X141" s="16">
        <v>45810.474999999999</v>
      </c>
      <c r="Y141">
        <v>168.3</v>
      </c>
      <c r="Z141"/>
      <c r="AA141" t="s">
        <v>482</v>
      </c>
      <c r="AB141" t="s">
        <v>2071</v>
      </c>
      <c r="AC141" t="s">
        <v>41</v>
      </c>
      <c r="AD141"/>
      <c r="AE141">
        <v>1</v>
      </c>
      <c r="AF141" t="s">
        <v>41</v>
      </c>
      <c r="AG141"/>
      <c r="AH141"/>
      <c r="AI141"/>
      <c r="AJ141"/>
      <c r="AK141">
        <v>361</v>
      </c>
    </row>
    <row r="142" spans="1:37" x14ac:dyDescent="0.2">
      <c r="A142" t="s">
        <v>967</v>
      </c>
      <c r="B142" t="s">
        <v>3000</v>
      </c>
      <c r="C142">
        <v>109</v>
      </c>
      <c r="D142" t="s">
        <v>615</v>
      </c>
      <c r="E142" t="s">
        <v>614</v>
      </c>
      <c r="F142" t="s">
        <v>443</v>
      </c>
      <c r="G142" t="s">
        <v>34</v>
      </c>
      <c r="H142" t="s">
        <v>3003</v>
      </c>
      <c r="I142" t="s">
        <v>903</v>
      </c>
      <c r="J142"/>
      <c r="K142" t="s">
        <v>884</v>
      </c>
      <c r="L142" t="s">
        <v>922</v>
      </c>
      <c r="M142" t="s">
        <v>890</v>
      </c>
      <c r="N142" t="s">
        <v>494</v>
      </c>
      <c r="O142" t="s">
        <v>446</v>
      </c>
      <c r="P142"/>
      <c r="Q142"/>
      <c r="R142" t="s">
        <v>443</v>
      </c>
      <c r="S142" t="s">
        <v>885</v>
      </c>
      <c r="T142" s="16">
        <v>45746</v>
      </c>
      <c r="U142" t="s">
        <v>2000</v>
      </c>
      <c r="V142" s="16">
        <v>45819.623611111114</v>
      </c>
      <c r="W142" t="s">
        <v>884</v>
      </c>
      <c r="X142" s="16">
        <v>45814.623611111114</v>
      </c>
      <c r="Y142">
        <v>164.2</v>
      </c>
      <c r="Z142"/>
      <c r="AA142" t="s">
        <v>482</v>
      </c>
      <c r="AB142" t="s">
        <v>2006</v>
      </c>
      <c r="AC142" t="s">
        <v>41</v>
      </c>
      <c r="AD142"/>
      <c r="AE142">
        <v>1</v>
      </c>
      <c r="AF142" t="s">
        <v>41</v>
      </c>
      <c r="AG142"/>
      <c r="AH142"/>
      <c r="AI142"/>
      <c r="AJ142"/>
      <c r="AK142">
        <v>361</v>
      </c>
    </row>
    <row r="143" spans="1:37" x14ac:dyDescent="0.2">
      <c r="A143" t="s">
        <v>967</v>
      </c>
      <c r="B143" t="s">
        <v>3000</v>
      </c>
      <c r="C143">
        <v>109</v>
      </c>
      <c r="D143" t="s">
        <v>617</v>
      </c>
      <c r="E143" t="s">
        <v>616</v>
      </c>
      <c r="F143" t="s">
        <v>443</v>
      </c>
      <c r="G143" t="s">
        <v>34</v>
      </c>
      <c r="H143" t="s">
        <v>3003</v>
      </c>
      <c r="I143" t="s">
        <v>897</v>
      </c>
      <c r="J143"/>
      <c r="K143" t="s">
        <v>884</v>
      </c>
      <c r="L143" t="s">
        <v>922</v>
      </c>
      <c r="M143" t="s">
        <v>890</v>
      </c>
      <c r="N143" t="s">
        <v>494</v>
      </c>
      <c r="O143" t="s">
        <v>446</v>
      </c>
      <c r="P143"/>
      <c r="Q143"/>
      <c r="R143" t="s">
        <v>443</v>
      </c>
      <c r="S143" t="s">
        <v>885</v>
      </c>
      <c r="T143" s="16">
        <v>45746</v>
      </c>
      <c r="U143"/>
      <c r="V143" s="16">
        <v>45819.623611111114</v>
      </c>
      <c r="W143" t="s">
        <v>884</v>
      </c>
      <c r="X143" s="16">
        <v>45814.623611111114</v>
      </c>
      <c r="Y143">
        <v>164.2</v>
      </c>
      <c r="Z143"/>
      <c r="AA143" t="s">
        <v>482</v>
      </c>
      <c r="AB143" t="s">
        <v>2029</v>
      </c>
      <c r="AC143" t="s">
        <v>41</v>
      </c>
      <c r="AD143"/>
      <c r="AE143">
        <v>1</v>
      </c>
      <c r="AF143" t="s">
        <v>41</v>
      </c>
      <c r="AG143"/>
      <c r="AH143"/>
      <c r="AI143"/>
      <c r="AJ143"/>
      <c r="AK143">
        <v>361</v>
      </c>
    </row>
    <row r="144" spans="1:37" x14ac:dyDescent="0.2">
      <c r="A144" t="s">
        <v>967</v>
      </c>
      <c r="B144" t="s">
        <v>3000</v>
      </c>
      <c r="C144">
        <v>109</v>
      </c>
      <c r="D144" t="s">
        <v>623</v>
      </c>
      <c r="E144" t="s">
        <v>622</v>
      </c>
      <c r="F144" t="s">
        <v>443</v>
      </c>
      <c r="G144" t="s">
        <v>34</v>
      </c>
      <c r="H144" t="s">
        <v>2838</v>
      </c>
      <c r="I144" t="s">
        <v>894</v>
      </c>
      <c r="J144" t="s">
        <v>884</v>
      </c>
      <c r="K144" t="s">
        <v>884</v>
      </c>
      <c r="L144" t="s">
        <v>887</v>
      </c>
      <c r="M144" t="s">
        <v>886</v>
      </c>
      <c r="N144" t="s">
        <v>461</v>
      </c>
      <c r="O144" t="s">
        <v>446</v>
      </c>
      <c r="P144"/>
      <c r="Q144">
        <v>941000031684313</v>
      </c>
      <c r="R144" t="s">
        <v>443</v>
      </c>
      <c r="S144" t="s">
        <v>885</v>
      </c>
      <c r="T144" s="16">
        <v>45086</v>
      </c>
      <c r="U144" t="s">
        <v>2004</v>
      </c>
      <c r="V144" s="16">
        <v>45822.515277777777</v>
      </c>
      <c r="W144" t="s">
        <v>892</v>
      </c>
      <c r="X144" s="16">
        <v>45817.515277777777</v>
      </c>
      <c r="Y144">
        <v>161.30000000000001</v>
      </c>
      <c r="Z144"/>
      <c r="AA144" t="s">
        <v>482</v>
      </c>
      <c r="AB144" t="s">
        <v>2072</v>
      </c>
      <c r="AC144" t="s">
        <v>41</v>
      </c>
      <c r="AD144"/>
      <c r="AE144">
        <v>1</v>
      </c>
      <c r="AF144" t="s">
        <v>41</v>
      </c>
      <c r="AG144"/>
      <c r="AH144"/>
      <c r="AI144"/>
      <c r="AJ144"/>
      <c r="AK144">
        <v>361</v>
      </c>
    </row>
    <row r="145" spans="1:37" x14ac:dyDescent="0.2">
      <c r="A145" t="s">
        <v>967</v>
      </c>
      <c r="B145" t="s">
        <v>3000</v>
      </c>
      <c r="C145">
        <v>109</v>
      </c>
      <c r="D145" t="s">
        <v>625</v>
      </c>
      <c r="E145" t="s">
        <v>2835</v>
      </c>
      <c r="F145" t="s">
        <v>444</v>
      </c>
      <c r="G145" t="s">
        <v>529</v>
      </c>
      <c r="H145" t="s">
        <v>2836</v>
      </c>
      <c r="I145" t="s">
        <v>910</v>
      </c>
      <c r="J145" t="s">
        <v>884</v>
      </c>
      <c r="K145" t="s">
        <v>884</v>
      </c>
      <c r="L145" t="s">
        <v>939</v>
      </c>
      <c r="M145" t="s">
        <v>886</v>
      </c>
      <c r="N145" t="s">
        <v>494</v>
      </c>
      <c r="O145" t="s">
        <v>446</v>
      </c>
      <c r="P145" t="s">
        <v>520</v>
      </c>
      <c r="Q145">
        <v>941000031683990</v>
      </c>
      <c r="R145" t="s">
        <v>444</v>
      </c>
      <c r="S145" t="s">
        <v>885</v>
      </c>
      <c r="T145" s="16">
        <v>45088</v>
      </c>
      <c r="U145"/>
      <c r="V145" s="16">
        <v>45822.669444444444</v>
      </c>
      <c r="W145" t="s">
        <v>884</v>
      </c>
      <c r="X145" s="16">
        <v>45817.669444444444</v>
      </c>
      <c r="Y145">
        <v>161.1</v>
      </c>
      <c r="Z145"/>
      <c r="AA145" t="s">
        <v>482</v>
      </c>
      <c r="AB145" t="s">
        <v>953</v>
      </c>
      <c r="AC145" t="s">
        <v>41</v>
      </c>
      <c r="AD145"/>
      <c r="AE145">
        <v>3</v>
      </c>
      <c r="AF145" t="s">
        <v>41</v>
      </c>
      <c r="AG145"/>
      <c r="AH145"/>
      <c r="AI145"/>
      <c r="AJ145"/>
      <c r="AK145">
        <v>361</v>
      </c>
    </row>
    <row r="146" spans="1:37" x14ac:dyDescent="0.2">
      <c r="A146" t="s">
        <v>967</v>
      </c>
      <c r="B146" t="s">
        <v>3000</v>
      </c>
      <c r="C146">
        <v>109</v>
      </c>
      <c r="D146" t="s">
        <v>178</v>
      </c>
      <c r="E146" t="s">
        <v>635</v>
      </c>
      <c r="F146" t="s">
        <v>444</v>
      </c>
      <c r="G146" t="s">
        <v>460</v>
      </c>
      <c r="H146" t="s">
        <v>2828</v>
      </c>
      <c r="I146" t="s">
        <v>903</v>
      </c>
      <c r="J146" t="s">
        <v>884</v>
      </c>
      <c r="K146" t="s">
        <v>884</v>
      </c>
      <c r="L146" t="s">
        <v>922</v>
      </c>
      <c r="M146" t="s">
        <v>890</v>
      </c>
      <c r="N146" t="s">
        <v>461</v>
      </c>
      <c r="O146" t="s">
        <v>446</v>
      </c>
      <c r="P146" t="s">
        <v>456</v>
      </c>
      <c r="Q146">
        <v>941000031683783</v>
      </c>
      <c r="R146" t="s">
        <v>444</v>
      </c>
      <c r="S146" t="s">
        <v>885</v>
      </c>
      <c r="T146" s="16">
        <v>45456</v>
      </c>
      <c r="U146"/>
      <c r="V146" s="16">
        <v>45826.588194444441</v>
      </c>
      <c r="W146" t="s">
        <v>892</v>
      </c>
      <c r="X146" s="16">
        <v>45821.588194444441</v>
      </c>
      <c r="Y146">
        <v>157.19999999999999</v>
      </c>
      <c r="Z146"/>
      <c r="AA146" t="s">
        <v>482</v>
      </c>
      <c r="AB146" t="s">
        <v>982</v>
      </c>
      <c r="AC146" t="s">
        <v>41</v>
      </c>
      <c r="AD146"/>
      <c r="AE146">
        <v>3</v>
      </c>
      <c r="AF146" t="s">
        <v>41</v>
      </c>
      <c r="AG146"/>
      <c r="AH146"/>
      <c r="AI146"/>
      <c r="AJ146"/>
      <c r="AK146">
        <v>361</v>
      </c>
    </row>
    <row r="147" spans="1:37" x14ac:dyDescent="0.2">
      <c r="A147" t="s">
        <v>967</v>
      </c>
      <c r="B147" t="s">
        <v>3000</v>
      </c>
      <c r="C147">
        <v>109</v>
      </c>
      <c r="D147" t="s">
        <v>213</v>
      </c>
      <c r="E147" t="s">
        <v>655</v>
      </c>
      <c r="F147" t="s">
        <v>444</v>
      </c>
      <c r="G147" t="s">
        <v>460</v>
      </c>
      <c r="H147" t="s">
        <v>3003</v>
      </c>
      <c r="I147" t="s">
        <v>917</v>
      </c>
      <c r="J147" t="s">
        <v>884</v>
      </c>
      <c r="K147" t="s">
        <v>884</v>
      </c>
      <c r="L147" t="s">
        <v>887</v>
      </c>
      <c r="M147" t="s">
        <v>886</v>
      </c>
      <c r="N147" t="s">
        <v>461</v>
      </c>
      <c r="O147" t="s">
        <v>446</v>
      </c>
      <c r="P147"/>
      <c r="Q147">
        <v>941000031683595</v>
      </c>
      <c r="R147" t="s">
        <v>444</v>
      </c>
      <c r="S147" t="s">
        <v>885</v>
      </c>
      <c r="T147">
        <v>45746</v>
      </c>
      <c r="U147"/>
      <c r="V147" s="16">
        <v>45843.615277777775</v>
      </c>
      <c r="W147" t="s">
        <v>892</v>
      </c>
      <c r="X147" s="16">
        <v>45838.615277777775</v>
      </c>
      <c r="Y147">
        <v>140.19999999999999</v>
      </c>
      <c r="Z147"/>
      <c r="AA147" t="s">
        <v>482</v>
      </c>
      <c r="AB147" t="s">
        <v>981</v>
      </c>
      <c r="AC147" t="s">
        <v>41</v>
      </c>
      <c r="AD147"/>
      <c r="AE147">
        <v>3</v>
      </c>
      <c r="AF147" t="s">
        <v>41</v>
      </c>
      <c r="AG147"/>
      <c r="AH147"/>
      <c r="AI147"/>
      <c r="AJ147"/>
      <c r="AK147">
        <v>361</v>
      </c>
    </row>
    <row r="148" spans="1:37" x14ac:dyDescent="0.2">
      <c r="A148" t="s">
        <v>967</v>
      </c>
      <c r="B148" t="s">
        <v>3000</v>
      </c>
      <c r="C148">
        <v>109</v>
      </c>
      <c r="D148" t="s">
        <v>395</v>
      </c>
      <c r="E148" t="s">
        <v>663</v>
      </c>
      <c r="F148" t="s">
        <v>444</v>
      </c>
      <c r="G148" t="s">
        <v>664</v>
      </c>
      <c r="H148" t="s">
        <v>2803</v>
      </c>
      <c r="I148" t="s">
        <v>980</v>
      </c>
      <c r="J148" t="s">
        <v>884</v>
      </c>
      <c r="K148" t="s">
        <v>892</v>
      </c>
      <c r="L148" t="s">
        <v>902</v>
      </c>
      <c r="M148" t="s">
        <v>890</v>
      </c>
      <c r="N148" t="s">
        <v>461</v>
      </c>
      <c r="O148" t="s">
        <v>446</v>
      </c>
      <c r="P148" t="s">
        <v>456</v>
      </c>
      <c r="Q148">
        <v>941000030972197</v>
      </c>
      <c r="R148" t="s">
        <v>444</v>
      </c>
      <c r="S148" t="s">
        <v>885</v>
      </c>
      <c r="T148" s="16">
        <v>44021</v>
      </c>
      <c r="U148" t="s">
        <v>950</v>
      </c>
      <c r="V148" s="16"/>
      <c r="W148" t="s">
        <v>892</v>
      </c>
      <c r="X148" s="16">
        <v>45923.441666666666</v>
      </c>
      <c r="Y148">
        <v>55.3</v>
      </c>
      <c r="Z148"/>
      <c r="AA148" t="s">
        <v>482</v>
      </c>
      <c r="AB148" t="s">
        <v>933</v>
      </c>
      <c r="AC148" t="s">
        <v>41</v>
      </c>
      <c r="AD148"/>
      <c r="AE148">
        <v>2</v>
      </c>
      <c r="AF148" t="s">
        <v>41</v>
      </c>
      <c r="AG148"/>
      <c r="AH148"/>
      <c r="AI148"/>
      <c r="AJ148"/>
      <c r="AK148">
        <v>361</v>
      </c>
    </row>
    <row r="149" spans="1:37" x14ac:dyDescent="0.2">
      <c r="A149" t="s">
        <v>967</v>
      </c>
      <c r="B149" t="s">
        <v>3000</v>
      </c>
      <c r="C149">
        <v>109</v>
      </c>
      <c r="D149" t="s">
        <v>250</v>
      </c>
      <c r="E149" t="s">
        <v>670</v>
      </c>
      <c r="F149" t="s">
        <v>444</v>
      </c>
      <c r="G149" t="s">
        <v>535</v>
      </c>
      <c r="H149" t="s">
        <v>2797</v>
      </c>
      <c r="I149" t="s">
        <v>958</v>
      </c>
      <c r="J149" t="s">
        <v>884</v>
      </c>
      <c r="K149" t="s">
        <v>884</v>
      </c>
      <c r="L149" t="s">
        <v>922</v>
      </c>
      <c r="M149" t="s">
        <v>890</v>
      </c>
      <c r="N149" t="s">
        <v>461</v>
      </c>
      <c r="O149" t="s">
        <v>446</v>
      </c>
      <c r="P149" t="s">
        <v>629</v>
      </c>
      <c r="Q149">
        <v>941000031683518</v>
      </c>
      <c r="R149" t="s">
        <v>444</v>
      </c>
      <c r="S149" t="s">
        <v>885</v>
      </c>
      <c r="T149" s="16">
        <v>43380</v>
      </c>
      <c r="U149" t="s">
        <v>969</v>
      </c>
      <c r="V149" s="16">
        <v>45853.550694444442</v>
      </c>
      <c r="W149" t="s">
        <v>892</v>
      </c>
      <c r="X149" s="16">
        <v>45848.550694444442</v>
      </c>
      <c r="Y149">
        <v>130.19999999999999</v>
      </c>
      <c r="Z149"/>
      <c r="AA149" t="s">
        <v>482</v>
      </c>
      <c r="AB149" t="s">
        <v>979</v>
      </c>
      <c r="AC149" t="s">
        <v>41</v>
      </c>
      <c r="AD149"/>
      <c r="AE149">
        <v>1</v>
      </c>
      <c r="AF149" t="s">
        <v>41</v>
      </c>
      <c r="AG149"/>
      <c r="AH149"/>
      <c r="AI149"/>
      <c r="AJ149"/>
      <c r="AK149">
        <v>361</v>
      </c>
    </row>
    <row r="150" spans="1:37" x14ac:dyDescent="0.2">
      <c r="A150" t="s">
        <v>967</v>
      </c>
      <c r="B150" t="s">
        <v>3000</v>
      </c>
      <c r="C150">
        <v>109</v>
      </c>
      <c r="D150" t="s">
        <v>278</v>
      </c>
      <c r="E150" t="s">
        <v>675</v>
      </c>
      <c r="F150" t="s">
        <v>444</v>
      </c>
      <c r="G150" t="s">
        <v>72</v>
      </c>
      <c r="H150" t="s">
        <v>2793</v>
      </c>
      <c r="I150" t="s">
        <v>920</v>
      </c>
      <c r="J150" t="s">
        <v>884</v>
      </c>
      <c r="K150" t="s">
        <v>884</v>
      </c>
      <c r="L150" t="s">
        <v>887</v>
      </c>
      <c r="M150" t="s">
        <v>886</v>
      </c>
      <c r="N150" t="s">
        <v>461</v>
      </c>
      <c r="O150" t="s">
        <v>446</v>
      </c>
      <c r="P150" t="s">
        <v>511</v>
      </c>
      <c r="Q150">
        <v>941000031683973</v>
      </c>
      <c r="R150" t="s">
        <v>444</v>
      </c>
      <c r="S150" t="s">
        <v>885</v>
      </c>
      <c r="T150" s="16">
        <v>45121</v>
      </c>
      <c r="U150"/>
      <c r="V150" s="16">
        <v>45857.543749999997</v>
      </c>
      <c r="W150" t="s">
        <v>892</v>
      </c>
      <c r="X150" s="16">
        <v>45852.543749999997</v>
      </c>
      <c r="Y150">
        <v>126.2</v>
      </c>
      <c r="Z150"/>
      <c r="AA150" t="s">
        <v>482</v>
      </c>
      <c r="AB150" t="s">
        <v>915</v>
      </c>
      <c r="AC150" t="s">
        <v>41</v>
      </c>
      <c r="AD150"/>
      <c r="AE150">
        <v>1</v>
      </c>
      <c r="AF150" t="s">
        <v>41</v>
      </c>
      <c r="AG150"/>
      <c r="AH150"/>
      <c r="AI150"/>
      <c r="AJ150"/>
      <c r="AK150">
        <v>361</v>
      </c>
    </row>
    <row r="151" spans="1:37" x14ac:dyDescent="0.2">
      <c r="A151" t="s">
        <v>967</v>
      </c>
      <c r="B151" t="s">
        <v>3000</v>
      </c>
      <c r="C151">
        <v>109</v>
      </c>
      <c r="D151" t="s">
        <v>686</v>
      </c>
      <c r="E151" t="s">
        <v>685</v>
      </c>
      <c r="F151" t="s">
        <v>443</v>
      </c>
      <c r="G151" t="s">
        <v>34</v>
      </c>
      <c r="H151" t="s">
        <v>1479</v>
      </c>
      <c r="I151" t="s">
        <v>910</v>
      </c>
      <c r="J151"/>
      <c r="K151" t="s">
        <v>884</v>
      </c>
      <c r="L151" t="s">
        <v>922</v>
      </c>
      <c r="M151" t="s">
        <v>890</v>
      </c>
      <c r="N151" t="s">
        <v>494</v>
      </c>
      <c r="O151" t="s">
        <v>446</v>
      </c>
      <c r="P151"/>
      <c r="Q151">
        <v>941000031735724</v>
      </c>
      <c r="R151" t="s">
        <v>443</v>
      </c>
      <c r="S151" t="s">
        <v>885</v>
      </c>
      <c r="T151" s="16">
        <v>45842</v>
      </c>
      <c r="U151" t="s">
        <v>2004</v>
      </c>
      <c r="V151" s="16">
        <v>45867.584027777775</v>
      </c>
      <c r="W151" t="s">
        <v>884</v>
      </c>
      <c r="X151" s="16">
        <v>45862.584027777775</v>
      </c>
      <c r="Y151">
        <v>116.2</v>
      </c>
      <c r="Z151"/>
      <c r="AA151" t="s">
        <v>482</v>
      </c>
      <c r="AB151" t="s">
        <v>2074</v>
      </c>
      <c r="AC151" t="s">
        <v>41</v>
      </c>
      <c r="AD151"/>
      <c r="AE151">
        <v>1</v>
      </c>
      <c r="AF151" t="s">
        <v>41</v>
      </c>
      <c r="AG151"/>
      <c r="AH151"/>
      <c r="AI151"/>
      <c r="AJ151"/>
      <c r="AK151">
        <v>361</v>
      </c>
    </row>
    <row r="152" spans="1:37" x14ac:dyDescent="0.2">
      <c r="A152" t="s">
        <v>967</v>
      </c>
      <c r="B152" t="s">
        <v>3000</v>
      </c>
      <c r="C152">
        <v>109</v>
      </c>
      <c r="D152" t="s">
        <v>688</v>
      </c>
      <c r="E152" t="s">
        <v>687</v>
      </c>
      <c r="F152" t="s">
        <v>443</v>
      </c>
      <c r="G152" t="s">
        <v>34</v>
      </c>
      <c r="H152" t="s">
        <v>1479</v>
      </c>
      <c r="I152" t="s">
        <v>894</v>
      </c>
      <c r="J152"/>
      <c r="K152" t="s">
        <v>884</v>
      </c>
      <c r="L152" t="s">
        <v>922</v>
      </c>
      <c r="M152" t="s">
        <v>890</v>
      </c>
      <c r="N152" t="s">
        <v>494</v>
      </c>
      <c r="O152" t="s">
        <v>446</v>
      </c>
      <c r="P152"/>
      <c r="Q152">
        <v>941000031735587</v>
      </c>
      <c r="R152" t="s">
        <v>443</v>
      </c>
      <c r="S152" t="s">
        <v>885</v>
      </c>
      <c r="T152" s="16">
        <v>45842</v>
      </c>
      <c r="U152" t="s">
        <v>2004</v>
      </c>
      <c r="V152" s="16">
        <v>45867.584027777775</v>
      </c>
      <c r="W152" t="s">
        <v>884</v>
      </c>
      <c r="X152" s="16">
        <v>45862.584027777775</v>
      </c>
      <c r="Y152">
        <v>116.2</v>
      </c>
      <c r="Z152"/>
      <c r="AA152" t="s">
        <v>482</v>
      </c>
      <c r="AB152" t="s">
        <v>2074</v>
      </c>
      <c r="AC152" t="s">
        <v>41</v>
      </c>
      <c r="AD152"/>
      <c r="AE152">
        <v>1</v>
      </c>
      <c r="AF152" t="s">
        <v>41</v>
      </c>
      <c r="AG152"/>
      <c r="AH152"/>
      <c r="AI152"/>
      <c r="AJ152"/>
      <c r="AK152">
        <v>361</v>
      </c>
    </row>
    <row r="153" spans="1:37" x14ac:dyDescent="0.2">
      <c r="A153" t="s">
        <v>967</v>
      </c>
      <c r="B153" t="s">
        <v>3000</v>
      </c>
      <c r="C153">
        <v>109</v>
      </c>
      <c r="D153" t="s">
        <v>695</v>
      </c>
      <c r="E153" t="s">
        <v>694</v>
      </c>
      <c r="F153" t="s">
        <v>443</v>
      </c>
      <c r="G153" t="s">
        <v>34</v>
      </c>
      <c r="H153" t="s">
        <v>3004</v>
      </c>
      <c r="I153" t="s">
        <v>903</v>
      </c>
      <c r="J153"/>
      <c r="K153" t="s">
        <v>884</v>
      </c>
      <c r="L153" t="s">
        <v>922</v>
      </c>
      <c r="M153" t="s">
        <v>890</v>
      </c>
      <c r="N153" t="s">
        <v>494</v>
      </c>
      <c r="O153" t="s">
        <v>446</v>
      </c>
      <c r="P153"/>
      <c r="Q153"/>
      <c r="R153" t="s">
        <v>443</v>
      </c>
      <c r="S153" t="s">
        <v>885</v>
      </c>
      <c r="T153" s="16">
        <v>45827</v>
      </c>
      <c r="U153" t="s">
        <v>2000</v>
      </c>
      <c r="V153" s="16">
        <v>45874.621527777781</v>
      </c>
      <c r="W153" t="s">
        <v>884</v>
      </c>
      <c r="X153" s="16">
        <v>45869.621527777781</v>
      </c>
      <c r="Y153">
        <v>109.2</v>
      </c>
      <c r="Z153"/>
      <c r="AA153" t="s">
        <v>482</v>
      </c>
      <c r="AB153" t="s">
        <v>2075</v>
      </c>
      <c r="AC153" t="s">
        <v>41</v>
      </c>
      <c r="AD153"/>
      <c r="AE153">
        <v>1</v>
      </c>
      <c r="AF153" t="s">
        <v>41</v>
      </c>
      <c r="AG153"/>
      <c r="AH153"/>
      <c r="AI153"/>
      <c r="AJ153"/>
      <c r="AK153">
        <v>361</v>
      </c>
    </row>
    <row r="154" spans="1:37" x14ac:dyDescent="0.2">
      <c r="A154" t="s">
        <v>967</v>
      </c>
      <c r="B154" t="s">
        <v>3000</v>
      </c>
      <c r="C154">
        <v>109</v>
      </c>
      <c r="D154" t="s">
        <v>697</v>
      </c>
      <c r="E154" t="s">
        <v>696</v>
      </c>
      <c r="F154" t="s">
        <v>443</v>
      </c>
      <c r="G154" t="s">
        <v>34</v>
      </c>
      <c r="H154" t="s">
        <v>3004</v>
      </c>
      <c r="I154" t="s">
        <v>923</v>
      </c>
      <c r="J154"/>
      <c r="K154" t="s">
        <v>884</v>
      </c>
      <c r="L154" t="s">
        <v>922</v>
      </c>
      <c r="M154" t="s">
        <v>886</v>
      </c>
      <c r="N154" t="s">
        <v>494</v>
      </c>
      <c r="O154" t="s">
        <v>446</v>
      </c>
      <c r="P154"/>
      <c r="Q154"/>
      <c r="R154" t="s">
        <v>443</v>
      </c>
      <c r="S154" t="s">
        <v>885</v>
      </c>
      <c r="T154" s="16">
        <v>45827</v>
      </c>
      <c r="U154"/>
      <c r="V154" s="16">
        <v>45874.621527777781</v>
      </c>
      <c r="W154" t="s">
        <v>884</v>
      </c>
      <c r="X154" s="16">
        <v>45869.621527777781</v>
      </c>
      <c r="Y154">
        <v>109.2</v>
      </c>
      <c r="Z154"/>
      <c r="AA154" t="s">
        <v>482</v>
      </c>
      <c r="AB154" t="s">
        <v>2054</v>
      </c>
      <c r="AC154" t="s">
        <v>41</v>
      </c>
      <c r="AD154"/>
      <c r="AE154">
        <v>1</v>
      </c>
      <c r="AF154" t="s">
        <v>41</v>
      </c>
      <c r="AG154"/>
      <c r="AH154"/>
      <c r="AI154"/>
      <c r="AJ154"/>
      <c r="AK154">
        <v>361</v>
      </c>
    </row>
    <row r="155" spans="1:37" x14ac:dyDescent="0.2">
      <c r="A155" t="s">
        <v>967</v>
      </c>
      <c r="B155" t="s">
        <v>3000</v>
      </c>
      <c r="C155">
        <v>109</v>
      </c>
      <c r="D155" t="s">
        <v>292</v>
      </c>
      <c r="E155" t="s">
        <v>703</v>
      </c>
      <c r="F155" t="s">
        <v>444</v>
      </c>
      <c r="G155" t="s">
        <v>460</v>
      </c>
      <c r="H155" t="s">
        <v>2772</v>
      </c>
      <c r="I155" t="s">
        <v>917</v>
      </c>
      <c r="J155" t="s">
        <v>884</v>
      </c>
      <c r="K155" t="s">
        <v>884</v>
      </c>
      <c r="L155" t="s">
        <v>922</v>
      </c>
      <c r="M155" t="s">
        <v>886</v>
      </c>
      <c r="N155" t="s">
        <v>461</v>
      </c>
      <c r="O155" t="s">
        <v>446</v>
      </c>
      <c r="P155" t="s">
        <v>471</v>
      </c>
      <c r="Q155">
        <v>941000031684004</v>
      </c>
      <c r="R155" t="s">
        <v>444</v>
      </c>
      <c r="S155" t="s">
        <v>510</v>
      </c>
      <c r="T155" s="16">
        <v>45505</v>
      </c>
      <c r="U155"/>
      <c r="V155" s="16">
        <v>45875.531944444447</v>
      </c>
      <c r="W155" t="s">
        <v>892</v>
      </c>
      <c r="X155" s="16">
        <v>45870.531944444447</v>
      </c>
      <c r="Y155">
        <v>108.3</v>
      </c>
      <c r="Z155"/>
      <c r="AA155" t="s">
        <v>482</v>
      </c>
      <c r="AB155" t="s">
        <v>978</v>
      </c>
      <c r="AC155" t="s">
        <v>41</v>
      </c>
      <c r="AD155"/>
      <c r="AE155">
        <v>3</v>
      </c>
      <c r="AF155" t="s">
        <v>41</v>
      </c>
      <c r="AG155"/>
      <c r="AH155"/>
      <c r="AI155"/>
      <c r="AJ155"/>
      <c r="AK155">
        <v>361</v>
      </c>
    </row>
    <row r="156" spans="1:37" x14ac:dyDescent="0.2">
      <c r="A156" t="s">
        <v>967</v>
      </c>
      <c r="B156" t="s">
        <v>3000</v>
      </c>
      <c r="C156">
        <v>109</v>
      </c>
      <c r="D156" t="s">
        <v>316</v>
      </c>
      <c r="E156" t="s">
        <v>705</v>
      </c>
      <c r="F156" t="s">
        <v>444</v>
      </c>
      <c r="G156" t="s">
        <v>529</v>
      </c>
      <c r="H156" t="s">
        <v>2770</v>
      </c>
      <c r="I156" t="s">
        <v>964</v>
      </c>
      <c r="J156" t="s">
        <v>884</v>
      </c>
      <c r="K156" t="s">
        <v>892</v>
      </c>
      <c r="L156" t="s">
        <v>887</v>
      </c>
      <c r="M156" t="s">
        <v>890</v>
      </c>
      <c r="N156" t="s">
        <v>461</v>
      </c>
      <c r="O156" t="s">
        <v>446</v>
      </c>
      <c r="P156" t="s">
        <v>456</v>
      </c>
      <c r="Q156">
        <v>985113008707018</v>
      </c>
      <c r="R156" t="s">
        <v>444</v>
      </c>
      <c r="S156" t="s">
        <v>885</v>
      </c>
      <c r="T156" s="16">
        <v>45509</v>
      </c>
      <c r="U156"/>
      <c r="V156" s="16">
        <v>45876.414583333331</v>
      </c>
      <c r="W156" t="s">
        <v>892</v>
      </c>
      <c r="X156" s="16">
        <v>45871.414583333331</v>
      </c>
      <c r="Y156">
        <v>107.4</v>
      </c>
      <c r="Z156"/>
      <c r="AA156" t="s">
        <v>482</v>
      </c>
      <c r="AB156" t="s">
        <v>953</v>
      </c>
      <c r="AC156" t="s">
        <v>41</v>
      </c>
      <c r="AD156"/>
      <c r="AE156">
        <v>3</v>
      </c>
      <c r="AF156" t="s">
        <v>41</v>
      </c>
      <c r="AG156"/>
      <c r="AH156"/>
      <c r="AI156"/>
      <c r="AJ156"/>
      <c r="AK156">
        <v>361</v>
      </c>
    </row>
    <row r="157" spans="1:37" x14ac:dyDescent="0.2">
      <c r="A157" t="s">
        <v>967</v>
      </c>
      <c r="B157" t="s">
        <v>3000</v>
      </c>
      <c r="C157">
        <v>109</v>
      </c>
      <c r="D157" t="s">
        <v>708</v>
      </c>
      <c r="E157" t="s">
        <v>707</v>
      </c>
      <c r="F157" t="s">
        <v>443</v>
      </c>
      <c r="G157" t="s">
        <v>34</v>
      </c>
      <c r="H157" t="s">
        <v>2105</v>
      </c>
      <c r="I157" t="s">
        <v>897</v>
      </c>
      <c r="J157"/>
      <c r="K157" t="s">
        <v>884</v>
      </c>
      <c r="L157" t="s">
        <v>922</v>
      </c>
      <c r="M157" t="s">
        <v>890</v>
      </c>
      <c r="N157" t="s">
        <v>494</v>
      </c>
      <c r="O157" t="s">
        <v>446</v>
      </c>
      <c r="P157"/>
      <c r="Q157"/>
      <c r="R157" t="s">
        <v>443</v>
      </c>
      <c r="S157" t="s">
        <v>885</v>
      </c>
      <c r="T157" s="16">
        <v>45839</v>
      </c>
      <c r="U157"/>
      <c r="V157" s="16">
        <v>45878.59375</v>
      </c>
      <c r="W157" t="s">
        <v>884</v>
      </c>
      <c r="X157" s="16">
        <v>45873.59375</v>
      </c>
      <c r="Y157">
        <v>105.2</v>
      </c>
      <c r="Z157"/>
      <c r="AA157" t="s">
        <v>482</v>
      </c>
      <c r="AB157" t="s">
        <v>2076</v>
      </c>
      <c r="AC157" t="s">
        <v>41</v>
      </c>
      <c r="AD157"/>
      <c r="AE157">
        <v>1</v>
      </c>
      <c r="AF157" t="s">
        <v>41</v>
      </c>
      <c r="AG157"/>
      <c r="AH157"/>
      <c r="AI157"/>
      <c r="AJ157"/>
      <c r="AK157">
        <v>361</v>
      </c>
    </row>
    <row r="158" spans="1:37" x14ac:dyDescent="0.2">
      <c r="A158" t="s">
        <v>967</v>
      </c>
      <c r="B158" t="s">
        <v>3000</v>
      </c>
      <c r="C158">
        <v>109</v>
      </c>
      <c r="D158" t="s">
        <v>711</v>
      </c>
      <c r="E158" t="s">
        <v>710</v>
      </c>
      <c r="F158" t="s">
        <v>444</v>
      </c>
      <c r="G158" t="s">
        <v>529</v>
      </c>
      <c r="H158" t="s">
        <v>2765</v>
      </c>
      <c r="I158" t="s">
        <v>958</v>
      </c>
      <c r="J158" t="s">
        <v>884</v>
      </c>
      <c r="K158" t="s">
        <v>884</v>
      </c>
      <c r="L158" t="s">
        <v>922</v>
      </c>
      <c r="M158" t="s">
        <v>886</v>
      </c>
      <c r="N158" t="s">
        <v>494</v>
      </c>
      <c r="O158" t="s">
        <v>446</v>
      </c>
      <c r="P158" t="s">
        <v>520</v>
      </c>
      <c r="Q158">
        <v>941000031735652</v>
      </c>
      <c r="R158" t="s">
        <v>444</v>
      </c>
      <c r="S158" t="s">
        <v>885</v>
      </c>
      <c r="T158" s="16">
        <v>42221</v>
      </c>
      <c r="U158"/>
      <c r="V158" s="16">
        <v>45879.563194444447</v>
      </c>
      <c r="W158" t="s">
        <v>884</v>
      </c>
      <c r="X158" s="16">
        <v>45874.563194444447</v>
      </c>
      <c r="Y158">
        <v>104.2</v>
      </c>
      <c r="Z158"/>
      <c r="AA158" t="s">
        <v>482</v>
      </c>
      <c r="AB158" t="s">
        <v>940</v>
      </c>
      <c r="AC158" t="s">
        <v>41</v>
      </c>
      <c r="AD158"/>
      <c r="AE158">
        <v>3</v>
      </c>
      <c r="AF158" t="s">
        <v>41</v>
      </c>
      <c r="AG158"/>
      <c r="AH158"/>
      <c r="AI158"/>
      <c r="AJ158"/>
      <c r="AK158">
        <v>361</v>
      </c>
    </row>
    <row r="159" spans="1:37" x14ac:dyDescent="0.2">
      <c r="A159" t="s">
        <v>967</v>
      </c>
      <c r="B159" t="s">
        <v>3000</v>
      </c>
      <c r="C159">
        <v>109</v>
      </c>
      <c r="D159" t="s">
        <v>713</v>
      </c>
      <c r="E159" t="s">
        <v>1924</v>
      </c>
      <c r="F159" t="s">
        <v>444</v>
      </c>
      <c r="G159" t="s">
        <v>489</v>
      </c>
      <c r="H159" t="s">
        <v>2759</v>
      </c>
      <c r="I159" t="s">
        <v>948</v>
      </c>
      <c r="J159" t="s">
        <v>884</v>
      </c>
      <c r="K159" t="s">
        <v>884</v>
      </c>
      <c r="L159" t="s">
        <v>893</v>
      </c>
      <c r="M159" t="s">
        <v>890</v>
      </c>
      <c r="N159" t="s">
        <v>461</v>
      </c>
      <c r="O159" t="s">
        <v>446</v>
      </c>
      <c r="P159" t="s">
        <v>471</v>
      </c>
      <c r="Q159">
        <v>941000031684377</v>
      </c>
      <c r="R159" t="s">
        <v>444</v>
      </c>
      <c r="S159" t="s">
        <v>885</v>
      </c>
      <c r="T159" s="16">
        <v>44104</v>
      </c>
      <c r="U159"/>
      <c r="V159" s="16"/>
      <c r="W159" t="s">
        <v>892</v>
      </c>
      <c r="X159" s="16">
        <v>45875.455555555556</v>
      </c>
      <c r="Y159">
        <v>103.3</v>
      </c>
      <c r="Z159"/>
      <c r="AA159" t="s">
        <v>482</v>
      </c>
      <c r="AB159" t="s">
        <v>1210</v>
      </c>
      <c r="AC159" t="s">
        <v>41</v>
      </c>
      <c r="AD159"/>
      <c r="AE159">
        <v>2</v>
      </c>
      <c r="AF159" t="s">
        <v>41</v>
      </c>
      <c r="AG159"/>
      <c r="AH159"/>
      <c r="AI159"/>
      <c r="AJ159"/>
      <c r="AK159">
        <v>361</v>
      </c>
    </row>
    <row r="160" spans="1:37" x14ac:dyDescent="0.2">
      <c r="A160" t="s">
        <v>967</v>
      </c>
      <c r="B160" t="s">
        <v>3000</v>
      </c>
      <c r="C160">
        <v>109</v>
      </c>
      <c r="D160" t="s">
        <v>732</v>
      </c>
      <c r="E160" t="s">
        <v>1921</v>
      </c>
      <c r="F160" t="s">
        <v>443</v>
      </c>
      <c r="G160" t="s">
        <v>34</v>
      </c>
      <c r="H160" t="s">
        <v>2100</v>
      </c>
      <c r="I160" t="s">
        <v>2077</v>
      </c>
      <c r="J160"/>
      <c r="K160" t="s">
        <v>884</v>
      </c>
      <c r="L160" t="s">
        <v>922</v>
      </c>
      <c r="M160" t="s">
        <v>886</v>
      </c>
      <c r="N160" t="s">
        <v>494</v>
      </c>
      <c r="O160" t="s">
        <v>446</v>
      </c>
      <c r="P160"/>
      <c r="Q160"/>
      <c r="R160" t="s">
        <v>443</v>
      </c>
      <c r="S160" t="s">
        <v>885</v>
      </c>
      <c r="T160" s="16">
        <v>45876</v>
      </c>
      <c r="U160" t="s">
        <v>2028</v>
      </c>
      <c r="V160" s="16">
        <v>45892.573611111111</v>
      </c>
      <c r="W160" t="s">
        <v>884</v>
      </c>
      <c r="X160" s="16">
        <v>45887.573611111111</v>
      </c>
      <c r="Y160">
        <v>91.2</v>
      </c>
      <c r="Z160"/>
      <c r="AA160" t="s">
        <v>482</v>
      </c>
      <c r="AB160" t="s">
        <v>2078</v>
      </c>
      <c r="AC160" t="s">
        <v>41</v>
      </c>
      <c r="AD160"/>
      <c r="AE160">
        <v>1</v>
      </c>
      <c r="AF160" t="s">
        <v>41</v>
      </c>
      <c r="AG160"/>
      <c r="AH160"/>
      <c r="AI160"/>
      <c r="AJ160"/>
      <c r="AK160">
        <v>361</v>
      </c>
    </row>
    <row r="161" spans="1:37" x14ac:dyDescent="0.2">
      <c r="A161" t="s">
        <v>967</v>
      </c>
      <c r="B161" t="s">
        <v>3000</v>
      </c>
      <c r="C161">
        <v>109</v>
      </c>
      <c r="D161" t="s">
        <v>327</v>
      </c>
      <c r="E161" t="s">
        <v>2747</v>
      </c>
      <c r="F161" t="s">
        <v>444</v>
      </c>
      <c r="G161" t="s">
        <v>535</v>
      </c>
      <c r="H161" t="s">
        <v>2748</v>
      </c>
      <c r="I161" t="s">
        <v>958</v>
      </c>
      <c r="J161" t="s">
        <v>884</v>
      </c>
      <c r="K161" t="s">
        <v>884</v>
      </c>
      <c r="L161" t="s">
        <v>887</v>
      </c>
      <c r="M161" t="s">
        <v>890</v>
      </c>
      <c r="N161" t="s">
        <v>461</v>
      </c>
      <c r="O161" t="s">
        <v>446</v>
      </c>
      <c r="P161" t="s">
        <v>735</v>
      </c>
      <c r="Q161">
        <v>941000031684296</v>
      </c>
      <c r="R161" t="s">
        <v>444</v>
      </c>
      <c r="S161" t="s">
        <v>885</v>
      </c>
      <c r="T161" s="16">
        <v>44063</v>
      </c>
      <c r="U161"/>
      <c r="V161" s="16">
        <v>45893.589583333334</v>
      </c>
      <c r="W161" t="s">
        <v>892</v>
      </c>
      <c r="X161" s="16">
        <v>45888.589583333334</v>
      </c>
      <c r="Y161">
        <v>90.2</v>
      </c>
      <c r="Z161"/>
      <c r="AA161" t="s">
        <v>482</v>
      </c>
      <c r="AB161" t="s">
        <v>957</v>
      </c>
      <c r="AC161" t="s">
        <v>41</v>
      </c>
      <c r="AD161"/>
      <c r="AE161">
        <v>3</v>
      </c>
      <c r="AF161" t="s">
        <v>41</v>
      </c>
      <c r="AG161"/>
      <c r="AH161"/>
      <c r="AI161"/>
      <c r="AJ161"/>
      <c r="AK161">
        <v>361</v>
      </c>
    </row>
    <row r="162" spans="1:37" x14ac:dyDescent="0.2">
      <c r="A162" t="s">
        <v>967</v>
      </c>
      <c r="B162" t="s">
        <v>3000</v>
      </c>
      <c r="C162">
        <v>109</v>
      </c>
      <c r="D162" t="s">
        <v>370</v>
      </c>
      <c r="E162" t="s">
        <v>1919</v>
      </c>
      <c r="F162" t="s">
        <v>444</v>
      </c>
      <c r="G162" t="s">
        <v>529</v>
      </c>
      <c r="H162" t="s">
        <v>2731</v>
      </c>
      <c r="I162" t="s">
        <v>899</v>
      </c>
      <c r="J162" t="s">
        <v>884</v>
      </c>
      <c r="K162" t="s">
        <v>884</v>
      </c>
      <c r="L162" t="s">
        <v>887</v>
      </c>
      <c r="M162" t="s">
        <v>890</v>
      </c>
      <c r="N162" t="s">
        <v>461</v>
      </c>
      <c r="O162" t="s">
        <v>446</v>
      </c>
      <c r="P162" t="s">
        <v>456</v>
      </c>
      <c r="Q162">
        <v>941000031684407</v>
      </c>
      <c r="R162" t="s">
        <v>444</v>
      </c>
      <c r="S162" t="s">
        <v>885</v>
      </c>
      <c r="T162" s="16">
        <v>45166</v>
      </c>
      <c r="U162"/>
      <c r="V162" s="16">
        <v>45900.475694444445</v>
      </c>
      <c r="W162" t="s">
        <v>892</v>
      </c>
      <c r="X162" s="16">
        <v>45895.475694444445</v>
      </c>
      <c r="Y162">
        <v>83.3</v>
      </c>
      <c r="Z162"/>
      <c r="AA162" t="s">
        <v>482</v>
      </c>
      <c r="AB162" t="s">
        <v>919</v>
      </c>
      <c r="AC162" t="s">
        <v>41</v>
      </c>
      <c r="AD162"/>
      <c r="AE162">
        <v>3</v>
      </c>
      <c r="AF162" t="s">
        <v>41</v>
      </c>
      <c r="AG162"/>
      <c r="AH162"/>
      <c r="AI162"/>
      <c r="AJ162"/>
      <c r="AK162">
        <v>361</v>
      </c>
    </row>
    <row r="163" spans="1:37" x14ac:dyDescent="0.2">
      <c r="A163" t="s">
        <v>967</v>
      </c>
      <c r="B163" t="s">
        <v>3000</v>
      </c>
      <c r="C163">
        <v>109</v>
      </c>
      <c r="D163" t="s">
        <v>403</v>
      </c>
      <c r="E163" t="s">
        <v>1186</v>
      </c>
      <c r="F163" t="s">
        <v>444</v>
      </c>
      <c r="G163" t="s">
        <v>529</v>
      </c>
      <c r="H163" t="s">
        <v>2738</v>
      </c>
      <c r="I163" t="s">
        <v>935</v>
      </c>
      <c r="J163" t="s">
        <v>884</v>
      </c>
      <c r="K163" t="s">
        <v>884</v>
      </c>
      <c r="L163" t="s">
        <v>887</v>
      </c>
      <c r="M163" t="s">
        <v>886</v>
      </c>
      <c r="N163" t="s">
        <v>461</v>
      </c>
      <c r="O163" t="s">
        <v>446</v>
      </c>
      <c r="P163" t="s">
        <v>456</v>
      </c>
      <c r="Q163">
        <v>941000031684155</v>
      </c>
      <c r="R163" t="s">
        <v>444</v>
      </c>
      <c r="S163" t="s">
        <v>885</v>
      </c>
      <c r="T163" s="16">
        <v>45532</v>
      </c>
      <c r="U163"/>
      <c r="V163" s="16">
        <v>45901.598611111112</v>
      </c>
      <c r="W163" t="s">
        <v>892</v>
      </c>
      <c r="X163" s="16">
        <v>45896.598611111112</v>
      </c>
      <c r="Y163">
        <v>82.2</v>
      </c>
      <c r="Z163"/>
      <c r="AA163" t="s">
        <v>482</v>
      </c>
      <c r="AB163" t="s">
        <v>909</v>
      </c>
      <c r="AC163" t="s">
        <v>41</v>
      </c>
      <c r="AD163"/>
      <c r="AE163">
        <v>3</v>
      </c>
      <c r="AF163" t="s">
        <v>41</v>
      </c>
      <c r="AG163"/>
      <c r="AH163"/>
      <c r="AI163"/>
      <c r="AJ163"/>
      <c r="AK163">
        <v>361</v>
      </c>
    </row>
    <row r="164" spans="1:37" x14ac:dyDescent="0.2">
      <c r="A164" t="s">
        <v>967</v>
      </c>
      <c r="B164" t="s">
        <v>3000</v>
      </c>
      <c r="C164">
        <v>109</v>
      </c>
      <c r="D164" t="s">
        <v>422</v>
      </c>
      <c r="E164" t="s">
        <v>762</v>
      </c>
      <c r="F164" t="s">
        <v>444</v>
      </c>
      <c r="G164" t="s">
        <v>489</v>
      </c>
      <c r="H164" t="s">
        <v>2731</v>
      </c>
      <c r="I164" t="s">
        <v>910</v>
      </c>
      <c r="J164" t="s">
        <v>884</v>
      </c>
      <c r="K164" t="s">
        <v>884</v>
      </c>
      <c r="L164" t="s">
        <v>922</v>
      </c>
      <c r="M164" t="s">
        <v>886</v>
      </c>
      <c r="N164" t="s">
        <v>461</v>
      </c>
      <c r="O164" t="s">
        <v>446</v>
      </c>
      <c r="P164" t="s">
        <v>761</v>
      </c>
      <c r="Q164">
        <v>941000031684341</v>
      </c>
      <c r="R164" t="s">
        <v>444</v>
      </c>
      <c r="S164" t="s">
        <v>885</v>
      </c>
      <c r="T164" s="16">
        <v>45166</v>
      </c>
      <c r="U164"/>
      <c r="V164" s="16">
        <v>45902.581250000003</v>
      </c>
      <c r="W164" t="s">
        <v>892</v>
      </c>
      <c r="X164" s="16">
        <v>45897.581250000003</v>
      </c>
      <c r="Y164">
        <v>81.2</v>
      </c>
      <c r="Z164"/>
      <c r="AA164" t="s">
        <v>482</v>
      </c>
      <c r="AB164" t="s">
        <v>975</v>
      </c>
      <c r="AC164" t="s">
        <v>41</v>
      </c>
      <c r="AD164"/>
      <c r="AE164">
        <v>3</v>
      </c>
      <c r="AF164" t="s">
        <v>41</v>
      </c>
      <c r="AG164"/>
      <c r="AH164"/>
      <c r="AI164"/>
      <c r="AJ164"/>
      <c r="AK164">
        <v>361</v>
      </c>
    </row>
    <row r="165" spans="1:37" x14ac:dyDescent="0.2">
      <c r="A165" t="s">
        <v>967</v>
      </c>
      <c r="B165" t="s">
        <v>3000</v>
      </c>
      <c r="C165">
        <v>109</v>
      </c>
      <c r="D165" t="s">
        <v>765</v>
      </c>
      <c r="E165" t="s">
        <v>764</v>
      </c>
      <c r="F165" t="s">
        <v>444</v>
      </c>
      <c r="G165" t="s">
        <v>460</v>
      </c>
      <c r="H165" t="s">
        <v>1482</v>
      </c>
      <c r="I165" t="s">
        <v>897</v>
      </c>
      <c r="J165" t="s">
        <v>884</v>
      </c>
      <c r="K165" t="s">
        <v>884</v>
      </c>
      <c r="L165" t="s">
        <v>922</v>
      </c>
      <c r="M165" t="s">
        <v>890</v>
      </c>
      <c r="N165" t="s">
        <v>461</v>
      </c>
      <c r="O165" t="s">
        <v>446</v>
      </c>
      <c r="P165"/>
      <c r="Q165">
        <v>941000031683861</v>
      </c>
      <c r="R165" t="s">
        <v>444</v>
      </c>
      <c r="S165" t="s">
        <v>885</v>
      </c>
      <c r="T165" s="16">
        <v>45775</v>
      </c>
      <c r="U165"/>
      <c r="V165" s="16">
        <v>45902.651388888888</v>
      </c>
      <c r="W165" t="s">
        <v>892</v>
      </c>
      <c r="X165" s="16">
        <v>45897.651388888888</v>
      </c>
      <c r="Y165">
        <v>81.099999999999994</v>
      </c>
      <c r="Z165"/>
      <c r="AA165" t="s">
        <v>482</v>
      </c>
      <c r="AB165" t="s">
        <v>974</v>
      </c>
      <c r="AC165" t="s">
        <v>41</v>
      </c>
      <c r="AD165"/>
      <c r="AE165">
        <v>1</v>
      </c>
      <c r="AF165" t="s">
        <v>41</v>
      </c>
      <c r="AG165"/>
      <c r="AH165"/>
      <c r="AI165"/>
      <c r="AJ165"/>
      <c r="AK165">
        <v>361</v>
      </c>
    </row>
    <row r="166" spans="1:37" x14ac:dyDescent="0.2">
      <c r="A166" t="s">
        <v>967</v>
      </c>
      <c r="B166" t="s">
        <v>3000</v>
      </c>
      <c r="C166">
        <v>109</v>
      </c>
      <c r="D166" t="s">
        <v>770</v>
      </c>
      <c r="E166" t="s">
        <v>769</v>
      </c>
      <c r="F166" t="s">
        <v>443</v>
      </c>
      <c r="G166" t="s">
        <v>34</v>
      </c>
      <c r="H166" t="s">
        <v>2100</v>
      </c>
      <c r="I166" t="s">
        <v>894</v>
      </c>
      <c r="J166"/>
      <c r="K166" t="s">
        <v>884</v>
      </c>
      <c r="L166" t="s">
        <v>922</v>
      </c>
      <c r="M166" t="s">
        <v>890</v>
      </c>
      <c r="N166" t="s">
        <v>494</v>
      </c>
      <c r="O166" t="s">
        <v>446</v>
      </c>
      <c r="P166"/>
      <c r="Q166"/>
      <c r="R166" t="s">
        <v>443</v>
      </c>
      <c r="S166" t="s">
        <v>885</v>
      </c>
      <c r="T166" s="16">
        <v>45876</v>
      </c>
      <c r="U166"/>
      <c r="V166" s="16">
        <v>45909.45</v>
      </c>
      <c r="W166" t="s">
        <v>884</v>
      </c>
      <c r="X166" s="16">
        <v>45904.45</v>
      </c>
      <c r="Y166">
        <v>74.3</v>
      </c>
      <c r="Z166"/>
      <c r="AA166" t="s">
        <v>482</v>
      </c>
      <c r="AB166" t="s">
        <v>2054</v>
      </c>
      <c r="AC166" t="s">
        <v>41</v>
      </c>
      <c r="AD166"/>
      <c r="AE166">
        <v>1</v>
      </c>
      <c r="AF166" t="s">
        <v>41</v>
      </c>
      <c r="AG166"/>
      <c r="AH166"/>
      <c r="AI166"/>
      <c r="AJ166"/>
      <c r="AK166">
        <v>361</v>
      </c>
    </row>
    <row r="167" spans="1:37" x14ac:dyDescent="0.2">
      <c r="A167" t="s">
        <v>967</v>
      </c>
      <c r="B167" t="s">
        <v>3000</v>
      </c>
      <c r="C167">
        <v>109</v>
      </c>
      <c r="D167" t="s">
        <v>776</v>
      </c>
      <c r="E167" t="s">
        <v>1185</v>
      </c>
      <c r="F167" t="s">
        <v>443</v>
      </c>
      <c r="G167" t="s">
        <v>34</v>
      </c>
      <c r="H167" t="s">
        <v>2974</v>
      </c>
      <c r="I167" t="s">
        <v>2079</v>
      </c>
      <c r="J167" t="s">
        <v>884</v>
      </c>
      <c r="K167" t="s">
        <v>884</v>
      </c>
      <c r="L167" t="s">
        <v>922</v>
      </c>
      <c r="M167" t="s">
        <v>886</v>
      </c>
      <c r="N167" t="s">
        <v>731</v>
      </c>
      <c r="O167" t="s">
        <v>446</v>
      </c>
      <c r="P167"/>
      <c r="Q167"/>
      <c r="R167" t="s">
        <v>443</v>
      </c>
      <c r="S167" t="s">
        <v>885</v>
      </c>
      <c r="T167" s="16">
        <v>45881</v>
      </c>
      <c r="U167"/>
      <c r="V167" s="16">
        <v>45913.482638888891</v>
      </c>
      <c r="W167" t="s">
        <v>884</v>
      </c>
      <c r="X167" s="16">
        <v>45908.482638888891</v>
      </c>
      <c r="Y167">
        <v>70.3</v>
      </c>
      <c r="Z167"/>
      <c r="AA167" t="s">
        <v>482</v>
      </c>
      <c r="AB167" t="s">
        <v>2080</v>
      </c>
      <c r="AC167" t="s">
        <v>41</v>
      </c>
      <c r="AD167"/>
      <c r="AE167">
        <v>2</v>
      </c>
      <c r="AF167" t="s">
        <v>41</v>
      </c>
      <c r="AG167"/>
      <c r="AH167"/>
      <c r="AI167"/>
      <c r="AJ167"/>
      <c r="AK167">
        <v>361</v>
      </c>
    </row>
    <row r="168" spans="1:37" x14ac:dyDescent="0.2">
      <c r="A168" t="s">
        <v>967</v>
      </c>
      <c r="B168" t="s">
        <v>3000</v>
      </c>
      <c r="C168">
        <v>109</v>
      </c>
      <c r="D168" t="s">
        <v>777</v>
      </c>
      <c r="E168" t="s">
        <v>1184</v>
      </c>
      <c r="F168" t="s">
        <v>443</v>
      </c>
      <c r="G168" t="s">
        <v>34</v>
      </c>
      <c r="H168" t="s">
        <v>2974</v>
      </c>
      <c r="I168" t="s">
        <v>2039</v>
      </c>
      <c r="J168"/>
      <c r="K168" t="s">
        <v>884</v>
      </c>
      <c r="L168" t="s">
        <v>922</v>
      </c>
      <c r="M168" t="s">
        <v>890</v>
      </c>
      <c r="N168" t="s">
        <v>731</v>
      </c>
      <c r="O168" t="s">
        <v>446</v>
      </c>
      <c r="P168"/>
      <c r="Q168"/>
      <c r="R168" t="s">
        <v>443</v>
      </c>
      <c r="S168" t="s">
        <v>885</v>
      </c>
      <c r="T168" s="16">
        <v>45881</v>
      </c>
      <c r="U168"/>
      <c r="V168" s="16">
        <v>45913.482638888891</v>
      </c>
      <c r="W168" t="s">
        <v>884</v>
      </c>
      <c r="X168" s="16">
        <v>45908.482638888891</v>
      </c>
      <c r="Y168">
        <v>70.3</v>
      </c>
      <c r="Z168"/>
      <c r="AA168" t="s">
        <v>482</v>
      </c>
      <c r="AB168" t="s">
        <v>2081</v>
      </c>
      <c r="AC168" t="s">
        <v>41</v>
      </c>
      <c r="AD168"/>
      <c r="AE168">
        <v>2</v>
      </c>
      <c r="AF168" t="s">
        <v>41</v>
      </c>
      <c r="AG168"/>
      <c r="AH168"/>
      <c r="AI168"/>
      <c r="AJ168"/>
      <c r="AK168">
        <v>361</v>
      </c>
    </row>
    <row r="169" spans="1:37" x14ac:dyDescent="0.2">
      <c r="A169" t="s">
        <v>967</v>
      </c>
      <c r="B169" t="s">
        <v>3000</v>
      </c>
      <c r="C169">
        <v>109</v>
      </c>
      <c r="D169" t="s">
        <v>781</v>
      </c>
      <c r="E169" t="s">
        <v>780</v>
      </c>
      <c r="F169" t="s">
        <v>443</v>
      </c>
      <c r="G169" t="s">
        <v>34</v>
      </c>
      <c r="H169" t="s">
        <v>2115</v>
      </c>
      <c r="I169" t="s">
        <v>2077</v>
      </c>
      <c r="J169"/>
      <c r="K169" t="s">
        <v>884</v>
      </c>
      <c r="L169" t="s">
        <v>922</v>
      </c>
      <c r="M169" t="s">
        <v>886</v>
      </c>
      <c r="N169" t="s">
        <v>494</v>
      </c>
      <c r="O169" t="s">
        <v>446</v>
      </c>
      <c r="P169"/>
      <c r="Q169">
        <v>941000031735637</v>
      </c>
      <c r="R169" t="s">
        <v>443</v>
      </c>
      <c r="S169" t="s">
        <v>885</v>
      </c>
      <c r="T169" s="16">
        <v>45825</v>
      </c>
      <c r="U169"/>
      <c r="V169" s="16">
        <v>45913.513194444444</v>
      </c>
      <c r="W169" t="s">
        <v>884</v>
      </c>
      <c r="X169" s="16">
        <v>45908.513194444444</v>
      </c>
      <c r="Y169">
        <v>70.3</v>
      </c>
      <c r="Z169"/>
      <c r="AA169" t="s">
        <v>482</v>
      </c>
      <c r="AB169" t="s">
        <v>2029</v>
      </c>
      <c r="AC169" t="s">
        <v>41</v>
      </c>
      <c r="AD169"/>
      <c r="AE169">
        <v>1</v>
      </c>
      <c r="AF169" t="s">
        <v>41</v>
      </c>
      <c r="AG169"/>
      <c r="AH169"/>
      <c r="AI169"/>
      <c r="AJ169"/>
      <c r="AK169">
        <v>361</v>
      </c>
    </row>
    <row r="170" spans="1:37" x14ac:dyDescent="0.2">
      <c r="A170" t="s">
        <v>967</v>
      </c>
      <c r="B170" t="s">
        <v>3000</v>
      </c>
      <c r="C170">
        <v>109</v>
      </c>
      <c r="D170" t="s">
        <v>414</v>
      </c>
      <c r="E170" t="s">
        <v>1915</v>
      </c>
      <c r="F170" t="s">
        <v>444</v>
      </c>
      <c r="G170" t="s">
        <v>535</v>
      </c>
      <c r="H170" t="s">
        <v>2722</v>
      </c>
      <c r="I170" t="s">
        <v>907</v>
      </c>
      <c r="J170"/>
      <c r="K170" t="s">
        <v>884</v>
      </c>
      <c r="L170" t="s">
        <v>922</v>
      </c>
      <c r="M170" t="s">
        <v>890</v>
      </c>
      <c r="N170" t="s">
        <v>461</v>
      </c>
      <c r="O170" t="s">
        <v>446</v>
      </c>
      <c r="P170" t="s">
        <v>511</v>
      </c>
      <c r="Q170">
        <v>941000031683727</v>
      </c>
      <c r="R170" t="s">
        <v>444</v>
      </c>
      <c r="S170" t="s">
        <v>885</v>
      </c>
      <c r="T170" s="16">
        <v>45543</v>
      </c>
      <c r="U170"/>
      <c r="V170" s="16">
        <v>45913.538888888892</v>
      </c>
      <c r="W170" t="s">
        <v>892</v>
      </c>
      <c r="X170" s="16">
        <v>45908.538888888892</v>
      </c>
      <c r="Y170">
        <v>70.3</v>
      </c>
      <c r="Z170"/>
      <c r="AA170" t="s">
        <v>482</v>
      </c>
      <c r="AB170" t="s">
        <v>919</v>
      </c>
      <c r="AC170" t="s">
        <v>41</v>
      </c>
      <c r="AD170"/>
      <c r="AE170">
        <v>2</v>
      </c>
      <c r="AF170" t="s">
        <v>41</v>
      </c>
      <c r="AG170"/>
      <c r="AH170"/>
      <c r="AI170"/>
      <c r="AJ170"/>
      <c r="AK170">
        <v>361</v>
      </c>
    </row>
    <row r="171" spans="1:37" x14ac:dyDescent="0.2">
      <c r="A171" t="s">
        <v>967</v>
      </c>
      <c r="B171" t="s">
        <v>3000</v>
      </c>
      <c r="C171">
        <v>109</v>
      </c>
      <c r="D171" t="s">
        <v>786</v>
      </c>
      <c r="E171" t="s">
        <v>785</v>
      </c>
      <c r="F171" t="s">
        <v>443</v>
      </c>
      <c r="G171" t="s">
        <v>34</v>
      </c>
      <c r="H171" t="s">
        <v>3005</v>
      </c>
      <c r="I171" t="s">
        <v>899</v>
      </c>
      <c r="J171" t="s">
        <v>884</v>
      </c>
      <c r="K171" t="s">
        <v>884</v>
      </c>
      <c r="L171" t="s">
        <v>887</v>
      </c>
      <c r="M171" t="s">
        <v>890</v>
      </c>
      <c r="N171" t="s">
        <v>494</v>
      </c>
      <c r="O171" t="s">
        <v>446</v>
      </c>
      <c r="P171"/>
      <c r="Q171">
        <v>941000031683740</v>
      </c>
      <c r="R171" t="s">
        <v>443</v>
      </c>
      <c r="S171" t="s">
        <v>885</v>
      </c>
      <c r="T171" s="16">
        <v>45874</v>
      </c>
      <c r="U171" t="s">
        <v>2004</v>
      </c>
      <c r="V171">
        <v>45913.609722222223</v>
      </c>
      <c r="W171" t="s">
        <v>892</v>
      </c>
      <c r="X171" s="16">
        <v>45908.609722222223</v>
      </c>
      <c r="Y171">
        <v>70.2</v>
      </c>
      <c r="Z171"/>
      <c r="AA171" t="s">
        <v>482</v>
      </c>
      <c r="AB171" t="s">
        <v>2082</v>
      </c>
      <c r="AC171" t="s">
        <v>41</v>
      </c>
      <c r="AD171"/>
      <c r="AE171">
        <v>3</v>
      </c>
      <c r="AF171" t="s">
        <v>41</v>
      </c>
      <c r="AG171"/>
      <c r="AH171"/>
      <c r="AI171"/>
      <c r="AJ171"/>
      <c r="AK171">
        <v>361</v>
      </c>
    </row>
    <row r="172" spans="1:37" x14ac:dyDescent="0.2">
      <c r="A172" t="s">
        <v>967</v>
      </c>
      <c r="B172" t="s">
        <v>3000</v>
      </c>
      <c r="C172">
        <v>109</v>
      </c>
      <c r="D172" t="s">
        <v>788</v>
      </c>
      <c r="E172" t="s">
        <v>787</v>
      </c>
      <c r="F172" t="s">
        <v>443</v>
      </c>
      <c r="G172" t="s">
        <v>34</v>
      </c>
      <c r="H172" t="s">
        <v>3005</v>
      </c>
      <c r="I172" t="s">
        <v>964</v>
      </c>
      <c r="J172" t="s">
        <v>884</v>
      </c>
      <c r="K172" t="s">
        <v>884</v>
      </c>
      <c r="L172" t="s">
        <v>887</v>
      </c>
      <c r="M172" t="s">
        <v>886</v>
      </c>
      <c r="N172" t="s">
        <v>461</v>
      </c>
      <c r="O172" t="s">
        <v>446</v>
      </c>
      <c r="P172"/>
      <c r="Q172">
        <v>941000031683683</v>
      </c>
      <c r="R172" t="s">
        <v>443</v>
      </c>
      <c r="S172" t="s">
        <v>885</v>
      </c>
      <c r="T172" s="16">
        <v>45874</v>
      </c>
      <c r="U172" t="s">
        <v>969</v>
      </c>
      <c r="V172" s="16">
        <v>45913.609722222223</v>
      </c>
      <c r="W172" t="s">
        <v>892</v>
      </c>
      <c r="X172" s="16">
        <v>45908.609722222223</v>
      </c>
      <c r="Y172">
        <v>70.2</v>
      </c>
      <c r="Z172"/>
      <c r="AA172" t="s">
        <v>482</v>
      </c>
      <c r="AB172" t="s">
        <v>2083</v>
      </c>
      <c r="AC172" t="s">
        <v>41</v>
      </c>
      <c r="AD172"/>
      <c r="AE172">
        <v>3</v>
      </c>
      <c r="AF172" t="s">
        <v>41</v>
      </c>
      <c r="AG172"/>
      <c r="AH172"/>
      <c r="AI172"/>
      <c r="AJ172"/>
      <c r="AK172">
        <v>361</v>
      </c>
    </row>
    <row r="173" spans="1:37" x14ac:dyDescent="0.2">
      <c r="A173" t="s">
        <v>967</v>
      </c>
      <c r="B173" t="s">
        <v>3000</v>
      </c>
      <c r="C173">
        <v>109</v>
      </c>
      <c r="D173" t="s">
        <v>795</v>
      </c>
      <c r="E173" t="s">
        <v>794</v>
      </c>
      <c r="F173" t="s">
        <v>443</v>
      </c>
      <c r="G173" t="s">
        <v>34</v>
      </c>
      <c r="H173" t="s">
        <v>2107</v>
      </c>
      <c r="I173" t="s">
        <v>2019</v>
      </c>
      <c r="J173"/>
      <c r="K173" t="s">
        <v>884</v>
      </c>
      <c r="L173" t="s">
        <v>922</v>
      </c>
      <c r="M173" t="s">
        <v>890</v>
      </c>
      <c r="N173" t="s">
        <v>494</v>
      </c>
      <c r="O173" t="s">
        <v>446</v>
      </c>
      <c r="P173"/>
      <c r="Q173"/>
      <c r="R173" t="s">
        <v>443</v>
      </c>
      <c r="S173" t="s">
        <v>885</v>
      </c>
      <c r="T173" s="16">
        <v>45889</v>
      </c>
      <c r="U173"/>
      <c r="V173" s="16">
        <v>45916.543055555558</v>
      </c>
      <c r="W173" t="s">
        <v>884</v>
      </c>
      <c r="X173" s="16">
        <v>45911.543055555558</v>
      </c>
      <c r="Y173">
        <v>67.2</v>
      </c>
      <c r="Z173"/>
      <c r="AA173" t="s">
        <v>482</v>
      </c>
      <c r="AB173" t="s">
        <v>2044</v>
      </c>
      <c r="AC173" t="s">
        <v>41</v>
      </c>
      <c r="AD173"/>
      <c r="AE173">
        <v>2</v>
      </c>
      <c r="AF173" t="s">
        <v>41</v>
      </c>
      <c r="AG173"/>
      <c r="AH173"/>
      <c r="AI173"/>
      <c r="AJ173"/>
      <c r="AK173">
        <v>361</v>
      </c>
    </row>
    <row r="174" spans="1:37" x14ac:dyDescent="0.2">
      <c r="A174" t="s">
        <v>967</v>
      </c>
      <c r="B174" t="s">
        <v>3000</v>
      </c>
      <c r="C174">
        <v>109</v>
      </c>
      <c r="D174" t="s">
        <v>796</v>
      </c>
      <c r="E174" t="s">
        <v>1178</v>
      </c>
      <c r="F174" t="s">
        <v>444</v>
      </c>
      <c r="G174" t="s">
        <v>510</v>
      </c>
      <c r="H174" t="s">
        <v>2141</v>
      </c>
      <c r="I174" t="s">
        <v>932</v>
      </c>
      <c r="J174" t="s">
        <v>884</v>
      </c>
      <c r="K174" t="s">
        <v>884</v>
      </c>
      <c r="L174" t="s">
        <v>922</v>
      </c>
      <c r="M174" t="s">
        <v>890</v>
      </c>
      <c r="N174" t="s">
        <v>461</v>
      </c>
      <c r="O174" t="s">
        <v>446</v>
      </c>
      <c r="P174" t="s">
        <v>456</v>
      </c>
      <c r="Q174">
        <v>941000031683643</v>
      </c>
      <c r="R174" t="s">
        <v>444</v>
      </c>
      <c r="S174" t="s">
        <v>885</v>
      </c>
      <c r="T174" s="16">
        <v>45608</v>
      </c>
      <c r="U174"/>
      <c r="V174">
        <v>45917.484027777777</v>
      </c>
      <c r="W174" t="s">
        <v>892</v>
      </c>
      <c r="X174" s="16">
        <v>45912.484027777777</v>
      </c>
      <c r="Y174">
        <v>66.3</v>
      </c>
      <c r="Z174"/>
      <c r="AA174" t="s">
        <v>482</v>
      </c>
      <c r="AB174" t="s">
        <v>995</v>
      </c>
      <c r="AC174" t="s">
        <v>41</v>
      </c>
      <c r="AD174"/>
      <c r="AE174">
        <v>1</v>
      </c>
      <c r="AF174" t="s">
        <v>41</v>
      </c>
      <c r="AG174"/>
      <c r="AH174"/>
      <c r="AI174"/>
      <c r="AJ174"/>
      <c r="AK174">
        <v>361</v>
      </c>
    </row>
    <row r="175" spans="1:37" x14ac:dyDescent="0.2">
      <c r="A175" t="s">
        <v>967</v>
      </c>
      <c r="B175" t="s">
        <v>3000</v>
      </c>
      <c r="C175">
        <v>109</v>
      </c>
      <c r="D175" t="s">
        <v>797</v>
      </c>
      <c r="E175" t="s">
        <v>1176</v>
      </c>
      <c r="F175" t="s">
        <v>444</v>
      </c>
      <c r="G175" t="s">
        <v>510</v>
      </c>
      <c r="H175" t="s">
        <v>2141</v>
      </c>
      <c r="I175" t="s">
        <v>910</v>
      </c>
      <c r="J175" t="s">
        <v>884</v>
      </c>
      <c r="K175" t="s">
        <v>884</v>
      </c>
      <c r="L175" t="s">
        <v>922</v>
      </c>
      <c r="M175" t="s">
        <v>890</v>
      </c>
      <c r="N175" t="s">
        <v>461</v>
      </c>
      <c r="O175" t="s">
        <v>446</v>
      </c>
      <c r="P175" t="s">
        <v>456</v>
      </c>
      <c r="Q175">
        <v>941000031684328</v>
      </c>
      <c r="R175" t="s">
        <v>444</v>
      </c>
      <c r="S175" t="s">
        <v>885</v>
      </c>
      <c r="T175" s="16">
        <v>45608</v>
      </c>
      <c r="U175"/>
      <c r="V175" s="16">
        <v>45917.484027777777</v>
      </c>
      <c r="W175" t="s">
        <v>892</v>
      </c>
      <c r="X175" s="16">
        <v>45912.484027777777</v>
      </c>
      <c r="Y175">
        <v>66.3</v>
      </c>
      <c r="Z175"/>
      <c r="AA175" t="s">
        <v>482</v>
      </c>
      <c r="AB175" t="s">
        <v>995</v>
      </c>
      <c r="AC175" t="s">
        <v>41</v>
      </c>
      <c r="AD175"/>
      <c r="AE175">
        <v>1</v>
      </c>
      <c r="AF175" t="s">
        <v>41</v>
      </c>
      <c r="AG175"/>
      <c r="AH175"/>
      <c r="AI175"/>
      <c r="AJ175"/>
      <c r="AK175">
        <v>361</v>
      </c>
    </row>
    <row r="176" spans="1:37" x14ac:dyDescent="0.2">
      <c r="A176" t="s">
        <v>967</v>
      </c>
      <c r="B176" t="s">
        <v>3000</v>
      </c>
      <c r="C176">
        <v>109</v>
      </c>
      <c r="D176" t="s">
        <v>803</v>
      </c>
      <c r="E176" t="s">
        <v>1175</v>
      </c>
      <c r="F176" t="s">
        <v>443</v>
      </c>
      <c r="G176" t="s">
        <v>34</v>
      </c>
      <c r="H176" t="s">
        <v>913</v>
      </c>
      <c r="I176" t="s">
        <v>2023</v>
      </c>
      <c r="J176"/>
      <c r="K176" t="s">
        <v>884</v>
      </c>
      <c r="L176" t="s">
        <v>922</v>
      </c>
      <c r="M176" t="s">
        <v>886</v>
      </c>
      <c r="N176" t="s">
        <v>494</v>
      </c>
      <c r="O176" t="s">
        <v>446</v>
      </c>
      <c r="P176"/>
      <c r="Q176"/>
      <c r="R176" t="s">
        <v>443</v>
      </c>
      <c r="S176" t="s">
        <v>885</v>
      </c>
      <c r="T176" s="16"/>
      <c r="U176" t="s">
        <v>2013</v>
      </c>
      <c r="V176" s="16">
        <v>45920.597916666666</v>
      </c>
      <c r="W176" t="s">
        <v>884</v>
      </c>
      <c r="X176" s="16">
        <v>45915.597916666666</v>
      </c>
      <c r="Y176">
        <v>63.2</v>
      </c>
      <c r="Z176"/>
      <c r="AA176" t="s">
        <v>482</v>
      </c>
      <c r="AB176"/>
      <c r="AC176" t="s">
        <v>41</v>
      </c>
      <c r="AD176"/>
      <c r="AE176">
        <v>2</v>
      </c>
      <c r="AF176" t="s">
        <v>41</v>
      </c>
      <c r="AG176"/>
      <c r="AH176"/>
      <c r="AI176"/>
      <c r="AJ176"/>
      <c r="AK176">
        <v>361</v>
      </c>
    </row>
    <row r="177" spans="1:37" x14ac:dyDescent="0.2">
      <c r="A177" t="s">
        <v>967</v>
      </c>
      <c r="B177" t="s">
        <v>3000</v>
      </c>
      <c r="C177">
        <v>109</v>
      </c>
      <c r="D177" t="s">
        <v>820</v>
      </c>
      <c r="E177" t="s">
        <v>819</v>
      </c>
      <c r="F177" t="s">
        <v>443</v>
      </c>
      <c r="G177" t="s">
        <v>34</v>
      </c>
      <c r="H177" t="s">
        <v>2979</v>
      </c>
      <c r="I177" t="s">
        <v>897</v>
      </c>
      <c r="J177"/>
      <c r="K177" t="s">
        <v>884</v>
      </c>
      <c r="L177" t="s">
        <v>922</v>
      </c>
      <c r="M177" t="s">
        <v>886</v>
      </c>
      <c r="N177" t="s">
        <v>494</v>
      </c>
      <c r="O177" t="s">
        <v>446</v>
      </c>
      <c r="P177"/>
      <c r="Q177"/>
      <c r="R177" t="s">
        <v>443</v>
      </c>
      <c r="S177" t="s">
        <v>885</v>
      </c>
      <c r="T177" s="16">
        <v>45869</v>
      </c>
      <c r="U177"/>
      <c r="V177">
        <v>45921.601388888892</v>
      </c>
      <c r="W177" t="s">
        <v>884</v>
      </c>
      <c r="X177" s="16">
        <v>45916.601388888892</v>
      </c>
      <c r="Y177">
        <v>62.2</v>
      </c>
      <c r="Z177"/>
      <c r="AA177" t="s">
        <v>482</v>
      </c>
      <c r="AB177" t="s">
        <v>2084</v>
      </c>
      <c r="AC177" t="s">
        <v>41</v>
      </c>
      <c r="AD177"/>
      <c r="AE177">
        <v>2</v>
      </c>
      <c r="AF177" t="s">
        <v>41</v>
      </c>
      <c r="AG177"/>
      <c r="AH177"/>
      <c r="AI177"/>
      <c r="AJ177"/>
      <c r="AK177">
        <v>361</v>
      </c>
    </row>
    <row r="178" spans="1:37" x14ac:dyDescent="0.2">
      <c r="A178" t="s">
        <v>967</v>
      </c>
      <c r="B178" t="s">
        <v>3000</v>
      </c>
      <c r="C178">
        <v>109</v>
      </c>
      <c r="D178" t="s">
        <v>847</v>
      </c>
      <c r="E178" t="s">
        <v>846</v>
      </c>
      <c r="F178" t="s">
        <v>443</v>
      </c>
      <c r="G178" t="s">
        <v>34</v>
      </c>
      <c r="H178" t="s">
        <v>2145</v>
      </c>
      <c r="I178" t="s">
        <v>903</v>
      </c>
      <c r="J178"/>
      <c r="K178" t="s">
        <v>884</v>
      </c>
      <c r="L178" t="s">
        <v>922</v>
      </c>
      <c r="M178" t="s">
        <v>890</v>
      </c>
      <c r="N178" t="s">
        <v>494</v>
      </c>
      <c r="O178" t="s">
        <v>446</v>
      </c>
      <c r="P178"/>
      <c r="Q178"/>
      <c r="R178" t="s">
        <v>443</v>
      </c>
      <c r="S178" t="s">
        <v>885</v>
      </c>
      <c r="T178" s="16">
        <v>45870</v>
      </c>
      <c r="U178" t="s">
        <v>2000</v>
      </c>
      <c r="V178" s="16">
        <v>45931.586111111108</v>
      </c>
      <c r="W178" t="s">
        <v>884</v>
      </c>
      <c r="X178" s="16">
        <v>45926.586111111108</v>
      </c>
      <c r="Y178">
        <v>52.2</v>
      </c>
      <c r="Z178"/>
      <c r="AA178" t="s">
        <v>482</v>
      </c>
      <c r="AB178" t="s">
        <v>2085</v>
      </c>
      <c r="AC178" t="s">
        <v>41</v>
      </c>
      <c r="AD178"/>
      <c r="AE178">
        <v>1</v>
      </c>
      <c r="AF178" t="s">
        <v>41</v>
      </c>
      <c r="AG178"/>
      <c r="AH178"/>
      <c r="AI178"/>
      <c r="AJ178"/>
      <c r="AK178">
        <v>361</v>
      </c>
    </row>
    <row r="179" spans="1:37" x14ac:dyDescent="0.2">
      <c r="A179" t="s">
        <v>967</v>
      </c>
      <c r="B179" t="s">
        <v>3000</v>
      </c>
      <c r="C179">
        <v>109</v>
      </c>
      <c r="D179" t="s">
        <v>860</v>
      </c>
      <c r="E179" t="s">
        <v>859</v>
      </c>
      <c r="F179" t="s">
        <v>443</v>
      </c>
      <c r="G179" t="s">
        <v>34</v>
      </c>
      <c r="H179" t="s">
        <v>2104</v>
      </c>
      <c r="I179" t="s">
        <v>897</v>
      </c>
      <c r="J179"/>
      <c r="K179" t="s">
        <v>884</v>
      </c>
      <c r="L179" t="s">
        <v>922</v>
      </c>
      <c r="M179" t="s">
        <v>886</v>
      </c>
      <c r="N179" t="s">
        <v>682</v>
      </c>
      <c r="O179" t="s">
        <v>446</v>
      </c>
      <c r="P179"/>
      <c r="Q179"/>
      <c r="R179" t="s">
        <v>443</v>
      </c>
      <c r="S179" t="s">
        <v>885</v>
      </c>
      <c r="T179" s="16">
        <v>45901</v>
      </c>
      <c r="U179"/>
      <c r="V179" s="16">
        <v>45936.469444444447</v>
      </c>
      <c r="W179" t="s">
        <v>884</v>
      </c>
      <c r="X179" s="16">
        <v>45931.469444444447</v>
      </c>
      <c r="Y179">
        <v>47.3</v>
      </c>
      <c r="Z179"/>
      <c r="AA179" t="s">
        <v>482</v>
      </c>
      <c r="AB179" t="s">
        <v>2087</v>
      </c>
      <c r="AC179" t="s">
        <v>41</v>
      </c>
      <c r="AD179"/>
      <c r="AE179">
        <v>1</v>
      </c>
      <c r="AF179" t="s">
        <v>41</v>
      </c>
      <c r="AG179"/>
      <c r="AH179"/>
      <c r="AI179"/>
      <c r="AJ179"/>
      <c r="AK179">
        <v>361</v>
      </c>
    </row>
    <row r="180" spans="1:37" x14ac:dyDescent="0.2">
      <c r="A180" t="s">
        <v>967</v>
      </c>
      <c r="B180" t="s">
        <v>3000</v>
      </c>
      <c r="C180">
        <v>109</v>
      </c>
      <c r="D180" t="s">
        <v>1091</v>
      </c>
      <c r="E180" t="s">
        <v>1164</v>
      </c>
      <c r="F180" t="s">
        <v>444</v>
      </c>
      <c r="G180" t="s">
        <v>1092</v>
      </c>
      <c r="H180" t="s">
        <v>2007</v>
      </c>
      <c r="I180" t="s">
        <v>973</v>
      </c>
      <c r="J180"/>
      <c r="K180" t="s">
        <v>884</v>
      </c>
      <c r="L180" t="s">
        <v>922</v>
      </c>
      <c r="M180" t="s">
        <v>890</v>
      </c>
      <c r="N180" t="s">
        <v>461</v>
      </c>
      <c r="O180" t="s">
        <v>446</v>
      </c>
      <c r="P180"/>
      <c r="Q180">
        <v>985113010196005</v>
      </c>
      <c r="R180" t="s">
        <v>444</v>
      </c>
      <c r="S180" t="s">
        <v>885</v>
      </c>
      <c r="T180" s="16">
        <v>45784</v>
      </c>
      <c r="U180"/>
      <c r="V180" s="16">
        <v>45941.494444444441</v>
      </c>
      <c r="W180" t="s">
        <v>892</v>
      </c>
      <c r="X180" s="16">
        <v>45936.494444444441</v>
      </c>
      <c r="Y180">
        <v>42.3</v>
      </c>
      <c r="Z180"/>
      <c r="AA180" t="s">
        <v>482</v>
      </c>
      <c r="AB180" t="s">
        <v>1097</v>
      </c>
      <c r="AC180" t="s">
        <v>41</v>
      </c>
      <c r="AD180"/>
      <c r="AE180">
        <v>1</v>
      </c>
      <c r="AF180" t="s">
        <v>41</v>
      </c>
      <c r="AG180"/>
      <c r="AH180"/>
      <c r="AI180"/>
      <c r="AJ180"/>
      <c r="AK180">
        <v>361</v>
      </c>
    </row>
    <row r="181" spans="1:37" x14ac:dyDescent="0.2">
      <c r="A181" t="s">
        <v>967</v>
      </c>
      <c r="B181" t="s">
        <v>3000</v>
      </c>
      <c r="C181">
        <v>109</v>
      </c>
      <c r="D181" t="s">
        <v>1087</v>
      </c>
      <c r="E181" t="s">
        <v>1162</v>
      </c>
      <c r="F181" t="s">
        <v>443</v>
      </c>
      <c r="G181" t="s">
        <v>34</v>
      </c>
      <c r="H181" t="s">
        <v>2011</v>
      </c>
      <c r="I181" t="s">
        <v>935</v>
      </c>
      <c r="J181"/>
      <c r="K181" t="s">
        <v>884</v>
      </c>
      <c r="L181" t="s">
        <v>922</v>
      </c>
      <c r="M181" t="s">
        <v>886</v>
      </c>
      <c r="N181" t="s">
        <v>494</v>
      </c>
      <c r="O181" t="s">
        <v>446</v>
      </c>
      <c r="P181"/>
      <c r="Q181"/>
      <c r="R181" t="s">
        <v>443</v>
      </c>
      <c r="S181" t="s">
        <v>885</v>
      </c>
      <c r="T181" s="16">
        <v>45895</v>
      </c>
      <c r="U181" t="s">
        <v>2013</v>
      </c>
      <c r="V181" s="16">
        <v>45942.493750000001</v>
      </c>
      <c r="W181" t="s">
        <v>884</v>
      </c>
      <c r="X181" s="16">
        <v>45937.493750000001</v>
      </c>
      <c r="Y181">
        <v>41.3</v>
      </c>
      <c r="Z181"/>
      <c r="AA181" t="s">
        <v>482</v>
      </c>
      <c r="AB181" t="s">
        <v>2101</v>
      </c>
      <c r="AC181" t="s">
        <v>41</v>
      </c>
      <c r="AD181"/>
      <c r="AE181">
        <v>1</v>
      </c>
      <c r="AF181" t="s">
        <v>41</v>
      </c>
      <c r="AG181"/>
      <c r="AH181"/>
      <c r="AI181"/>
      <c r="AJ181"/>
      <c r="AK181">
        <v>361</v>
      </c>
    </row>
    <row r="182" spans="1:37" x14ac:dyDescent="0.2">
      <c r="A182" t="s">
        <v>967</v>
      </c>
      <c r="B182" t="s">
        <v>3000</v>
      </c>
      <c r="C182">
        <v>109</v>
      </c>
      <c r="D182" t="s">
        <v>1157</v>
      </c>
      <c r="E182" t="s">
        <v>1892</v>
      </c>
      <c r="F182" t="s">
        <v>443</v>
      </c>
      <c r="G182" t="s">
        <v>34</v>
      </c>
      <c r="H182" t="s">
        <v>2136</v>
      </c>
      <c r="I182" t="s">
        <v>903</v>
      </c>
      <c r="J182"/>
      <c r="K182" t="s">
        <v>884</v>
      </c>
      <c r="L182" t="s">
        <v>922</v>
      </c>
      <c r="M182" t="s">
        <v>890</v>
      </c>
      <c r="N182" t="s">
        <v>731</v>
      </c>
      <c r="O182" t="s">
        <v>446</v>
      </c>
      <c r="P182"/>
      <c r="Q182"/>
      <c r="R182" t="s">
        <v>443</v>
      </c>
      <c r="S182" t="s">
        <v>885</v>
      </c>
      <c r="T182" s="16">
        <v>45924</v>
      </c>
      <c r="U182" t="s">
        <v>2000</v>
      </c>
      <c r="V182" s="16">
        <v>45943.501388888886</v>
      </c>
      <c r="W182" t="s">
        <v>884</v>
      </c>
      <c r="X182" s="16">
        <v>45938.501388888886</v>
      </c>
      <c r="Y182">
        <v>40.299999999999997</v>
      </c>
      <c r="Z182"/>
      <c r="AA182" t="s">
        <v>482</v>
      </c>
      <c r="AB182" t="s">
        <v>2089</v>
      </c>
      <c r="AC182" t="s">
        <v>41</v>
      </c>
      <c r="AD182"/>
      <c r="AE182">
        <v>2</v>
      </c>
      <c r="AF182" t="s">
        <v>41</v>
      </c>
      <c r="AG182"/>
      <c r="AH182"/>
      <c r="AI182"/>
      <c r="AJ182"/>
      <c r="AK182">
        <v>361</v>
      </c>
    </row>
    <row r="183" spans="1:37" x14ac:dyDescent="0.2">
      <c r="A183" t="s">
        <v>967</v>
      </c>
      <c r="B183" t="s">
        <v>3000</v>
      </c>
      <c r="C183">
        <v>109</v>
      </c>
      <c r="D183" t="s">
        <v>1156</v>
      </c>
      <c r="E183" t="s">
        <v>1891</v>
      </c>
      <c r="F183" t="s">
        <v>443</v>
      </c>
      <c r="G183" t="s">
        <v>34</v>
      </c>
      <c r="H183" t="s">
        <v>2136</v>
      </c>
      <c r="I183" t="s">
        <v>2039</v>
      </c>
      <c r="J183"/>
      <c r="K183" t="s">
        <v>884</v>
      </c>
      <c r="L183" t="s">
        <v>922</v>
      </c>
      <c r="M183" t="s">
        <v>890</v>
      </c>
      <c r="N183" t="s">
        <v>731</v>
      </c>
      <c r="O183" t="s">
        <v>446</v>
      </c>
      <c r="P183"/>
      <c r="Q183"/>
      <c r="R183" t="s">
        <v>443</v>
      </c>
      <c r="S183" t="s">
        <v>885</v>
      </c>
      <c r="T183" s="16">
        <v>45924</v>
      </c>
      <c r="U183"/>
      <c r="V183" s="16">
        <v>45943.501388888886</v>
      </c>
      <c r="W183" t="s">
        <v>884</v>
      </c>
      <c r="X183" s="16">
        <v>45938.501388888886</v>
      </c>
      <c r="Y183">
        <v>40.299999999999997</v>
      </c>
      <c r="Z183"/>
      <c r="AA183" t="s">
        <v>482</v>
      </c>
      <c r="AB183" t="s">
        <v>2090</v>
      </c>
      <c r="AC183" t="s">
        <v>41</v>
      </c>
      <c r="AD183"/>
      <c r="AE183">
        <v>2</v>
      </c>
      <c r="AF183" t="s">
        <v>41</v>
      </c>
      <c r="AG183"/>
      <c r="AH183"/>
      <c r="AI183"/>
      <c r="AJ183"/>
      <c r="AK183">
        <v>361</v>
      </c>
    </row>
    <row r="184" spans="1:37" x14ac:dyDescent="0.2">
      <c r="A184" t="s">
        <v>967</v>
      </c>
      <c r="B184" t="s">
        <v>3000</v>
      </c>
      <c r="C184">
        <v>109</v>
      </c>
      <c r="D184" t="s">
        <v>1155</v>
      </c>
      <c r="E184" t="s">
        <v>1890</v>
      </c>
      <c r="F184" t="s">
        <v>443</v>
      </c>
      <c r="G184" t="s">
        <v>34</v>
      </c>
      <c r="H184" t="s">
        <v>2136</v>
      </c>
      <c r="I184" t="s">
        <v>2039</v>
      </c>
      <c r="J184"/>
      <c r="K184" t="s">
        <v>884</v>
      </c>
      <c r="L184" t="s">
        <v>922</v>
      </c>
      <c r="M184" t="s">
        <v>890</v>
      </c>
      <c r="N184" t="s">
        <v>731</v>
      </c>
      <c r="O184" t="s">
        <v>446</v>
      </c>
      <c r="P184"/>
      <c r="Q184"/>
      <c r="R184" t="s">
        <v>443</v>
      </c>
      <c r="S184" t="s">
        <v>885</v>
      </c>
      <c r="T184" s="16">
        <v>45924</v>
      </c>
      <c r="U184"/>
      <c r="V184" s="16">
        <v>45943.501388888886</v>
      </c>
      <c r="W184" t="s">
        <v>884</v>
      </c>
      <c r="X184" s="16">
        <v>45938.501388888886</v>
      </c>
      <c r="Y184">
        <v>40.299999999999997</v>
      </c>
      <c r="Z184"/>
      <c r="AA184" t="s">
        <v>482</v>
      </c>
      <c r="AB184" t="s">
        <v>2091</v>
      </c>
      <c r="AC184" t="s">
        <v>41</v>
      </c>
      <c r="AD184"/>
      <c r="AE184">
        <v>2</v>
      </c>
      <c r="AF184" t="s">
        <v>41</v>
      </c>
      <c r="AG184"/>
      <c r="AH184"/>
      <c r="AI184"/>
      <c r="AJ184"/>
      <c r="AK184">
        <v>361</v>
      </c>
    </row>
    <row r="185" spans="1:37" x14ac:dyDescent="0.2">
      <c r="A185" t="s">
        <v>967</v>
      </c>
      <c r="B185" t="s">
        <v>3000</v>
      </c>
      <c r="C185">
        <v>109</v>
      </c>
      <c r="D185" t="s">
        <v>1134</v>
      </c>
      <c r="E185" t="s">
        <v>1885</v>
      </c>
      <c r="F185" t="s">
        <v>444</v>
      </c>
      <c r="G185" t="s">
        <v>529</v>
      </c>
      <c r="H185" t="s">
        <v>3006</v>
      </c>
      <c r="I185" t="s">
        <v>964</v>
      </c>
      <c r="J185" t="s">
        <v>884</v>
      </c>
      <c r="K185" t="s">
        <v>884</v>
      </c>
      <c r="L185" t="s">
        <v>887</v>
      </c>
      <c r="M185" t="s">
        <v>890</v>
      </c>
      <c r="N185" t="s">
        <v>494</v>
      </c>
      <c r="O185" t="s">
        <v>446</v>
      </c>
      <c r="P185"/>
      <c r="Q185"/>
      <c r="R185" t="s">
        <v>444</v>
      </c>
      <c r="S185" t="s">
        <v>885</v>
      </c>
      <c r="T185" s="16">
        <v>45866</v>
      </c>
      <c r="U185"/>
      <c r="V185" s="16">
        <v>45945.481249999997</v>
      </c>
      <c r="W185" t="s">
        <v>884</v>
      </c>
      <c r="X185" s="16">
        <v>45940.481249999997</v>
      </c>
      <c r="Y185">
        <v>38.299999999999997</v>
      </c>
      <c r="Z185"/>
      <c r="AA185" t="s">
        <v>482</v>
      </c>
      <c r="AB185" t="s">
        <v>2092</v>
      </c>
      <c r="AC185" t="s">
        <v>41</v>
      </c>
      <c r="AD185"/>
      <c r="AE185">
        <v>2</v>
      </c>
      <c r="AF185" t="s">
        <v>41</v>
      </c>
      <c r="AG185"/>
      <c r="AH185"/>
      <c r="AI185"/>
      <c r="AJ185"/>
      <c r="AK185">
        <v>361</v>
      </c>
    </row>
    <row r="186" spans="1:37" x14ac:dyDescent="0.2">
      <c r="A186" t="s">
        <v>967</v>
      </c>
      <c r="B186" t="s">
        <v>3000</v>
      </c>
      <c r="C186">
        <v>109</v>
      </c>
      <c r="D186" t="s">
        <v>1133</v>
      </c>
      <c r="E186" t="s">
        <v>1884</v>
      </c>
      <c r="F186" t="s">
        <v>444</v>
      </c>
      <c r="G186" t="s">
        <v>529</v>
      </c>
      <c r="H186" t="s">
        <v>3006</v>
      </c>
      <c r="I186" t="s">
        <v>964</v>
      </c>
      <c r="J186" t="s">
        <v>884</v>
      </c>
      <c r="K186" t="s">
        <v>884</v>
      </c>
      <c r="L186" t="s">
        <v>887</v>
      </c>
      <c r="M186" t="s">
        <v>890</v>
      </c>
      <c r="N186" t="s">
        <v>494</v>
      </c>
      <c r="O186" t="s">
        <v>446</v>
      </c>
      <c r="P186"/>
      <c r="Q186"/>
      <c r="R186" t="s">
        <v>444</v>
      </c>
      <c r="S186" t="s">
        <v>885</v>
      </c>
      <c r="T186" s="16">
        <v>45866</v>
      </c>
      <c r="U186"/>
      <c r="V186" s="16">
        <v>45945.481249999997</v>
      </c>
      <c r="W186" t="s">
        <v>884</v>
      </c>
      <c r="X186" s="16">
        <v>45940.481249999997</v>
      </c>
      <c r="Y186">
        <v>38.299999999999997</v>
      </c>
      <c r="Z186"/>
      <c r="AA186" t="s">
        <v>482</v>
      </c>
      <c r="AB186" t="s">
        <v>942</v>
      </c>
      <c r="AC186" t="s">
        <v>41</v>
      </c>
      <c r="AD186"/>
      <c r="AE186">
        <v>2</v>
      </c>
      <c r="AF186" t="s">
        <v>41</v>
      </c>
      <c r="AG186"/>
      <c r="AH186"/>
      <c r="AI186"/>
      <c r="AJ186"/>
      <c r="AK186">
        <v>361</v>
      </c>
    </row>
    <row r="187" spans="1:37" x14ac:dyDescent="0.2">
      <c r="A187" t="s">
        <v>967</v>
      </c>
      <c r="B187" t="s">
        <v>3000</v>
      </c>
      <c r="C187">
        <v>109</v>
      </c>
      <c r="D187" t="s">
        <v>1123</v>
      </c>
      <c r="E187" t="s">
        <v>1882</v>
      </c>
      <c r="F187" t="s">
        <v>444</v>
      </c>
      <c r="G187" t="s">
        <v>529</v>
      </c>
      <c r="H187" t="s">
        <v>2589</v>
      </c>
      <c r="I187" t="s">
        <v>910</v>
      </c>
      <c r="J187"/>
      <c r="K187" t="s">
        <v>884</v>
      </c>
      <c r="L187" t="s">
        <v>922</v>
      </c>
      <c r="M187" t="s">
        <v>886</v>
      </c>
      <c r="N187" t="s">
        <v>494</v>
      </c>
      <c r="O187" t="s">
        <v>446</v>
      </c>
      <c r="P187" t="s">
        <v>520</v>
      </c>
      <c r="Q187"/>
      <c r="R187" t="s">
        <v>444</v>
      </c>
      <c r="S187" t="s">
        <v>885</v>
      </c>
      <c r="T187" s="16">
        <v>44485</v>
      </c>
      <c r="U187"/>
      <c r="V187" s="16">
        <v>45949.459027777775</v>
      </c>
      <c r="W187" t="s">
        <v>884</v>
      </c>
      <c r="X187" s="16">
        <v>45944.459027777775</v>
      </c>
      <c r="Y187">
        <v>34.299999999999997</v>
      </c>
      <c r="Z187"/>
      <c r="AA187" t="s">
        <v>482</v>
      </c>
      <c r="AB187" t="s">
        <v>1206</v>
      </c>
      <c r="AC187" t="s">
        <v>41</v>
      </c>
      <c r="AD187"/>
      <c r="AE187">
        <v>1</v>
      </c>
      <c r="AF187" t="s">
        <v>41</v>
      </c>
      <c r="AG187"/>
      <c r="AH187"/>
      <c r="AI187"/>
      <c r="AJ187"/>
      <c r="AK187">
        <v>361</v>
      </c>
    </row>
    <row r="188" spans="1:37" x14ac:dyDescent="0.2">
      <c r="A188" t="s">
        <v>967</v>
      </c>
      <c r="B188" t="s">
        <v>3000</v>
      </c>
      <c r="C188">
        <v>109</v>
      </c>
      <c r="D188" t="s">
        <v>1115</v>
      </c>
      <c r="E188" t="s">
        <v>1454</v>
      </c>
      <c r="F188" t="s">
        <v>443</v>
      </c>
      <c r="G188" t="s">
        <v>34</v>
      </c>
      <c r="H188" t="s">
        <v>3007</v>
      </c>
      <c r="I188" t="s">
        <v>964</v>
      </c>
      <c r="J188" t="s">
        <v>884</v>
      </c>
      <c r="K188" t="s">
        <v>884</v>
      </c>
      <c r="L188" t="s">
        <v>922</v>
      </c>
      <c r="M188" t="s">
        <v>886</v>
      </c>
      <c r="N188" t="s">
        <v>749</v>
      </c>
      <c r="O188" t="s">
        <v>446</v>
      </c>
      <c r="P188"/>
      <c r="Q188"/>
      <c r="R188" t="s">
        <v>443</v>
      </c>
      <c r="S188" t="s">
        <v>885</v>
      </c>
      <c r="T188" s="16">
        <v>45904</v>
      </c>
      <c r="U188" t="s">
        <v>2004</v>
      </c>
      <c r="V188" s="16">
        <v>45951.47152777778</v>
      </c>
      <c r="W188" t="s">
        <v>884</v>
      </c>
      <c r="X188" s="16">
        <v>45946.47152777778</v>
      </c>
      <c r="Y188">
        <v>32.299999999999997</v>
      </c>
      <c r="Z188"/>
      <c r="AA188" t="s">
        <v>482</v>
      </c>
      <c r="AB188" t="s">
        <v>3008</v>
      </c>
      <c r="AC188" t="s">
        <v>41</v>
      </c>
      <c r="AD188"/>
      <c r="AE188">
        <v>1</v>
      </c>
      <c r="AF188" t="s">
        <v>41</v>
      </c>
      <c r="AG188"/>
      <c r="AH188"/>
      <c r="AI188"/>
      <c r="AJ188"/>
      <c r="AK188">
        <v>361</v>
      </c>
    </row>
    <row r="189" spans="1:37" x14ac:dyDescent="0.2">
      <c r="A189" t="s">
        <v>967</v>
      </c>
      <c r="B189" t="s">
        <v>3000</v>
      </c>
      <c r="C189">
        <v>109</v>
      </c>
      <c r="D189" t="s">
        <v>1114</v>
      </c>
      <c r="E189" t="s">
        <v>1453</v>
      </c>
      <c r="F189" t="s">
        <v>443</v>
      </c>
      <c r="G189" t="s">
        <v>34</v>
      </c>
      <c r="H189" t="s">
        <v>3007</v>
      </c>
      <c r="I189" t="s">
        <v>1999</v>
      </c>
      <c r="J189" t="s">
        <v>884</v>
      </c>
      <c r="K189" t="s">
        <v>884</v>
      </c>
      <c r="L189" t="s">
        <v>922</v>
      </c>
      <c r="M189" t="s">
        <v>890</v>
      </c>
      <c r="N189" t="s">
        <v>749</v>
      </c>
      <c r="O189" t="s">
        <v>446</v>
      </c>
      <c r="P189"/>
      <c r="Q189"/>
      <c r="R189" t="s">
        <v>443</v>
      </c>
      <c r="S189" t="s">
        <v>885</v>
      </c>
      <c r="T189" s="16">
        <v>45904</v>
      </c>
      <c r="U189"/>
      <c r="V189" s="16">
        <v>45951.47152777778</v>
      </c>
      <c r="W189" t="s">
        <v>884</v>
      </c>
      <c r="X189" s="16">
        <v>45946.47152777778</v>
      </c>
      <c r="Y189">
        <v>32.299999999999997</v>
      </c>
      <c r="Z189"/>
      <c r="AA189" t="s">
        <v>482</v>
      </c>
      <c r="AB189" t="s">
        <v>3009</v>
      </c>
      <c r="AC189" t="s">
        <v>41</v>
      </c>
      <c r="AD189"/>
      <c r="AE189">
        <v>1</v>
      </c>
      <c r="AF189" t="s">
        <v>41</v>
      </c>
      <c r="AG189"/>
      <c r="AH189"/>
      <c r="AI189"/>
      <c r="AJ189"/>
      <c r="AK189">
        <v>361</v>
      </c>
    </row>
    <row r="190" spans="1:37" x14ac:dyDescent="0.2">
      <c r="A190" t="s">
        <v>967</v>
      </c>
      <c r="B190" t="s">
        <v>3000</v>
      </c>
      <c r="C190">
        <v>109</v>
      </c>
      <c r="D190" t="s">
        <v>1113</v>
      </c>
      <c r="E190" t="s">
        <v>1879</v>
      </c>
      <c r="F190" t="s">
        <v>443</v>
      </c>
      <c r="G190" t="s">
        <v>34</v>
      </c>
      <c r="H190" t="s">
        <v>2110</v>
      </c>
      <c r="I190" t="s">
        <v>897</v>
      </c>
      <c r="J190"/>
      <c r="K190" t="s">
        <v>884</v>
      </c>
      <c r="L190" t="s">
        <v>922</v>
      </c>
      <c r="M190" t="s">
        <v>886</v>
      </c>
      <c r="N190" t="s">
        <v>731</v>
      </c>
      <c r="O190" t="s">
        <v>446</v>
      </c>
      <c r="P190"/>
      <c r="Q190"/>
      <c r="R190" t="s">
        <v>443</v>
      </c>
      <c r="S190" t="s">
        <v>885</v>
      </c>
      <c r="T190" s="16">
        <v>45933</v>
      </c>
      <c r="U190"/>
      <c r="V190" s="16">
        <v>45951.540972222225</v>
      </c>
      <c r="W190" t="s">
        <v>884</v>
      </c>
      <c r="X190" s="16">
        <v>45946.540972222225</v>
      </c>
      <c r="Y190">
        <v>32.299999999999997</v>
      </c>
      <c r="Z190"/>
      <c r="AA190" t="s">
        <v>482</v>
      </c>
      <c r="AB190" t="s">
        <v>2096</v>
      </c>
      <c r="AC190" t="s">
        <v>41</v>
      </c>
      <c r="AD190"/>
      <c r="AE190">
        <v>1</v>
      </c>
      <c r="AF190" t="s">
        <v>41</v>
      </c>
      <c r="AG190"/>
      <c r="AH190"/>
      <c r="AI190"/>
      <c r="AJ190"/>
      <c r="AK190">
        <v>361</v>
      </c>
    </row>
    <row r="191" spans="1:37" x14ac:dyDescent="0.2">
      <c r="A191" t="s">
        <v>967</v>
      </c>
      <c r="B191" t="s">
        <v>3000</v>
      </c>
      <c r="C191">
        <v>109</v>
      </c>
      <c r="D191" t="s">
        <v>1112</v>
      </c>
      <c r="E191" t="s">
        <v>1878</v>
      </c>
      <c r="F191" t="s">
        <v>443</v>
      </c>
      <c r="G191" t="s">
        <v>34</v>
      </c>
      <c r="H191" t="s">
        <v>2110</v>
      </c>
      <c r="I191" t="s">
        <v>894</v>
      </c>
      <c r="J191"/>
      <c r="K191" t="s">
        <v>884</v>
      </c>
      <c r="L191" t="s">
        <v>922</v>
      </c>
      <c r="M191" t="s">
        <v>886</v>
      </c>
      <c r="N191" t="s">
        <v>731</v>
      </c>
      <c r="O191" t="s">
        <v>446</v>
      </c>
      <c r="P191"/>
      <c r="Q191"/>
      <c r="R191" t="s">
        <v>443</v>
      </c>
      <c r="S191" t="s">
        <v>885</v>
      </c>
      <c r="T191" s="16">
        <v>45933</v>
      </c>
      <c r="U191"/>
      <c r="V191" s="16">
        <v>45951.540972222225</v>
      </c>
      <c r="W191" t="s">
        <v>884</v>
      </c>
      <c r="X191" s="16">
        <v>45946.540972222225</v>
      </c>
      <c r="Y191">
        <v>32.299999999999997</v>
      </c>
      <c r="Z191"/>
      <c r="AA191" t="s">
        <v>482</v>
      </c>
      <c r="AB191" t="s">
        <v>2097</v>
      </c>
      <c r="AC191" t="s">
        <v>41</v>
      </c>
      <c r="AD191"/>
      <c r="AE191">
        <v>1</v>
      </c>
      <c r="AF191" t="s">
        <v>41</v>
      </c>
      <c r="AG191"/>
      <c r="AH191"/>
      <c r="AI191"/>
      <c r="AJ191"/>
      <c r="AK191">
        <v>361</v>
      </c>
    </row>
    <row r="192" spans="1:37" x14ac:dyDescent="0.2">
      <c r="A192" t="s">
        <v>967</v>
      </c>
      <c r="B192" t="s">
        <v>3000</v>
      </c>
      <c r="C192">
        <v>109</v>
      </c>
      <c r="D192" t="s">
        <v>1109</v>
      </c>
      <c r="E192" t="s">
        <v>1875</v>
      </c>
      <c r="F192" t="s">
        <v>444</v>
      </c>
      <c r="G192" t="s">
        <v>535</v>
      </c>
      <c r="H192" t="s">
        <v>2571</v>
      </c>
      <c r="I192" t="s">
        <v>1211</v>
      </c>
      <c r="J192" t="s">
        <v>884</v>
      </c>
      <c r="K192" t="s">
        <v>884</v>
      </c>
      <c r="L192" t="s">
        <v>922</v>
      </c>
      <c r="M192" t="s">
        <v>890</v>
      </c>
      <c r="N192" t="s">
        <v>494</v>
      </c>
      <c r="O192" t="s">
        <v>446</v>
      </c>
      <c r="P192" t="s">
        <v>679</v>
      </c>
      <c r="Q192">
        <v>941000031749756</v>
      </c>
      <c r="R192" t="s">
        <v>444</v>
      </c>
      <c r="S192" t="s">
        <v>885</v>
      </c>
      <c r="T192" s="16">
        <v>43390</v>
      </c>
      <c r="U192"/>
      <c r="V192" s="16">
        <v>45952.510416666664</v>
      </c>
      <c r="W192" t="s">
        <v>884</v>
      </c>
      <c r="X192" s="16">
        <v>45947.510416666664</v>
      </c>
      <c r="Y192">
        <v>31.3</v>
      </c>
      <c r="Z192"/>
      <c r="AA192" t="s">
        <v>482</v>
      </c>
      <c r="AB192" t="s">
        <v>933</v>
      </c>
      <c r="AC192" t="s">
        <v>41</v>
      </c>
      <c r="AD192"/>
      <c r="AE192">
        <v>3</v>
      </c>
      <c r="AF192" t="s">
        <v>41</v>
      </c>
      <c r="AG192"/>
      <c r="AH192"/>
      <c r="AI192"/>
      <c r="AJ192"/>
      <c r="AK192">
        <v>361</v>
      </c>
    </row>
    <row r="193" spans="1:37" x14ac:dyDescent="0.2">
      <c r="A193" t="s">
        <v>967</v>
      </c>
      <c r="B193" t="s">
        <v>3000</v>
      </c>
      <c r="C193">
        <v>109</v>
      </c>
      <c r="D193" t="s">
        <v>1861</v>
      </c>
      <c r="E193" t="s">
        <v>1862</v>
      </c>
      <c r="F193" t="s">
        <v>443</v>
      </c>
      <c r="G193" t="s">
        <v>34</v>
      </c>
      <c r="H193" t="s">
        <v>2095</v>
      </c>
      <c r="I193" t="s">
        <v>2030</v>
      </c>
      <c r="J193"/>
      <c r="K193" t="s">
        <v>884</v>
      </c>
      <c r="L193" t="s">
        <v>922</v>
      </c>
      <c r="M193" t="s">
        <v>890</v>
      </c>
      <c r="N193" t="s">
        <v>731</v>
      </c>
      <c r="O193" t="s">
        <v>446</v>
      </c>
      <c r="P193"/>
      <c r="Q193"/>
      <c r="R193" t="s">
        <v>443</v>
      </c>
      <c r="S193" t="s">
        <v>885</v>
      </c>
      <c r="T193" s="16">
        <v>45947</v>
      </c>
      <c r="U193" t="s">
        <v>2004</v>
      </c>
      <c r="V193" s="16">
        <v>45954.636805555558</v>
      </c>
      <c r="W193" t="s">
        <v>884</v>
      </c>
      <c r="X193" s="16">
        <v>45949.636805555558</v>
      </c>
      <c r="Y193">
        <v>29.1</v>
      </c>
      <c r="Z193"/>
      <c r="AA193" t="s">
        <v>482</v>
      </c>
      <c r="AB193"/>
      <c r="AC193" t="s">
        <v>41</v>
      </c>
      <c r="AD193"/>
      <c r="AE193">
        <v>1</v>
      </c>
      <c r="AF193" t="s">
        <v>41</v>
      </c>
      <c r="AG193"/>
      <c r="AH193"/>
      <c r="AI193"/>
      <c r="AJ193"/>
      <c r="AK193">
        <v>361</v>
      </c>
    </row>
    <row r="194" spans="1:37" x14ac:dyDescent="0.2">
      <c r="A194" t="s">
        <v>967</v>
      </c>
      <c r="B194" t="s">
        <v>3000</v>
      </c>
      <c r="C194">
        <v>109</v>
      </c>
      <c r="D194" t="s">
        <v>1826</v>
      </c>
      <c r="E194" t="s">
        <v>1827</v>
      </c>
      <c r="F194" t="s">
        <v>444</v>
      </c>
      <c r="G194" t="s">
        <v>746</v>
      </c>
      <c r="H194" t="s">
        <v>3010</v>
      </c>
      <c r="I194" t="s">
        <v>977</v>
      </c>
      <c r="J194"/>
      <c r="K194" t="s">
        <v>884</v>
      </c>
      <c r="L194" t="s">
        <v>887</v>
      </c>
      <c r="M194" t="s">
        <v>890</v>
      </c>
      <c r="N194" t="s">
        <v>461</v>
      </c>
      <c r="O194" t="s">
        <v>446</v>
      </c>
      <c r="P194" t="s">
        <v>716</v>
      </c>
      <c r="Q194"/>
      <c r="R194" t="s">
        <v>444</v>
      </c>
      <c r="S194" t="s">
        <v>885</v>
      </c>
      <c r="T194" s="16">
        <v>44127</v>
      </c>
      <c r="U194"/>
      <c r="V194" s="16">
        <v>45957.714583333334</v>
      </c>
      <c r="W194" t="s">
        <v>892</v>
      </c>
      <c r="X194" s="16">
        <v>45952.714583333334</v>
      </c>
      <c r="Y194">
        <v>26</v>
      </c>
      <c r="Z194"/>
      <c r="AA194" t="s">
        <v>482</v>
      </c>
      <c r="AB194" t="s">
        <v>965</v>
      </c>
      <c r="AC194" t="s">
        <v>41</v>
      </c>
      <c r="AD194"/>
      <c r="AE194">
        <v>1</v>
      </c>
      <c r="AF194" t="s">
        <v>41</v>
      </c>
      <c r="AG194"/>
      <c r="AH194"/>
      <c r="AI194"/>
      <c r="AJ194"/>
      <c r="AK194">
        <v>361</v>
      </c>
    </row>
    <row r="195" spans="1:37" x14ac:dyDescent="0.2">
      <c r="A195" t="s">
        <v>967</v>
      </c>
      <c r="B195" t="s">
        <v>3000</v>
      </c>
      <c r="C195">
        <v>109</v>
      </c>
      <c r="D195" t="s">
        <v>1778</v>
      </c>
      <c r="E195" t="s">
        <v>2457</v>
      </c>
      <c r="F195" t="s">
        <v>444</v>
      </c>
      <c r="G195" t="s">
        <v>649</v>
      </c>
      <c r="H195" t="s">
        <v>3011</v>
      </c>
      <c r="I195" t="s">
        <v>910</v>
      </c>
      <c r="J195"/>
      <c r="K195" t="s">
        <v>884</v>
      </c>
      <c r="L195" t="s">
        <v>887</v>
      </c>
      <c r="M195" t="s">
        <v>886</v>
      </c>
      <c r="N195" t="s">
        <v>494</v>
      </c>
      <c r="O195" t="s">
        <v>446</v>
      </c>
      <c r="P195" t="s">
        <v>456</v>
      </c>
      <c r="Q195"/>
      <c r="R195" t="s">
        <v>444</v>
      </c>
      <c r="S195" t="s">
        <v>885</v>
      </c>
      <c r="T195" s="16">
        <v>45687</v>
      </c>
      <c r="U195"/>
      <c r="V195" s="16">
        <v>45965.604861111111</v>
      </c>
      <c r="W195" t="s">
        <v>884</v>
      </c>
      <c r="X195" s="16">
        <v>45960.646527777775</v>
      </c>
      <c r="Y195">
        <v>18.100000000000001</v>
      </c>
      <c r="Z195"/>
      <c r="AA195" t="s">
        <v>482</v>
      </c>
      <c r="AB195" t="s">
        <v>2131</v>
      </c>
      <c r="AC195" t="s">
        <v>41</v>
      </c>
      <c r="AD195"/>
      <c r="AE195">
        <v>1</v>
      </c>
      <c r="AF195" t="s">
        <v>41</v>
      </c>
      <c r="AG195"/>
      <c r="AH195"/>
      <c r="AI195"/>
      <c r="AJ195"/>
      <c r="AK195">
        <v>361</v>
      </c>
    </row>
    <row r="196" spans="1:37" x14ac:dyDescent="0.2">
      <c r="A196" t="s">
        <v>967</v>
      </c>
      <c r="B196" t="s">
        <v>3000</v>
      </c>
      <c r="C196">
        <v>109</v>
      </c>
      <c r="D196" t="s">
        <v>2388</v>
      </c>
      <c r="E196" t="s">
        <v>2389</v>
      </c>
      <c r="F196" t="s">
        <v>444</v>
      </c>
      <c r="G196" t="s">
        <v>510</v>
      </c>
      <c r="H196" t="s">
        <v>2040</v>
      </c>
      <c r="I196" t="s">
        <v>948</v>
      </c>
      <c r="J196"/>
      <c r="K196" t="s">
        <v>884</v>
      </c>
      <c r="L196" t="s">
        <v>922</v>
      </c>
      <c r="M196" t="s">
        <v>890</v>
      </c>
      <c r="N196" t="s">
        <v>494</v>
      </c>
      <c r="O196" t="s">
        <v>446</v>
      </c>
      <c r="P196"/>
      <c r="Q196"/>
      <c r="R196" t="s">
        <v>444</v>
      </c>
      <c r="S196" t="s">
        <v>885</v>
      </c>
      <c r="T196" s="16">
        <v>45814</v>
      </c>
      <c r="U196"/>
      <c r="V196" s="16">
        <v>45972.586805555555</v>
      </c>
      <c r="W196" t="s">
        <v>884</v>
      </c>
      <c r="X196" s="16">
        <v>45967.586805555555</v>
      </c>
      <c r="Y196">
        <v>11.2</v>
      </c>
      <c r="Z196"/>
      <c r="AA196" t="s">
        <v>482</v>
      </c>
      <c r="AB196" t="s">
        <v>3012</v>
      </c>
      <c r="AC196" t="s">
        <v>41</v>
      </c>
      <c r="AD196"/>
      <c r="AE196">
        <v>1</v>
      </c>
      <c r="AF196" t="s">
        <v>41</v>
      </c>
      <c r="AG196"/>
      <c r="AH196"/>
      <c r="AI196"/>
      <c r="AJ196"/>
      <c r="AK196">
        <v>361</v>
      </c>
    </row>
    <row r="197" spans="1:37" x14ac:dyDescent="0.2">
      <c r="A197" t="s">
        <v>967</v>
      </c>
      <c r="B197" t="s">
        <v>3000</v>
      </c>
      <c r="C197">
        <v>109</v>
      </c>
      <c r="D197" t="s">
        <v>2385</v>
      </c>
      <c r="E197" t="s">
        <v>2386</v>
      </c>
      <c r="F197" t="s">
        <v>444</v>
      </c>
      <c r="G197" t="s">
        <v>510</v>
      </c>
      <c r="H197" t="s">
        <v>2059</v>
      </c>
      <c r="I197" t="s">
        <v>932</v>
      </c>
      <c r="J197"/>
      <c r="K197" t="s">
        <v>884</v>
      </c>
      <c r="L197" t="s">
        <v>922</v>
      </c>
      <c r="M197" t="s">
        <v>890</v>
      </c>
      <c r="N197" t="s">
        <v>494</v>
      </c>
      <c r="O197" t="s">
        <v>446</v>
      </c>
      <c r="P197"/>
      <c r="Q197"/>
      <c r="R197" t="s">
        <v>444</v>
      </c>
      <c r="S197" t="s">
        <v>885</v>
      </c>
      <c r="T197" s="16">
        <v>45602</v>
      </c>
      <c r="U197"/>
      <c r="V197" s="16">
        <v>45972.586805555555</v>
      </c>
      <c r="W197" t="s">
        <v>884</v>
      </c>
      <c r="X197" s="16">
        <v>45967.586805555555</v>
      </c>
      <c r="Y197">
        <v>11.2</v>
      </c>
      <c r="Z197"/>
      <c r="AA197" t="s">
        <v>482</v>
      </c>
      <c r="AB197" t="s">
        <v>3012</v>
      </c>
      <c r="AC197" t="s">
        <v>41</v>
      </c>
      <c r="AD197"/>
      <c r="AE197">
        <v>1</v>
      </c>
      <c r="AF197" t="s">
        <v>41</v>
      </c>
      <c r="AG197"/>
      <c r="AH197"/>
      <c r="AI197"/>
      <c r="AJ197"/>
      <c r="AK197">
        <v>361</v>
      </c>
    </row>
    <row r="198" spans="1:37" x14ac:dyDescent="0.2">
      <c r="A198" t="s">
        <v>967</v>
      </c>
      <c r="B198" t="s">
        <v>3000</v>
      </c>
      <c r="C198">
        <v>109</v>
      </c>
      <c r="D198" t="s">
        <v>2311</v>
      </c>
      <c r="E198" t="s">
        <v>2313</v>
      </c>
      <c r="F198" t="s">
        <v>444</v>
      </c>
      <c r="G198" t="s">
        <v>2312</v>
      </c>
      <c r="H198" t="s">
        <v>2141</v>
      </c>
      <c r="I198" t="s">
        <v>932</v>
      </c>
      <c r="J198"/>
      <c r="K198" t="s">
        <v>884</v>
      </c>
      <c r="L198" t="s">
        <v>922</v>
      </c>
      <c r="M198" t="s">
        <v>890</v>
      </c>
      <c r="N198" t="s">
        <v>470</v>
      </c>
      <c r="O198" t="s">
        <v>446</v>
      </c>
      <c r="P198" t="s">
        <v>679</v>
      </c>
      <c r="Q198"/>
      <c r="R198" t="s">
        <v>444</v>
      </c>
      <c r="S198" t="s">
        <v>885</v>
      </c>
      <c r="T198">
        <v>45608</v>
      </c>
      <c r="U198"/>
      <c r="V198" s="16">
        <v>45978.618055555555</v>
      </c>
      <c r="W198" t="s">
        <v>884</v>
      </c>
      <c r="X198" s="16">
        <v>45973.618055555555</v>
      </c>
      <c r="Y198">
        <v>5.2</v>
      </c>
      <c r="Z198"/>
      <c r="AA198" t="s">
        <v>482</v>
      </c>
      <c r="AB198" t="s">
        <v>3013</v>
      </c>
      <c r="AC198" t="s">
        <v>41</v>
      </c>
      <c r="AD198"/>
      <c r="AE198">
        <v>1</v>
      </c>
      <c r="AF198" t="s">
        <v>41</v>
      </c>
      <c r="AG198"/>
      <c r="AH198"/>
      <c r="AI198"/>
      <c r="AJ198"/>
      <c r="AK198">
        <v>361</v>
      </c>
    </row>
    <row r="199" spans="1:37" x14ac:dyDescent="0.2">
      <c r="A199" t="s">
        <v>967</v>
      </c>
      <c r="B199" t="s">
        <v>3000</v>
      </c>
      <c r="C199">
        <v>109</v>
      </c>
      <c r="D199" t="s">
        <v>454</v>
      </c>
      <c r="E199" t="s">
        <v>450</v>
      </c>
      <c r="F199" t="s">
        <v>444</v>
      </c>
      <c r="G199" t="s">
        <v>451</v>
      </c>
      <c r="H199" t="s">
        <v>2952</v>
      </c>
      <c r="I199" t="s">
        <v>917</v>
      </c>
      <c r="J199" t="s">
        <v>884</v>
      </c>
      <c r="K199" t="s">
        <v>892</v>
      </c>
      <c r="L199" t="s">
        <v>956</v>
      </c>
      <c r="M199" t="s">
        <v>886</v>
      </c>
      <c r="N199" t="s">
        <v>452</v>
      </c>
      <c r="O199" t="s">
        <v>446</v>
      </c>
      <c r="P199"/>
      <c r="Q199">
        <v>982091071833720</v>
      </c>
      <c r="R199" t="s">
        <v>444</v>
      </c>
      <c r="S199" t="s">
        <v>885</v>
      </c>
      <c r="T199" s="16">
        <v>41796</v>
      </c>
      <c r="U199" t="s">
        <v>950</v>
      </c>
      <c r="V199" s="16"/>
      <c r="W199" t="s">
        <v>892</v>
      </c>
      <c r="X199" s="16">
        <v>45902.40347222222</v>
      </c>
      <c r="Y199">
        <v>76.400000000000006</v>
      </c>
      <c r="Z199"/>
      <c r="AA199" t="s">
        <v>445</v>
      </c>
      <c r="AB199" t="s">
        <v>945</v>
      </c>
      <c r="AC199" t="s">
        <v>41</v>
      </c>
      <c r="AD199"/>
      <c r="AE199">
        <v>2</v>
      </c>
      <c r="AF199" t="s">
        <v>41</v>
      </c>
      <c r="AG199"/>
      <c r="AH199"/>
      <c r="AI199"/>
      <c r="AJ199"/>
      <c r="AK199">
        <v>361</v>
      </c>
    </row>
    <row r="200" spans="1:37" x14ac:dyDescent="0.2">
      <c r="A200" t="s">
        <v>967</v>
      </c>
      <c r="B200" t="s">
        <v>3000</v>
      </c>
      <c r="C200">
        <v>109</v>
      </c>
      <c r="D200" t="s">
        <v>586</v>
      </c>
      <c r="E200" t="s">
        <v>584</v>
      </c>
      <c r="F200" t="s">
        <v>443</v>
      </c>
      <c r="G200" t="s">
        <v>34</v>
      </c>
      <c r="H200" t="s">
        <v>3014</v>
      </c>
      <c r="I200" t="s">
        <v>2023</v>
      </c>
      <c r="J200"/>
      <c r="K200" t="s">
        <v>884</v>
      </c>
      <c r="L200" t="s">
        <v>922</v>
      </c>
      <c r="M200" t="s">
        <v>890</v>
      </c>
      <c r="N200" t="s">
        <v>585</v>
      </c>
      <c r="O200" t="s">
        <v>446</v>
      </c>
      <c r="P200"/>
      <c r="Q200"/>
      <c r="R200" t="s">
        <v>443</v>
      </c>
      <c r="S200" t="s">
        <v>885</v>
      </c>
      <c r="T200" s="16">
        <v>45734</v>
      </c>
      <c r="U200"/>
      <c r="V200" s="16">
        <v>45795.479861111111</v>
      </c>
      <c r="W200" t="s">
        <v>884</v>
      </c>
      <c r="X200" s="16">
        <v>45790.479861111111</v>
      </c>
      <c r="Y200">
        <v>188.3</v>
      </c>
      <c r="Z200"/>
      <c r="AA200" t="s">
        <v>445</v>
      </c>
      <c r="AB200" t="s">
        <v>2009</v>
      </c>
      <c r="AC200" t="s">
        <v>41</v>
      </c>
      <c r="AD200"/>
      <c r="AE200">
        <v>1</v>
      </c>
      <c r="AF200" t="s">
        <v>41</v>
      </c>
      <c r="AG200"/>
      <c r="AH200"/>
      <c r="AI200"/>
      <c r="AJ200"/>
      <c r="AK200">
        <v>361</v>
      </c>
    </row>
    <row r="201" spans="1:37" x14ac:dyDescent="0.2">
      <c r="A201" t="s">
        <v>967</v>
      </c>
      <c r="B201" t="s">
        <v>3000</v>
      </c>
      <c r="C201">
        <v>109</v>
      </c>
      <c r="D201" t="s">
        <v>607</v>
      </c>
      <c r="E201" t="s">
        <v>605</v>
      </c>
      <c r="F201" t="s">
        <v>444</v>
      </c>
      <c r="G201" t="s">
        <v>606</v>
      </c>
      <c r="H201" t="s">
        <v>2848</v>
      </c>
      <c r="I201" t="s">
        <v>932</v>
      </c>
      <c r="J201"/>
      <c r="K201" t="s">
        <v>884</v>
      </c>
      <c r="L201" t="s">
        <v>937</v>
      </c>
      <c r="M201" t="s">
        <v>886</v>
      </c>
      <c r="N201" t="s">
        <v>585</v>
      </c>
      <c r="O201" t="s">
        <v>446</v>
      </c>
      <c r="P201" t="s">
        <v>466</v>
      </c>
      <c r="Q201"/>
      <c r="R201" t="s">
        <v>444</v>
      </c>
      <c r="S201" t="s">
        <v>885</v>
      </c>
      <c r="T201" s="16">
        <v>43255</v>
      </c>
      <c r="U201"/>
      <c r="V201" s="16"/>
      <c r="W201" t="s">
        <v>884</v>
      </c>
      <c r="X201" s="16">
        <v>45812.583333333336</v>
      </c>
      <c r="Y201">
        <v>166.2</v>
      </c>
      <c r="Z201"/>
      <c r="AA201" t="s">
        <v>445</v>
      </c>
      <c r="AB201" t="s">
        <v>972</v>
      </c>
      <c r="AC201" t="s">
        <v>41</v>
      </c>
      <c r="AD201"/>
      <c r="AE201">
        <v>1</v>
      </c>
      <c r="AF201" t="s">
        <v>41</v>
      </c>
      <c r="AG201"/>
      <c r="AH201"/>
      <c r="AI201"/>
      <c r="AJ201"/>
      <c r="AK201">
        <v>361</v>
      </c>
    </row>
    <row r="202" spans="1:37" x14ac:dyDescent="0.2">
      <c r="A202" t="s">
        <v>967</v>
      </c>
      <c r="B202" t="s">
        <v>3000</v>
      </c>
      <c r="C202">
        <v>109</v>
      </c>
      <c r="D202" t="s">
        <v>171</v>
      </c>
      <c r="E202" t="s">
        <v>2826</v>
      </c>
      <c r="F202" t="s">
        <v>444</v>
      </c>
      <c r="G202" t="s">
        <v>638</v>
      </c>
      <c r="H202" t="s">
        <v>1933</v>
      </c>
      <c r="I202" t="s">
        <v>964</v>
      </c>
      <c r="J202" t="s">
        <v>884</v>
      </c>
      <c r="K202" t="s">
        <v>884</v>
      </c>
      <c r="L202" t="s">
        <v>963</v>
      </c>
      <c r="M202" t="s">
        <v>886</v>
      </c>
      <c r="N202" t="s">
        <v>452</v>
      </c>
      <c r="O202" t="s">
        <v>446</v>
      </c>
      <c r="P202" t="s">
        <v>508</v>
      </c>
      <c r="Q202">
        <v>941000030951410</v>
      </c>
      <c r="R202" t="s">
        <v>444</v>
      </c>
      <c r="S202" t="s">
        <v>885</v>
      </c>
      <c r="T202" s="16">
        <v>45093</v>
      </c>
      <c r="U202" t="s">
        <v>932</v>
      </c>
      <c r="V202" s="16">
        <v>45829.554166666669</v>
      </c>
      <c r="W202" t="s">
        <v>892</v>
      </c>
      <c r="X202" s="16">
        <v>45824.554166666669</v>
      </c>
      <c r="Y202">
        <v>154.19999999999999</v>
      </c>
      <c r="Z202"/>
      <c r="AA202" t="s">
        <v>445</v>
      </c>
      <c r="AB202" t="s">
        <v>962</v>
      </c>
      <c r="AC202" t="s">
        <v>41</v>
      </c>
      <c r="AD202"/>
      <c r="AE202">
        <v>3</v>
      </c>
      <c r="AF202" t="s">
        <v>41</v>
      </c>
      <c r="AG202"/>
      <c r="AH202"/>
      <c r="AI202"/>
      <c r="AJ202"/>
      <c r="AK202">
        <v>361</v>
      </c>
    </row>
    <row r="203" spans="1:37" x14ac:dyDescent="0.2">
      <c r="A203" t="s">
        <v>967</v>
      </c>
      <c r="B203" t="s">
        <v>3000</v>
      </c>
      <c r="C203">
        <v>109</v>
      </c>
      <c r="D203" t="s">
        <v>1195</v>
      </c>
      <c r="E203" t="s">
        <v>1196</v>
      </c>
      <c r="F203" t="s">
        <v>443</v>
      </c>
      <c r="G203" t="s">
        <v>34</v>
      </c>
      <c r="H203" t="s">
        <v>3015</v>
      </c>
      <c r="I203" t="s">
        <v>903</v>
      </c>
      <c r="J203" t="s">
        <v>884</v>
      </c>
      <c r="K203" t="s">
        <v>884</v>
      </c>
      <c r="L203" t="s">
        <v>922</v>
      </c>
      <c r="M203" t="s">
        <v>890</v>
      </c>
      <c r="N203" t="s">
        <v>585</v>
      </c>
      <c r="O203" t="s">
        <v>446</v>
      </c>
      <c r="P203"/>
      <c r="Q203"/>
      <c r="R203" t="s">
        <v>443</v>
      </c>
      <c r="S203" t="s">
        <v>885</v>
      </c>
      <c r="T203" s="16">
        <v>45803</v>
      </c>
      <c r="U203"/>
      <c r="V203" s="16">
        <v>45836.488888888889</v>
      </c>
      <c r="W203" t="s">
        <v>884</v>
      </c>
      <c r="X203" s="16">
        <v>45831.488888888889</v>
      </c>
      <c r="Y203">
        <v>147.30000000000001</v>
      </c>
      <c r="Z203"/>
      <c r="AA203" t="s">
        <v>445</v>
      </c>
      <c r="AB203" t="s">
        <v>2099</v>
      </c>
      <c r="AC203" t="s">
        <v>41</v>
      </c>
      <c r="AD203"/>
      <c r="AE203">
        <v>1</v>
      </c>
      <c r="AF203" t="s">
        <v>41</v>
      </c>
      <c r="AG203"/>
      <c r="AH203"/>
      <c r="AI203"/>
      <c r="AJ203"/>
      <c r="AK203">
        <v>361</v>
      </c>
    </row>
    <row r="204" spans="1:37" x14ac:dyDescent="0.2">
      <c r="A204" t="s">
        <v>967</v>
      </c>
      <c r="B204" t="s">
        <v>3000</v>
      </c>
      <c r="C204">
        <v>109</v>
      </c>
      <c r="D204" t="s">
        <v>653</v>
      </c>
      <c r="E204" t="s">
        <v>652</v>
      </c>
      <c r="F204" t="s">
        <v>444</v>
      </c>
      <c r="G204" t="s">
        <v>649</v>
      </c>
      <c r="H204" t="s">
        <v>2812</v>
      </c>
      <c r="I204" t="s">
        <v>903</v>
      </c>
      <c r="J204" t="s">
        <v>884</v>
      </c>
      <c r="K204" t="s">
        <v>884</v>
      </c>
      <c r="L204" t="s">
        <v>922</v>
      </c>
      <c r="M204" t="s">
        <v>890</v>
      </c>
      <c r="N204" t="s">
        <v>452</v>
      </c>
      <c r="O204" t="s">
        <v>446</v>
      </c>
      <c r="P204" t="s">
        <v>650</v>
      </c>
      <c r="Q204">
        <v>941000030975929</v>
      </c>
      <c r="R204" t="s">
        <v>444</v>
      </c>
      <c r="S204" t="s">
        <v>885</v>
      </c>
      <c r="T204" s="16">
        <v>44377</v>
      </c>
      <c r="U204"/>
      <c r="V204" s="16">
        <v>45843.477083333331</v>
      </c>
      <c r="W204" t="s">
        <v>892</v>
      </c>
      <c r="X204" s="16">
        <v>45838.477083333331</v>
      </c>
      <c r="Y204">
        <v>140.30000000000001</v>
      </c>
      <c r="Z204"/>
      <c r="AA204" t="s">
        <v>445</v>
      </c>
      <c r="AB204" t="s">
        <v>971</v>
      </c>
      <c r="AC204" t="s">
        <v>41</v>
      </c>
      <c r="AD204"/>
      <c r="AE204">
        <v>1</v>
      </c>
      <c r="AF204" t="s">
        <v>41</v>
      </c>
      <c r="AG204"/>
      <c r="AH204"/>
      <c r="AI204"/>
      <c r="AJ204"/>
      <c r="AK204">
        <v>361</v>
      </c>
    </row>
    <row r="205" spans="1:37" x14ac:dyDescent="0.2">
      <c r="A205" t="s">
        <v>967</v>
      </c>
      <c r="B205" t="s">
        <v>3000</v>
      </c>
      <c r="C205">
        <v>109</v>
      </c>
      <c r="D205" t="s">
        <v>734</v>
      </c>
      <c r="E205" t="s">
        <v>733</v>
      </c>
      <c r="F205" t="s">
        <v>443</v>
      </c>
      <c r="G205" t="s">
        <v>34</v>
      </c>
      <c r="H205" t="s">
        <v>3006</v>
      </c>
      <c r="I205" t="s">
        <v>907</v>
      </c>
      <c r="J205"/>
      <c r="K205" t="s">
        <v>884</v>
      </c>
      <c r="L205" t="s">
        <v>922</v>
      </c>
      <c r="M205" t="s">
        <v>886</v>
      </c>
      <c r="N205" t="s">
        <v>585</v>
      </c>
      <c r="O205" t="s">
        <v>446</v>
      </c>
      <c r="P205"/>
      <c r="Q205"/>
      <c r="R205" t="s">
        <v>443</v>
      </c>
      <c r="S205" t="s">
        <v>885</v>
      </c>
      <c r="T205" s="16">
        <v>45866</v>
      </c>
      <c r="U205" t="s">
        <v>2004</v>
      </c>
      <c r="V205">
        <v>45892.615972222222</v>
      </c>
      <c r="W205" t="s">
        <v>884</v>
      </c>
      <c r="X205" s="16">
        <v>45887.615972222222</v>
      </c>
      <c r="Y205">
        <v>91.2</v>
      </c>
      <c r="Z205"/>
      <c r="AA205" t="s">
        <v>445</v>
      </c>
      <c r="AB205" t="s">
        <v>2008</v>
      </c>
      <c r="AC205" t="s">
        <v>41</v>
      </c>
      <c r="AD205"/>
      <c r="AE205">
        <v>1</v>
      </c>
      <c r="AF205" t="s">
        <v>41</v>
      </c>
      <c r="AG205"/>
      <c r="AH205"/>
      <c r="AI205"/>
      <c r="AJ205"/>
      <c r="AK205">
        <v>361</v>
      </c>
    </row>
    <row r="206" spans="1:37" x14ac:dyDescent="0.2">
      <c r="A206" t="s">
        <v>967</v>
      </c>
      <c r="B206" t="s">
        <v>3000</v>
      </c>
      <c r="C206">
        <v>109</v>
      </c>
      <c r="D206" t="s">
        <v>740</v>
      </c>
      <c r="E206" t="s">
        <v>739</v>
      </c>
      <c r="F206" t="s">
        <v>443</v>
      </c>
      <c r="G206" t="s">
        <v>34</v>
      </c>
      <c r="H206" t="s">
        <v>3016</v>
      </c>
      <c r="I206" t="s">
        <v>2051</v>
      </c>
      <c r="J206"/>
      <c r="K206" t="s">
        <v>884</v>
      </c>
      <c r="L206" t="s">
        <v>922</v>
      </c>
      <c r="M206" t="s">
        <v>890</v>
      </c>
      <c r="N206" t="s">
        <v>585</v>
      </c>
      <c r="O206" t="s">
        <v>446</v>
      </c>
      <c r="P206"/>
      <c r="Q206"/>
      <c r="R206" t="s">
        <v>443</v>
      </c>
      <c r="S206" t="s">
        <v>885</v>
      </c>
      <c r="T206" s="16">
        <v>45862</v>
      </c>
      <c r="U206"/>
      <c r="V206">
        <v>45895.611111111109</v>
      </c>
      <c r="W206" t="s">
        <v>884</v>
      </c>
      <c r="X206" s="16">
        <v>45890.611111111109</v>
      </c>
      <c r="Y206">
        <v>88.2</v>
      </c>
      <c r="Z206"/>
      <c r="AA206" t="s">
        <v>445</v>
      </c>
      <c r="AB206" t="s">
        <v>2008</v>
      </c>
      <c r="AC206" t="s">
        <v>41</v>
      </c>
      <c r="AD206"/>
      <c r="AE206">
        <v>1</v>
      </c>
      <c r="AF206" t="s">
        <v>41</v>
      </c>
      <c r="AG206"/>
      <c r="AH206"/>
      <c r="AI206"/>
      <c r="AJ206"/>
      <c r="AK206">
        <v>361</v>
      </c>
    </row>
    <row r="207" spans="1:37" x14ac:dyDescent="0.2">
      <c r="A207" t="s">
        <v>967</v>
      </c>
      <c r="B207" t="s">
        <v>3000</v>
      </c>
      <c r="C207">
        <v>109</v>
      </c>
      <c r="D207" t="s">
        <v>804</v>
      </c>
      <c r="E207" t="s">
        <v>1174</v>
      </c>
      <c r="F207" t="s">
        <v>443</v>
      </c>
      <c r="G207" t="s">
        <v>34</v>
      </c>
      <c r="H207" t="s">
        <v>1998</v>
      </c>
      <c r="I207" t="s">
        <v>2051</v>
      </c>
      <c r="J207"/>
      <c r="K207" t="s">
        <v>884</v>
      </c>
      <c r="L207" t="s">
        <v>922</v>
      </c>
      <c r="M207" t="s">
        <v>890</v>
      </c>
      <c r="N207" t="s">
        <v>585</v>
      </c>
      <c r="O207" t="s">
        <v>446</v>
      </c>
      <c r="P207"/>
      <c r="Q207"/>
      <c r="R207" t="s">
        <v>443</v>
      </c>
      <c r="S207" t="s">
        <v>885</v>
      </c>
      <c r="T207" s="16">
        <v>45887</v>
      </c>
      <c r="U207"/>
      <c r="V207">
        <v>45919.603472222225</v>
      </c>
      <c r="W207" t="s">
        <v>884</v>
      </c>
      <c r="X207" s="16">
        <v>45914.603472222225</v>
      </c>
      <c r="Y207">
        <v>64.2</v>
      </c>
      <c r="Z207"/>
      <c r="AA207" t="s">
        <v>445</v>
      </c>
      <c r="AB207"/>
      <c r="AC207" t="s">
        <v>41</v>
      </c>
      <c r="AD207"/>
      <c r="AE207">
        <v>0</v>
      </c>
      <c r="AF207" t="s">
        <v>41</v>
      </c>
      <c r="AG207"/>
      <c r="AH207"/>
      <c r="AI207"/>
      <c r="AJ207"/>
      <c r="AK207">
        <v>361</v>
      </c>
    </row>
    <row r="208" spans="1:37" x14ac:dyDescent="0.2">
      <c r="A208" t="s">
        <v>967</v>
      </c>
      <c r="B208" t="s">
        <v>3000</v>
      </c>
      <c r="C208">
        <v>109</v>
      </c>
      <c r="D208" t="s">
        <v>818</v>
      </c>
      <c r="E208" t="s">
        <v>2679</v>
      </c>
      <c r="F208" t="s">
        <v>443</v>
      </c>
      <c r="G208" t="s">
        <v>548</v>
      </c>
      <c r="H208" t="s">
        <v>2974</v>
      </c>
      <c r="I208" t="s">
        <v>2017</v>
      </c>
      <c r="J208"/>
      <c r="K208" t="s">
        <v>884</v>
      </c>
      <c r="L208" t="s">
        <v>887</v>
      </c>
      <c r="M208" t="s">
        <v>886</v>
      </c>
      <c r="N208" t="s">
        <v>585</v>
      </c>
      <c r="O208" t="s">
        <v>446</v>
      </c>
      <c r="P208"/>
      <c r="Q208">
        <v>941000030976110</v>
      </c>
      <c r="R208" t="s">
        <v>443</v>
      </c>
      <c r="S208" t="s">
        <v>885</v>
      </c>
      <c r="T208" s="16">
        <v>45881</v>
      </c>
      <c r="U208"/>
      <c r="V208">
        <v>45921.339583333334</v>
      </c>
      <c r="W208" t="s">
        <v>884</v>
      </c>
      <c r="X208" s="16">
        <v>45916.339583333334</v>
      </c>
      <c r="Y208">
        <v>62.4</v>
      </c>
      <c r="Z208"/>
      <c r="AA208" t="s">
        <v>445</v>
      </c>
      <c r="AB208" t="s">
        <v>2018</v>
      </c>
      <c r="AC208" t="s">
        <v>41</v>
      </c>
      <c r="AD208"/>
      <c r="AE208">
        <v>2</v>
      </c>
      <c r="AF208" t="s">
        <v>41</v>
      </c>
      <c r="AG208"/>
      <c r="AH208"/>
      <c r="AI208"/>
      <c r="AJ208"/>
      <c r="AK208">
        <v>361</v>
      </c>
    </row>
    <row r="209" spans="1:37" x14ac:dyDescent="0.2">
      <c r="A209" t="s">
        <v>967</v>
      </c>
      <c r="B209" t="s">
        <v>3000</v>
      </c>
      <c r="C209">
        <v>109</v>
      </c>
      <c r="D209" t="s">
        <v>823</v>
      </c>
      <c r="E209" t="s">
        <v>822</v>
      </c>
      <c r="F209" t="s">
        <v>444</v>
      </c>
      <c r="G209" t="s">
        <v>529</v>
      </c>
      <c r="H209" t="s">
        <v>3017</v>
      </c>
      <c r="I209" t="s">
        <v>917</v>
      </c>
      <c r="J209"/>
      <c r="K209" t="s">
        <v>884</v>
      </c>
      <c r="L209" t="s">
        <v>922</v>
      </c>
      <c r="M209" t="s">
        <v>890</v>
      </c>
      <c r="N209" t="s">
        <v>585</v>
      </c>
      <c r="O209" t="s">
        <v>446</v>
      </c>
      <c r="P209"/>
      <c r="Q209">
        <v>941000031735778</v>
      </c>
      <c r="R209" t="s">
        <v>444</v>
      </c>
      <c r="S209" t="s">
        <v>885</v>
      </c>
      <c r="T209" s="16">
        <v>45826</v>
      </c>
      <c r="U209"/>
      <c r="V209">
        <v>45923.625</v>
      </c>
      <c r="W209" t="s">
        <v>884</v>
      </c>
      <c r="X209" s="16">
        <v>45918.625</v>
      </c>
      <c r="Y209">
        <v>60.1</v>
      </c>
      <c r="Z209"/>
      <c r="AA209" t="s">
        <v>445</v>
      </c>
      <c r="AB209" t="s">
        <v>968</v>
      </c>
      <c r="AC209" t="s">
        <v>41</v>
      </c>
      <c r="AD209"/>
      <c r="AE209">
        <v>1</v>
      </c>
      <c r="AF209" t="s">
        <v>41</v>
      </c>
      <c r="AG209"/>
      <c r="AH209"/>
      <c r="AI209"/>
      <c r="AJ209"/>
      <c r="AK209">
        <v>361</v>
      </c>
    </row>
    <row r="210" spans="1:37" x14ac:dyDescent="0.2">
      <c r="A210" t="s">
        <v>967</v>
      </c>
      <c r="B210" t="s">
        <v>3000</v>
      </c>
      <c r="C210">
        <v>109</v>
      </c>
      <c r="D210" t="s">
        <v>829</v>
      </c>
      <c r="E210" t="s">
        <v>828</v>
      </c>
      <c r="F210" t="s">
        <v>443</v>
      </c>
      <c r="G210" t="s">
        <v>34</v>
      </c>
      <c r="H210" t="s">
        <v>3018</v>
      </c>
      <c r="I210" t="s">
        <v>897</v>
      </c>
      <c r="J210"/>
      <c r="K210" t="s">
        <v>884</v>
      </c>
      <c r="L210" t="s">
        <v>887</v>
      </c>
      <c r="M210" t="s">
        <v>886</v>
      </c>
      <c r="N210" t="s">
        <v>585</v>
      </c>
      <c r="O210" t="s">
        <v>446</v>
      </c>
      <c r="P210"/>
      <c r="Q210"/>
      <c r="R210" t="s">
        <v>443</v>
      </c>
      <c r="S210" t="s">
        <v>885</v>
      </c>
      <c r="T210" s="16">
        <v>45883</v>
      </c>
      <c r="U210"/>
      <c r="V210" s="16">
        <v>45925.372916666667</v>
      </c>
      <c r="W210" t="s">
        <v>884</v>
      </c>
      <c r="X210" s="16">
        <v>45920.372916666667</v>
      </c>
      <c r="Y210">
        <v>58.4</v>
      </c>
      <c r="Z210"/>
      <c r="AA210" t="s">
        <v>445</v>
      </c>
      <c r="AB210" t="s">
        <v>2106</v>
      </c>
      <c r="AC210" t="s">
        <v>41</v>
      </c>
      <c r="AD210"/>
      <c r="AE210">
        <v>2</v>
      </c>
      <c r="AF210" t="s">
        <v>41</v>
      </c>
      <c r="AG210"/>
      <c r="AH210"/>
      <c r="AI210"/>
      <c r="AJ210"/>
      <c r="AK210">
        <v>361</v>
      </c>
    </row>
    <row r="211" spans="1:37" x14ac:dyDescent="0.2">
      <c r="A211" t="s">
        <v>967</v>
      </c>
      <c r="B211" t="s">
        <v>3000</v>
      </c>
      <c r="C211">
        <v>109</v>
      </c>
      <c r="D211" t="s">
        <v>845</v>
      </c>
      <c r="E211" t="s">
        <v>2656</v>
      </c>
      <c r="F211" t="s">
        <v>444</v>
      </c>
      <c r="G211" t="s">
        <v>489</v>
      </c>
      <c r="H211" t="s">
        <v>2657</v>
      </c>
      <c r="I211" t="s">
        <v>935</v>
      </c>
      <c r="J211"/>
      <c r="K211" t="s">
        <v>884</v>
      </c>
      <c r="L211" t="s">
        <v>887</v>
      </c>
      <c r="M211" t="s">
        <v>886</v>
      </c>
      <c r="N211" t="s">
        <v>570</v>
      </c>
      <c r="O211" t="s">
        <v>446</v>
      </c>
      <c r="P211" t="s">
        <v>679</v>
      </c>
      <c r="Q211"/>
      <c r="R211" t="s">
        <v>444</v>
      </c>
      <c r="S211" t="s">
        <v>885</v>
      </c>
      <c r="T211" s="16">
        <v>45195</v>
      </c>
      <c r="U211"/>
      <c r="V211" s="16">
        <v>45931.575694444444</v>
      </c>
      <c r="W211" t="s">
        <v>884</v>
      </c>
      <c r="X211" s="16">
        <v>45926.575694444444</v>
      </c>
      <c r="Y211">
        <v>52.2</v>
      </c>
      <c r="Z211"/>
      <c r="AA211" t="s">
        <v>445</v>
      </c>
      <c r="AB211" t="s">
        <v>997</v>
      </c>
      <c r="AC211" t="s">
        <v>41</v>
      </c>
      <c r="AD211"/>
      <c r="AE211">
        <v>1</v>
      </c>
      <c r="AF211" t="s">
        <v>41</v>
      </c>
      <c r="AG211"/>
      <c r="AH211"/>
      <c r="AI211"/>
      <c r="AJ211"/>
      <c r="AK211">
        <v>361</v>
      </c>
    </row>
    <row r="212" spans="1:37" x14ac:dyDescent="0.2">
      <c r="A212" t="s">
        <v>967</v>
      </c>
      <c r="B212" t="s">
        <v>3000</v>
      </c>
      <c r="C212">
        <v>109</v>
      </c>
      <c r="D212" t="s">
        <v>849</v>
      </c>
      <c r="E212" t="s">
        <v>2652</v>
      </c>
      <c r="F212" t="s">
        <v>444</v>
      </c>
      <c r="G212" t="s">
        <v>489</v>
      </c>
      <c r="H212" t="s">
        <v>2653</v>
      </c>
      <c r="I212" t="s">
        <v>906</v>
      </c>
      <c r="J212" t="s">
        <v>884</v>
      </c>
      <c r="K212" t="s">
        <v>884</v>
      </c>
      <c r="L212" t="s">
        <v>887</v>
      </c>
      <c r="M212" t="s">
        <v>890</v>
      </c>
      <c r="N212" t="s">
        <v>461</v>
      </c>
      <c r="O212" t="s">
        <v>446</v>
      </c>
      <c r="P212" t="s">
        <v>511</v>
      </c>
      <c r="Q212">
        <v>941000031683844</v>
      </c>
      <c r="R212" t="s">
        <v>444</v>
      </c>
      <c r="S212" t="s">
        <v>885</v>
      </c>
      <c r="T212" s="16">
        <v>44466</v>
      </c>
      <c r="U212"/>
      <c r="V212" s="16">
        <v>45932.762499999997</v>
      </c>
      <c r="W212" t="s">
        <v>892</v>
      </c>
      <c r="X212" s="16">
        <v>45927.762499999997</v>
      </c>
      <c r="Y212">
        <v>51</v>
      </c>
      <c r="Z212"/>
      <c r="AA212" t="s">
        <v>445</v>
      </c>
      <c r="AB212" t="s">
        <v>2161</v>
      </c>
      <c r="AC212" t="s">
        <v>41</v>
      </c>
      <c r="AD212"/>
      <c r="AE212">
        <v>1</v>
      </c>
      <c r="AF212" t="s">
        <v>41</v>
      </c>
      <c r="AG212"/>
      <c r="AH212"/>
      <c r="AI212"/>
      <c r="AJ212"/>
      <c r="AK212">
        <v>361</v>
      </c>
    </row>
    <row r="213" spans="1:37" x14ac:dyDescent="0.2">
      <c r="A213" t="s">
        <v>967</v>
      </c>
      <c r="B213" t="s">
        <v>3000</v>
      </c>
      <c r="C213">
        <v>109</v>
      </c>
      <c r="D213" t="s">
        <v>873</v>
      </c>
      <c r="E213" t="s">
        <v>1895</v>
      </c>
      <c r="F213" t="s">
        <v>444</v>
      </c>
      <c r="G213" t="s">
        <v>633</v>
      </c>
      <c r="H213" t="s">
        <v>2956</v>
      </c>
      <c r="I213" t="s">
        <v>907</v>
      </c>
      <c r="J213"/>
      <c r="K213" t="s">
        <v>884</v>
      </c>
      <c r="L213" t="s">
        <v>887</v>
      </c>
      <c r="M213" t="s">
        <v>890</v>
      </c>
      <c r="N213" t="s">
        <v>585</v>
      </c>
      <c r="O213" t="s">
        <v>446</v>
      </c>
      <c r="P213" t="s">
        <v>679</v>
      </c>
      <c r="Q213">
        <v>941000031749571</v>
      </c>
      <c r="R213" t="s">
        <v>444</v>
      </c>
      <c r="S213" t="s">
        <v>885</v>
      </c>
      <c r="T213" s="16">
        <v>45703</v>
      </c>
      <c r="U213"/>
      <c r="V213" s="16">
        <v>45938.380555555559</v>
      </c>
      <c r="W213" t="s">
        <v>884</v>
      </c>
      <c r="X213" s="16">
        <v>45933.380555555559</v>
      </c>
      <c r="Y213">
        <v>45.4</v>
      </c>
      <c r="Z213"/>
      <c r="AA213" t="s">
        <v>445</v>
      </c>
      <c r="AB213" t="s">
        <v>1219</v>
      </c>
      <c r="AC213" t="s">
        <v>41</v>
      </c>
      <c r="AD213"/>
      <c r="AE213">
        <v>2</v>
      </c>
      <c r="AF213" t="s">
        <v>41</v>
      </c>
      <c r="AG213"/>
      <c r="AH213"/>
      <c r="AI213"/>
      <c r="AJ213"/>
      <c r="AK213">
        <v>361</v>
      </c>
    </row>
    <row r="214" spans="1:37" x14ac:dyDescent="0.2">
      <c r="A214" t="s">
        <v>967</v>
      </c>
      <c r="B214" t="s">
        <v>3000</v>
      </c>
      <c r="C214">
        <v>109</v>
      </c>
      <c r="D214" t="s">
        <v>1159</v>
      </c>
      <c r="E214" t="s">
        <v>1161</v>
      </c>
      <c r="F214" t="s">
        <v>444</v>
      </c>
      <c r="G214" t="s">
        <v>1160</v>
      </c>
      <c r="H214" t="s">
        <v>2621</v>
      </c>
      <c r="I214" t="s">
        <v>897</v>
      </c>
      <c r="J214" t="s">
        <v>884</v>
      </c>
      <c r="K214" t="s">
        <v>884</v>
      </c>
      <c r="L214" t="s">
        <v>887</v>
      </c>
      <c r="M214" t="s">
        <v>890</v>
      </c>
      <c r="N214" t="s">
        <v>585</v>
      </c>
      <c r="O214" t="s">
        <v>446</v>
      </c>
      <c r="P214" t="s">
        <v>716</v>
      </c>
      <c r="Q214"/>
      <c r="R214" t="s">
        <v>444</v>
      </c>
      <c r="S214" t="s">
        <v>885</v>
      </c>
      <c r="T214" s="16">
        <v>45573</v>
      </c>
      <c r="U214"/>
      <c r="V214" s="16">
        <v>45942.900694444441</v>
      </c>
      <c r="W214" t="s">
        <v>884</v>
      </c>
      <c r="X214" s="16">
        <v>45937.900694444441</v>
      </c>
      <c r="Y214">
        <v>40.9</v>
      </c>
      <c r="Z214"/>
      <c r="AA214" t="s">
        <v>445</v>
      </c>
      <c r="AB214" t="s">
        <v>1209</v>
      </c>
      <c r="AC214" t="s">
        <v>41</v>
      </c>
      <c r="AD214"/>
      <c r="AE214">
        <v>1</v>
      </c>
      <c r="AF214" t="s">
        <v>41</v>
      </c>
      <c r="AG214"/>
      <c r="AH214"/>
      <c r="AI214"/>
      <c r="AJ214"/>
      <c r="AK214">
        <v>361</v>
      </c>
    </row>
    <row r="215" spans="1:37" x14ac:dyDescent="0.2">
      <c r="A215" t="s">
        <v>967</v>
      </c>
      <c r="B215" t="s">
        <v>3000</v>
      </c>
      <c r="C215">
        <v>109</v>
      </c>
      <c r="D215" t="s">
        <v>1154</v>
      </c>
      <c r="E215" t="s">
        <v>1889</v>
      </c>
      <c r="F215" t="s">
        <v>443</v>
      </c>
      <c r="G215" t="s">
        <v>34</v>
      </c>
      <c r="H215" t="s">
        <v>2136</v>
      </c>
      <c r="I215" t="s">
        <v>2039</v>
      </c>
      <c r="J215"/>
      <c r="K215" t="s">
        <v>884</v>
      </c>
      <c r="L215" t="s">
        <v>922</v>
      </c>
      <c r="M215" t="s">
        <v>890</v>
      </c>
      <c r="N215" t="s">
        <v>731</v>
      </c>
      <c r="O215" t="s">
        <v>446</v>
      </c>
      <c r="P215"/>
      <c r="Q215"/>
      <c r="R215" t="s">
        <v>443</v>
      </c>
      <c r="S215" t="s">
        <v>885</v>
      </c>
      <c r="T215" s="16">
        <v>45924</v>
      </c>
      <c r="U215"/>
      <c r="V215" s="16">
        <v>45943.501388888886</v>
      </c>
      <c r="W215" t="s">
        <v>884</v>
      </c>
      <c r="X215" s="16">
        <v>45938.501388888886</v>
      </c>
      <c r="Y215">
        <v>40.299999999999997</v>
      </c>
      <c r="Z215"/>
      <c r="AA215" t="s">
        <v>445</v>
      </c>
      <c r="AB215" t="s">
        <v>2109</v>
      </c>
      <c r="AC215" t="s">
        <v>41</v>
      </c>
      <c r="AD215"/>
      <c r="AE215">
        <v>2</v>
      </c>
      <c r="AF215" t="s">
        <v>41</v>
      </c>
      <c r="AG215"/>
      <c r="AH215"/>
      <c r="AI215"/>
      <c r="AJ215"/>
      <c r="AK215">
        <v>361</v>
      </c>
    </row>
    <row r="216" spans="1:37" x14ac:dyDescent="0.2">
      <c r="A216" t="s">
        <v>967</v>
      </c>
      <c r="B216" t="s">
        <v>3000</v>
      </c>
      <c r="C216">
        <v>109</v>
      </c>
      <c r="D216" t="s">
        <v>1140</v>
      </c>
      <c r="E216" t="s">
        <v>1887</v>
      </c>
      <c r="F216" t="s">
        <v>444</v>
      </c>
      <c r="G216" t="s">
        <v>1141</v>
      </c>
      <c r="H216" t="s">
        <v>3019</v>
      </c>
      <c r="I216" t="s">
        <v>1203</v>
      </c>
      <c r="J216"/>
      <c r="K216" t="s">
        <v>884</v>
      </c>
      <c r="L216" t="s">
        <v>922</v>
      </c>
      <c r="M216" t="s">
        <v>890</v>
      </c>
      <c r="N216" t="s">
        <v>585</v>
      </c>
      <c r="O216" t="s">
        <v>446</v>
      </c>
      <c r="P216" t="s">
        <v>679</v>
      </c>
      <c r="Q216"/>
      <c r="R216" t="s">
        <v>444</v>
      </c>
      <c r="S216" t="s">
        <v>885</v>
      </c>
      <c r="T216" s="16">
        <v>45717</v>
      </c>
      <c r="U216"/>
      <c r="V216" s="16">
        <v>45944.522916666669</v>
      </c>
      <c r="W216" t="s">
        <v>884</v>
      </c>
      <c r="X216" s="16">
        <v>45939.522916666669</v>
      </c>
      <c r="Y216">
        <v>39.299999999999997</v>
      </c>
      <c r="Z216"/>
      <c r="AA216" t="s">
        <v>445</v>
      </c>
      <c r="AB216"/>
      <c r="AC216" t="s">
        <v>41</v>
      </c>
      <c r="AD216"/>
      <c r="AE216">
        <v>1</v>
      </c>
      <c r="AF216" t="s">
        <v>41</v>
      </c>
      <c r="AG216"/>
      <c r="AH216"/>
      <c r="AI216"/>
      <c r="AJ216"/>
      <c r="AK216">
        <v>361</v>
      </c>
    </row>
    <row r="217" spans="1:37" x14ac:dyDescent="0.2">
      <c r="A217" t="s">
        <v>967</v>
      </c>
      <c r="B217" t="s">
        <v>3000</v>
      </c>
      <c r="C217">
        <v>109</v>
      </c>
      <c r="D217" t="s">
        <v>1132</v>
      </c>
      <c r="E217" t="s">
        <v>2601</v>
      </c>
      <c r="F217" t="s">
        <v>444</v>
      </c>
      <c r="G217" t="s">
        <v>529</v>
      </c>
      <c r="H217" t="s">
        <v>3006</v>
      </c>
      <c r="I217" t="s">
        <v>1220</v>
      </c>
      <c r="J217" t="s">
        <v>884</v>
      </c>
      <c r="K217" t="s">
        <v>884</v>
      </c>
      <c r="L217" t="s">
        <v>887</v>
      </c>
      <c r="M217" t="s">
        <v>886</v>
      </c>
      <c r="N217" t="s">
        <v>585</v>
      </c>
      <c r="O217" t="s">
        <v>446</v>
      </c>
      <c r="P217" t="s">
        <v>2602</v>
      </c>
      <c r="Q217">
        <v>941000031749816</v>
      </c>
      <c r="R217" t="s">
        <v>444</v>
      </c>
      <c r="S217" t="s">
        <v>885</v>
      </c>
      <c r="T217" s="16">
        <v>45866</v>
      </c>
      <c r="U217" t="s">
        <v>969</v>
      </c>
      <c r="V217" s="16">
        <v>45945.481249999997</v>
      </c>
      <c r="W217" t="s">
        <v>884</v>
      </c>
      <c r="X217" s="16">
        <v>45940.481249999997</v>
      </c>
      <c r="Y217">
        <v>38.299999999999997</v>
      </c>
      <c r="Z217"/>
      <c r="AA217" t="s">
        <v>445</v>
      </c>
      <c r="AB217" t="s">
        <v>2093</v>
      </c>
      <c r="AC217" t="s">
        <v>41</v>
      </c>
      <c r="AD217"/>
      <c r="AE217">
        <v>2</v>
      </c>
      <c r="AF217" t="s">
        <v>41</v>
      </c>
      <c r="AG217"/>
      <c r="AH217"/>
      <c r="AI217"/>
      <c r="AJ217"/>
      <c r="AK217">
        <v>361</v>
      </c>
    </row>
    <row r="218" spans="1:37" x14ac:dyDescent="0.2">
      <c r="A218" t="s">
        <v>967</v>
      </c>
      <c r="B218" t="s">
        <v>3000</v>
      </c>
      <c r="C218">
        <v>109</v>
      </c>
      <c r="D218" t="s">
        <v>1131</v>
      </c>
      <c r="E218" t="s">
        <v>2598</v>
      </c>
      <c r="F218" t="s">
        <v>444</v>
      </c>
      <c r="G218" t="s">
        <v>529</v>
      </c>
      <c r="H218" t="s">
        <v>3006</v>
      </c>
      <c r="I218" t="s">
        <v>964</v>
      </c>
      <c r="J218" t="s">
        <v>884</v>
      </c>
      <c r="K218" t="s">
        <v>884</v>
      </c>
      <c r="L218" t="s">
        <v>887</v>
      </c>
      <c r="M218" t="s">
        <v>890</v>
      </c>
      <c r="N218" t="s">
        <v>585</v>
      </c>
      <c r="O218" t="s">
        <v>446</v>
      </c>
      <c r="P218" t="s">
        <v>2599</v>
      </c>
      <c r="Q218"/>
      <c r="R218" t="s">
        <v>444</v>
      </c>
      <c r="S218" t="s">
        <v>885</v>
      </c>
      <c r="T218" s="16">
        <v>45866</v>
      </c>
      <c r="U218"/>
      <c r="V218" s="16">
        <v>45945.481249999997</v>
      </c>
      <c r="W218" t="s">
        <v>884</v>
      </c>
      <c r="X218" s="16">
        <v>45940.481249999997</v>
      </c>
      <c r="Y218">
        <v>38.299999999999997</v>
      </c>
      <c r="Z218"/>
      <c r="AA218" t="s">
        <v>445</v>
      </c>
      <c r="AB218" t="s">
        <v>942</v>
      </c>
      <c r="AC218" t="s">
        <v>41</v>
      </c>
      <c r="AD218"/>
      <c r="AE218">
        <v>2</v>
      </c>
      <c r="AF218" t="s">
        <v>41</v>
      </c>
      <c r="AG218"/>
      <c r="AH218"/>
      <c r="AI218"/>
      <c r="AJ218"/>
      <c r="AK218">
        <v>361</v>
      </c>
    </row>
    <row r="219" spans="1:37" x14ac:dyDescent="0.2">
      <c r="A219" t="s">
        <v>967</v>
      </c>
      <c r="B219" t="s">
        <v>3000</v>
      </c>
      <c r="C219">
        <v>109</v>
      </c>
      <c r="D219" t="s">
        <v>1450</v>
      </c>
      <c r="E219" t="s">
        <v>1872</v>
      </c>
      <c r="F219" t="s">
        <v>444</v>
      </c>
      <c r="G219" t="s">
        <v>510</v>
      </c>
      <c r="H219" t="s">
        <v>913</v>
      </c>
      <c r="I219" t="s">
        <v>1481</v>
      </c>
      <c r="J219"/>
      <c r="K219" t="s">
        <v>884</v>
      </c>
      <c r="L219" t="s">
        <v>922</v>
      </c>
      <c r="M219" t="s">
        <v>886</v>
      </c>
      <c r="N219" t="s">
        <v>585</v>
      </c>
      <c r="O219" t="s">
        <v>446</v>
      </c>
      <c r="P219"/>
      <c r="Q219">
        <v>941000031749984</v>
      </c>
      <c r="R219" t="s">
        <v>444</v>
      </c>
      <c r="S219" t="s">
        <v>885</v>
      </c>
      <c r="T219" s="16"/>
      <c r="U219"/>
      <c r="V219" s="16">
        <v>45954.57916666667</v>
      </c>
      <c r="W219" t="s">
        <v>884</v>
      </c>
      <c r="X219" s="16">
        <v>45949.57916666667</v>
      </c>
      <c r="Y219">
        <v>29.2</v>
      </c>
      <c r="Z219"/>
      <c r="AA219" t="s">
        <v>445</v>
      </c>
      <c r="AB219"/>
      <c r="AC219" t="s">
        <v>41</v>
      </c>
      <c r="AD219"/>
      <c r="AE219">
        <v>1</v>
      </c>
      <c r="AF219" t="s">
        <v>41</v>
      </c>
      <c r="AG219"/>
      <c r="AH219"/>
      <c r="AI219"/>
      <c r="AJ219"/>
      <c r="AK219">
        <v>361</v>
      </c>
    </row>
    <row r="220" spans="1:37" x14ac:dyDescent="0.2">
      <c r="A220" t="s">
        <v>967</v>
      </c>
      <c r="B220" t="s">
        <v>3000</v>
      </c>
      <c r="C220">
        <v>109</v>
      </c>
      <c r="D220" t="s">
        <v>1839</v>
      </c>
      <c r="E220" t="s">
        <v>2533</v>
      </c>
      <c r="F220" t="s">
        <v>443</v>
      </c>
      <c r="G220" t="s">
        <v>34</v>
      </c>
      <c r="H220" t="s">
        <v>2961</v>
      </c>
      <c r="I220" t="s">
        <v>894</v>
      </c>
      <c r="J220"/>
      <c r="K220" t="s">
        <v>884</v>
      </c>
      <c r="L220" t="s">
        <v>922</v>
      </c>
      <c r="M220" t="s">
        <v>886</v>
      </c>
      <c r="N220" t="s">
        <v>585</v>
      </c>
      <c r="O220" t="s">
        <v>446</v>
      </c>
      <c r="P220"/>
      <c r="Q220"/>
      <c r="R220" t="s">
        <v>443</v>
      </c>
      <c r="S220" t="s">
        <v>885</v>
      </c>
      <c r="T220" s="16">
        <v>45875</v>
      </c>
      <c r="U220"/>
      <c r="V220" s="16">
        <v>45956.646527777775</v>
      </c>
      <c r="W220" t="s">
        <v>884</v>
      </c>
      <c r="X220" s="16">
        <v>45951.646527777775</v>
      </c>
      <c r="Y220">
        <v>27.1</v>
      </c>
      <c r="Z220"/>
      <c r="AA220" t="s">
        <v>445</v>
      </c>
      <c r="AB220" t="s">
        <v>3020</v>
      </c>
      <c r="AC220" t="s">
        <v>41</v>
      </c>
      <c r="AD220"/>
      <c r="AE220">
        <v>2</v>
      </c>
      <c r="AF220" t="s">
        <v>41</v>
      </c>
      <c r="AG220"/>
      <c r="AH220"/>
      <c r="AI220"/>
      <c r="AJ220"/>
      <c r="AK220">
        <v>361</v>
      </c>
    </row>
    <row r="221" spans="1:37" x14ac:dyDescent="0.2">
      <c r="A221" t="s">
        <v>967</v>
      </c>
      <c r="B221" t="s">
        <v>3000</v>
      </c>
      <c r="C221">
        <v>109</v>
      </c>
      <c r="D221" t="s">
        <v>1828</v>
      </c>
      <c r="E221" t="s">
        <v>2517</v>
      </c>
      <c r="F221" t="s">
        <v>444</v>
      </c>
      <c r="G221" t="s">
        <v>535</v>
      </c>
      <c r="H221" t="s">
        <v>3021</v>
      </c>
      <c r="I221" t="s">
        <v>932</v>
      </c>
      <c r="J221" t="s">
        <v>884</v>
      </c>
      <c r="K221" t="s">
        <v>884</v>
      </c>
      <c r="L221" t="s">
        <v>2121</v>
      </c>
      <c r="M221" t="s">
        <v>886</v>
      </c>
      <c r="N221" t="s">
        <v>585</v>
      </c>
      <c r="O221" t="s">
        <v>446</v>
      </c>
      <c r="P221" t="s">
        <v>456</v>
      </c>
      <c r="Q221">
        <v>941000028840881</v>
      </c>
      <c r="R221" t="s">
        <v>444</v>
      </c>
      <c r="S221" t="s">
        <v>885</v>
      </c>
      <c r="T221" s="16">
        <v>44491</v>
      </c>
      <c r="U221"/>
      <c r="V221" s="16"/>
      <c r="W221" t="s">
        <v>884</v>
      </c>
      <c r="X221" s="16">
        <v>45952.590277777781</v>
      </c>
      <c r="Y221">
        <v>26.2</v>
      </c>
      <c r="Z221"/>
      <c r="AA221" t="s">
        <v>445</v>
      </c>
      <c r="AB221" t="s">
        <v>2127</v>
      </c>
      <c r="AC221" t="s">
        <v>41</v>
      </c>
      <c r="AD221"/>
      <c r="AE221">
        <v>1</v>
      </c>
      <c r="AF221" t="s">
        <v>41</v>
      </c>
      <c r="AG221"/>
      <c r="AH221"/>
      <c r="AI221"/>
      <c r="AJ221"/>
      <c r="AK221">
        <v>361</v>
      </c>
    </row>
    <row r="222" spans="1:37" x14ac:dyDescent="0.2">
      <c r="A222" t="s">
        <v>967</v>
      </c>
      <c r="B222" t="s">
        <v>3000</v>
      </c>
      <c r="C222">
        <v>109</v>
      </c>
      <c r="D222" t="s">
        <v>1814</v>
      </c>
      <c r="E222" t="s">
        <v>2502</v>
      </c>
      <c r="F222" t="s">
        <v>443</v>
      </c>
      <c r="G222" t="s">
        <v>34</v>
      </c>
      <c r="H222" t="s">
        <v>2150</v>
      </c>
      <c r="I222" t="s">
        <v>903</v>
      </c>
      <c r="J222"/>
      <c r="K222" t="s">
        <v>884</v>
      </c>
      <c r="L222" t="s">
        <v>922</v>
      </c>
      <c r="M222" t="s">
        <v>890</v>
      </c>
      <c r="N222" t="s">
        <v>585</v>
      </c>
      <c r="O222" t="s">
        <v>446</v>
      </c>
      <c r="P222"/>
      <c r="Q222"/>
      <c r="R222" t="s">
        <v>443</v>
      </c>
      <c r="S222" t="s">
        <v>885</v>
      </c>
      <c r="T222" s="16">
        <v>45919</v>
      </c>
      <c r="U222" t="s">
        <v>2000</v>
      </c>
      <c r="V222" s="16">
        <v>45959.469444444447</v>
      </c>
      <c r="W222" t="s">
        <v>884</v>
      </c>
      <c r="X222" s="16">
        <v>45954.469444444447</v>
      </c>
      <c r="Y222">
        <v>24.3</v>
      </c>
      <c r="Z222"/>
      <c r="AA222" t="s">
        <v>445</v>
      </c>
      <c r="AB222" t="s">
        <v>2006</v>
      </c>
      <c r="AC222" t="s">
        <v>41</v>
      </c>
      <c r="AD222"/>
      <c r="AE222">
        <v>1</v>
      </c>
      <c r="AF222" t="s">
        <v>41</v>
      </c>
      <c r="AG222"/>
      <c r="AH222"/>
      <c r="AI222"/>
      <c r="AJ222"/>
      <c r="AK222">
        <v>361</v>
      </c>
    </row>
    <row r="223" spans="1:37" x14ac:dyDescent="0.2">
      <c r="A223" t="s">
        <v>967</v>
      </c>
      <c r="B223" t="s">
        <v>3000</v>
      </c>
      <c r="C223">
        <v>109</v>
      </c>
      <c r="D223" t="s">
        <v>1810</v>
      </c>
      <c r="E223" t="s">
        <v>1811</v>
      </c>
      <c r="F223" t="s">
        <v>443</v>
      </c>
      <c r="G223" t="s">
        <v>34</v>
      </c>
      <c r="H223" t="s">
        <v>2086</v>
      </c>
      <c r="I223" t="s">
        <v>907</v>
      </c>
      <c r="J223"/>
      <c r="K223" t="s">
        <v>884</v>
      </c>
      <c r="L223" t="s">
        <v>922</v>
      </c>
      <c r="M223" t="s">
        <v>911</v>
      </c>
      <c r="N223" t="s">
        <v>585</v>
      </c>
      <c r="O223" t="s">
        <v>446</v>
      </c>
      <c r="P223"/>
      <c r="Q223"/>
      <c r="R223" t="s">
        <v>443</v>
      </c>
      <c r="S223" t="s">
        <v>885</v>
      </c>
      <c r="T223" s="16">
        <v>45915</v>
      </c>
      <c r="U223"/>
      <c r="V223">
        <v>45962.475694444445</v>
      </c>
      <c r="W223" t="s">
        <v>884</v>
      </c>
      <c r="X223" s="16">
        <v>45957.475694444445</v>
      </c>
      <c r="Y223">
        <v>21.3</v>
      </c>
      <c r="Z223"/>
      <c r="AA223" t="s">
        <v>445</v>
      </c>
      <c r="AB223"/>
      <c r="AC223" t="s">
        <v>41</v>
      </c>
      <c r="AD223"/>
      <c r="AE223">
        <v>1</v>
      </c>
      <c r="AF223" t="s">
        <v>41</v>
      </c>
      <c r="AG223"/>
      <c r="AH223"/>
      <c r="AI223"/>
      <c r="AJ223"/>
      <c r="AK223">
        <v>361</v>
      </c>
    </row>
    <row r="224" spans="1:37" x14ac:dyDescent="0.2">
      <c r="A224" t="s">
        <v>967</v>
      </c>
      <c r="B224" t="s">
        <v>3000</v>
      </c>
      <c r="C224">
        <v>109</v>
      </c>
      <c r="D224" t="s">
        <v>1793</v>
      </c>
      <c r="E224" t="s">
        <v>2472</v>
      </c>
      <c r="F224" t="s">
        <v>444</v>
      </c>
      <c r="G224" t="s">
        <v>460</v>
      </c>
      <c r="H224" t="s">
        <v>2960</v>
      </c>
      <c r="I224" t="s">
        <v>903</v>
      </c>
      <c r="J224"/>
      <c r="K224" t="s">
        <v>884</v>
      </c>
      <c r="L224" t="s">
        <v>922</v>
      </c>
      <c r="M224" t="s">
        <v>886</v>
      </c>
      <c r="N224" t="s">
        <v>585</v>
      </c>
      <c r="O224" t="s">
        <v>446</v>
      </c>
      <c r="P224" t="s">
        <v>456</v>
      </c>
      <c r="Q224">
        <v>941000031749900</v>
      </c>
      <c r="R224" t="s">
        <v>444</v>
      </c>
      <c r="S224" t="s">
        <v>885</v>
      </c>
      <c r="T224" s="16">
        <v>45595</v>
      </c>
      <c r="U224"/>
      <c r="V224">
        <v>45965.427083333336</v>
      </c>
      <c r="W224" t="s">
        <v>884</v>
      </c>
      <c r="X224" s="16">
        <v>45960.46875</v>
      </c>
      <c r="Y224">
        <v>18.3</v>
      </c>
      <c r="Z224"/>
      <c r="AA224" t="s">
        <v>445</v>
      </c>
      <c r="AB224"/>
      <c r="AC224" t="s">
        <v>41</v>
      </c>
      <c r="AD224"/>
      <c r="AE224">
        <v>2</v>
      </c>
      <c r="AF224" t="s">
        <v>41</v>
      </c>
      <c r="AG224"/>
      <c r="AH224"/>
      <c r="AI224"/>
      <c r="AJ224"/>
      <c r="AK224">
        <v>361</v>
      </c>
    </row>
    <row r="225" spans="1:37" x14ac:dyDescent="0.2">
      <c r="A225" t="s">
        <v>967</v>
      </c>
      <c r="B225" t="s">
        <v>3000</v>
      </c>
      <c r="C225">
        <v>109</v>
      </c>
      <c r="D225" t="s">
        <v>1791</v>
      </c>
      <c r="E225" t="s">
        <v>2470</v>
      </c>
      <c r="F225" t="s">
        <v>444</v>
      </c>
      <c r="G225" t="s">
        <v>460</v>
      </c>
      <c r="H225" t="s">
        <v>2960</v>
      </c>
      <c r="I225" t="s">
        <v>903</v>
      </c>
      <c r="J225"/>
      <c r="K225" t="s">
        <v>884</v>
      </c>
      <c r="L225" t="s">
        <v>922</v>
      </c>
      <c r="M225" t="s">
        <v>886</v>
      </c>
      <c r="N225" t="s">
        <v>585</v>
      </c>
      <c r="O225" t="s">
        <v>446</v>
      </c>
      <c r="P225" t="s">
        <v>456</v>
      </c>
      <c r="Q225">
        <v>941000031749800</v>
      </c>
      <c r="R225" t="s">
        <v>444</v>
      </c>
      <c r="S225" t="s">
        <v>885</v>
      </c>
      <c r="T225" s="16">
        <v>45595</v>
      </c>
      <c r="U225"/>
      <c r="V225">
        <v>45965.427083333336</v>
      </c>
      <c r="W225" t="s">
        <v>884</v>
      </c>
      <c r="X225" s="16">
        <v>45960.46875</v>
      </c>
      <c r="Y225">
        <v>18.3</v>
      </c>
      <c r="Z225"/>
      <c r="AA225" t="s">
        <v>445</v>
      </c>
      <c r="AB225" t="s">
        <v>936</v>
      </c>
      <c r="AC225" t="s">
        <v>41</v>
      </c>
      <c r="AD225"/>
      <c r="AE225">
        <v>2</v>
      </c>
      <c r="AF225" t="s">
        <v>41</v>
      </c>
      <c r="AG225"/>
      <c r="AH225"/>
      <c r="AI225"/>
      <c r="AJ225"/>
      <c r="AK225">
        <v>361</v>
      </c>
    </row>
    <row r="226" spans="1:37" x14ac:dyDescent="0.2">
      <c r="A226" t="s">
        <v>967</v>
      </c>
      <c r="B226" t="s">
        <v>3000</v>
      </c>
      <c r="C226">
        <v>109</v>
      </c>
      <c r="D226" t="s">
        <v>1787</v>
      </c>
      <c r="E226" t="s">
        <v>1788</v>
      </c>
      <c r="F226" t="s">
        <v>443</v>
      </c>
      <c r="G226" t="s">
        <v>34</v>
      </c>
      <c r="H226" t="s">
        <v>3022</v>
      </c>
      <c r="I226" t="s">
        <v>2077</v>
      </c>
      <c r="J226"/>
      <c r="K226" t="s">
        <v>884</v>
      </c>
      <c r="L226" t="s">
        <v>922</v>
      </c>
      <c r="M226" t="s">
        <v>886</v>
      </c>
      <c r="N226" t="s">
        <v>494</v>
      </c>
      <c r="O226" t="s">
        <v>446</v>
      </c>
      <c r="P226"/>
      <c r="Q226"/>
      <c r="R226" t="s">
        <v>443</v>
      </c>
      <c r="S226" t="s">
        <v>885</v>
      </c>
      <c r="T226" s="16">
        <v>45899</v>
      </c>
      <c r="U226" t="s">
        <v>2028</v>
      </c>
      <c r="V226" s="16">
        <v>45965.513888888891</v>
      </c>
      <c r="W226" t="s">
        <v>884</v>
      </c>
      <c r="X226" s="16">
        <v>45960.555555555555</v>
      </c>
      <c r="Y226">
        <v>18.2</v>
      </c>
      <c r="Z226"/>
      <c r="AA226" t="s">
        <v>445</v>
      </c>
      <c r="AB226" t="s">
        <v>3023</v>
      </c>
      <c r="AC226" t="s">
        <v>41</v>
      </c>
      <c r="AD226"/>
      <c r="AE226">
        <v>1</v>
      </c>
      <c r="AF226" t="s">
        <v>41</v>
      </c>
      <c r="AG226"/>
      <c r="AH226"/>
      <c r="AI226"/>
      <c r="AJ226"/>
      <c r="AK226">
        <v>361</v>
      </c>
    </row>
    <row r="227" spans="1:37" x14ac:dyDescent="0.2">
      <c r="A227" t="s">
        <v>967</v>
      </c>
      <c r="B227" t="s">
        <v>3000</v>
      </c>
      <c r="C227">
        <v>109</v>
      </c>
      <c r="D227" t="s">
        <v>2420</v>
      </c>
      <c r="E227" t="s">
        <v>2421</v>
      </c>
      <c r="F227" t="s">
        <v>444</v>
      </c>
      <c r="G227" t="s">
        <v>68</v>
      </c>
      <c r="H227" t="s">
        <v>2102</v>
      </c>
      <c r="I227" t="s">
        <v>958</v>
      </c>
      <c r="J227"/>
      <c r="K227" t="s">
        <v>884</v>
      </c>
      <c r="L227" t="s">
        <v>922</v>
      </c>
      <c r="M227" t="s">
        <v>886</v>
      </c>
      <c r="N227" t="s">
        <v>585</v>
      </c>
      <c r="O227" t="s">
        <v>446</v>
      </c>
      <c r="P227"/>
      <c r="Q227">
        <v>941000031750183</v>
      </c>
      <c r="R227" t="s">
        <v>444</v>
      </c>
      <c r="S227" t="s">
        <v>885</v>
      </c>
      <c r="T227" s="16">
        <v>45843</v>
      </c>
      <c r="U227"/>
      <c r="V227" s="16">
        <v>45970.643055555556</v>
      </c>
      <c r="W227" t="s">
        <v>884</v>
      </c>
      <c r="X227" s="16">
        <v>45965.643055555556</v>
      </c>
      <c r="Y227">
        <v>13.1</v>
      </c>
      <c r="Z227"/>
      <c r="AA227" t="s">
        <v>445</v>
      </c>
      <c r="AB227" t="s">
        <v>3024</v>
      </c>
      <c r="AC227" t="s">
        <v>41</v>
      </c>
      <c r="AD227"/>
      <c r="AE227">
        <v>1</v>
      </c>
      <c r="AF227" t="s">
        <v>41</v>
      </c>
      <c r="AG227"/>
      <c r="AH227"/>
      <c r="AI227"/>
      <c r="AJ227"/>
      <c r="AK227">
        <v>361</v>
      </c>
    </row>
    <row r="228" spans="1:37" x14ac:dyDescent="0.2">
      <c r="A228" t="s">
        <v>967</v>
      </c>
      <c r="B228" t="s">
        <v>3000</v>
      </c>
      <c r="C228">
        <v>109</v>
      </c>
      <c r="D228" t="s">
        <v>2391</v>
      </c>
      <c r="E228" t="s">
        <v>2392</v>
      </c>
      <c r="F228" t="s">
        <v>443</v>
      </c>
      <c r="G228" t="s">
        <v>34</v>
      </c>
      <c r="H228" t="s">
        <v>2393</v>
      </c>
      <c r="I228" t="s">
        <v>903</v>
      </c>
      <c r="J228"/>
      <c r="K228" t="s">
        <v>884</v>
      </c>
      <c r="L228" t="s">
        <v>922</v>
      </c>
      <c r="M228" t="s">
        <v>886</v>
      </c>
      <c r="N228" t="s">
        <v>585</v>
      </c>
      <c r="O228" t="s">
        <v>446</v>
      </c>
      <c r="P228"/>
      <c r="Q228"/>
      <c r="R228" t="s">
        <v>443</v>
      </c>
      <c r="S228" t="s">
        <v>885</v>
      </c>
      <c r="T228" s="16">
        <v>44689</v>
      </c>
      <c r="U228" t="s">
        <v>2000</v>
      </c>
      <c r="V228">
        <v>45972.582638888889</v>
      </c>
      <c r="W228" t="s">
        <v>884</v>
      </c>
      <c r="X228" s="16">
        <v>45967.582638888889</v>
      </c>
      <c r="Y228">
        <v>11.2</v>
      </c>
      <c r="Z228"/>
      <c r="AA228" t="s">
        <v>445</v>
      </c>
      <c r="AB228" t="s">
        <v>3025</v>
      </c>
      <c r="AC228" t="s">
        <v>41</v>
      </c>
      <c r="AD228"/>
      <c r="AE228">
        <v>1</v>
      </c>
      <c r="AF228" t="s">
        <v>41</v>
      </c>
      <c r="AG228"/>
      <c r="AH228"/>
      <c r="AI228"/>
      <c r="AJ228"/>
      <c r="AK228">
        <v>361</v>
      </c>
    </row>
    <row r="229" spans="1:37" x14ac:dyDescent="0.2">
      <c r="A229" t="s">
        <v>967</v>
      </c>
      <c r="B229" t="s">
        <v>3000</v>
      </c>
      <c r="C229">
        <v>109</v>
      </c>
      <c r="D229" t="s">
        <v>2325</v>
      </c>
      <c r="E229" t="s">
        <v>2326</v>
      </c>
      <c r="F229" t="s">
        <v>444</v>
      </c>
      <c r="G229" t="s">
        <v>1141</v>
      </c>
      <c r="H229" t="s">
        <v>3026</v>
      </c>
      <c r="I229" t="s">
        <v>917</v>
      </c>
      <c r="J229"/>
      <c r="K229" t="s">
        <v>884</v>
      </c>
      <c r="L229" t="s">
        <v>937</v>
      </c>
      <c r="M229" t="s">
        <v>886</v>
      </c>
      <c r="N229" t="s">
        <v>618</v>
      </c>
      <c r="O229" t="s">
        <v>446</v>
      </c>
      <c r="P229"/>
      <c r="Q229"/>
      <c r="R229" t="s">
        <v>444</v>
      </c>
      <c r="S229" t="s">
        <v>885</v>
      </c>
      <c r="T229" s="16">
        <v>45848</v>
      </c>
      <c r="U229"/>
      <c r="V229" s="16"/>
      <c r="W229" t="s">
        <v>884</v>
      </c>
      <c r="X229" s="16">
        <v>45970.712500000001</v>
      </c>
      <c r="Y229">
        <v>8</v>
      </c>
      <c r="Z229"/>
      <c r="AA229" t="s">
        <v>445</v>
      </c>
      <c r="AB229" t="s">
        <v>3027</v>
      </c>
      <c r="AC229" t="s">
        <v>41</v>
      </c>
      <c r="AD229"/>
      <c r="AE229">
        <v>1</v>
      </c>
      <c r="AF229" t="s">
        <v>41</v>
      </c>
      <c r="AG229"/>
      <c r="AH229"/>
      <c r="AI229"/>
      <c r="AJ229"/>
      <c r="AK229">
        <v>361</v>
      </c>
    </row>
    <row r="230" spans="1:37" x14ac:dyDescent="0.2">
      <c r="A230" t="s">
        <v>967</v>
      </c>
      <c r="B230" t="s">
        <v>3000</v>
      </c>
      <c r="C230">
        <v>109</v>
      </c>
      <c r="D230" t="s">
        <v>1859</v>
      </c>
      <c r="E230" t="s">
        <v>1860</v>
      </c>
      <c r="F230" t="s">
        <v>443</v>
      </c>
      <c r="G230" t="s">
        <v>34</v>
      </c>
      <c r="H230" t="s">
        <v>2095</v>
      </c>
      <c r="I230" t="s">
        <v>2019</v>
      </c>
      <c r="J230"/>
      <c r="K230" t="s">
        <v>884</v>
      </c>
      <c r="L230" t="s">
        <v>922</v>
      </c>
      <c r="M230" t="s">
        <v>911</v>
      </c>
      <c r="N230" t="s">
        <v>731</v>
      </c>
      <c r="O230" t="s">
        <v>446</v>
      </c>
      <c r="P230"/>
      <c r="Q230"/>
      <c r="R230" t="s">
        <v>443</v>
      </c>
      <c r="S230" t="s">
        <v>885</v>
      </c>
      <c r="T230" s="16">
        <v>45947</v>
      </c>
      <c r="U230" t="s">
        <v>2004</v>
      </c>
      <c r="V230">
        <v>45954.636805555558</v>
      </c>
      <c r="W230" t="s">
        <v>884</v>
      </c>
      <c r="X230" s="16">
        <v>45949.636805555558</v>
      </c>
      <c r="Y230">
        <v>29.1</v>
      </c>
      <c r="Z230"/>
      <c r="AA230" t="s">
        <v>446</v>
      </c>
      <c r="AB230"/>
      <c r="AC230" t="s">
        <v>41</v>
      </c>
      <c r="AD230"/>
      <c r="AE230">
        <v>1</v>
      </c>
      <c r="AF230" t="s">
        <v>41</v>
      </c>
      <c r="AG230"/>
      <c r="AH230"/>
      <c r="AI230"/>
      <c r="AJ230"/>
      <c r="AK230">
        <v>361</v>
      </c>
    </row>
    <row r="231" spans="1:37" x14ac:dyDescent="0.2">
      <c r="A231" t="s">
        <v>967</v>
      </c>
      <c r="B231" t="s">
        <v>3000</v>
      </c>
      <c r="C231">
        <v>109</v>
      </c>
      <c r="D231" t="s">
        <v>1774</v>
      </c>
      <c r="E231" t="s">
        <v>2454</v>
      </c>
      <c r="F231" t="s">
        <v>443</v>
      </c>
      <c r="G231" t="s">
        <v>34</v>
      </c>
      <c r="H231" t="s">
        <v>2150</v>
      </c>
      <c r="I231" t="s">
        <v>903</v>
      </c>
      <c r="J231"/>
      <c r="K231" t="s">
        <v>884</v>
      </c>
      <c r="L231" t="s">
        <v>922</v>
      </c>
      <c r="M231" t="s">
        <v>886</v>
      </c>
      <c r="N231" t="s">
        <v>494</v>
      </c>
      <c r="O231" t="s">
        <v>446</v>
      </c>
      <c r="P231" t="s">
        <v>1775</v>
      </c>
      <c r="Q231"/>
      <c r="R231" t="s">
        <v>443</v>
      </c>
      <c r="S231" t="s">
        <v>885</v>
      </c>
      <c r="T231" s="16">
        <v>45919</v>
      </c>
      <c r="U231" t="s">
        <v>2000</v>
      </c>
      <c r="V231" s="16">
        <v>45966.486111111109</v>
      </c>
      <c r="W231" t="s">
        <v>884</v>
      </c>
      <c r="X231" s="16">
        <v>45961.527777777781</v>
      </c>
      <c r="Y231">
        <v>17.3</v>
      </c>
      <c r="Z231"/>
      <c r="AA231" t="s">
        <v>446</v>
      </c>
      <c r="AB231" t="s">
        <v>2014</v>
      </c>
      <c r="AC231" t="s">
        <v>41</v>
      </c>
      <c r="AD231"/>
      <c r="AE231">
        <v>1</v>
      </c>
      <c r="AF231" t="s">
        <v>41</v>
      </c>
      <c r="AG231"/>
      <c r="AH231"/>
      <c r="AI231"/>
      <c r="AJ231"/>
      <c r="AK231">
        <v>361</v>
      </c>
    </row>
    <row r="232" spans="1:37" x14ac:dyDescent="0.2">
      <c r="A232" t="s">
        <v>967</v>
      </c>
      <c r="B232" t="s">
        <v>3000</v>
      </c>
      <c r="C232">
        <v>109</v>
      </c>
      <c r="D232" t="s">
        <v>2293</v>
      </c>
      <c r="E232"/>
      <c r="F232" t="s">
        <v>444</v>
      </c>
      <c r="G232" t="s">
        <v>460</v>
      </c>
      <c r="H232" t="s">
        <v>3018</v>
      </c>
      <c r="I232" t="s">
        <v>3028</v>
      </c>
      <c r="J232"/>
      <c r="K232" t="s">
        <v>884</v>
      </c>
      <c r="L232" t="s">
        <v>887</v>
      </c>
      <c r="M232" t="s">
        <v>890</v>
      </c>
      <c r="N232" t="s">
        <v>749</v>
      </c>
      <c r="O232" t="s">
        <v>446</v>
      </c>
      <c r="P232"/>
      <c r="Q232"/>
      <c r="R232" t="s">
        <v>444</v>
      </c>
      <c r="S232" t="s">
        <v>885</v>
      </c>
      <c r="T232" s="16">
        <v>45883</v>
      </c>
      <c r="U232"/>
      <c r="V232" s="16">
        <v>45980.595833333333</v>
      </c>
      <c r="W232" t="s">
        <v>884</v>
      </c>
      <c r="X232" s="16">
        <v>45975.595833333333</v>
      </c>
      <c r="Y232">
        <v>3.2</v>
      </c>
      <c r="Z232"/>
      <c r="AA232" t="s">
        <v>446</v>
      </c>
      <c r="AB232"/>
      <c r="AC232" t="s">
        <v>41</v>
      </c>
      <c r="AD232"/>
      <c r="AE232">
        <v>1</v>
      </c>
      <c r="AF232" t="s">
        <v>41</v>
      </c>
      <c r="AG232"/>
      <c r="AH232"/>
      <c r="AI232"/>
      <c r="AJ232"/>
      <c r="AK232">
        <v>361</v>
      </c>
    </row>
    <row r="233" spans="1:37" x14ac:dyDescent="0.2">
      <c r="A233" t="s">
        <v>946</v>
      </c>
      <c r="B233" t="s">
        <v>3029</v>
      </c>
      <c r="C233">
        <v>18</v>
      </c>
      <c r="D233" t="s">
        <v>1121</v>
      </c>
      <c r="E233" t="s">
        <v>1122</v>
      </c>
      <c r="F233" t="s">
        <v>444</v>
      </c>
      <c r="G233" t="s">
        <v>535</v>
      </c>
      <c r="H233" t="s">
        <v>2587</v>
      </c>
      <c r="I233" t="s">
        <v>958</v>
      </c>
      <c r="J233" t="s">
        <v>884</v>
      </c>
      <c r="K233" t="s">
        <v>884</v>
      </c>
      <c r="L233" t="s">
        <v>922</v>
      </c>
      <c r="M233" t="s">
        <v>886</v>
      </c>
      <c r="N233" t="s">
        <v>494</v>
      </c>
      <c r="O233" t="s">
        <v>492</v>
      </c>
      <c r="P233" t="s">
        <v>466</v>
      </c>
      <c r="Q233"/>
      <c r="R233" t="s">
        <v>444</v>
      </c>
      <c r="S233" t="s">
        <v>885</v>
      </c>
      <c r="T233" s="16">
        <v>44483</v>
      </c>
      <c r="U233" t="s">
        <v>969</v>
      </c>
      <c r="V233">
        <v>45949.495138888888</v>
      </c>
      <c r="W233" t="s">
        <v>884</v>
      </c>
      <c r="X233" s="16">
        <v>45944.495138888888</v>
      </c>
      <c r="Y233">
        <v>34.299999999999997</v>
      </c>
      <c r="Z233"/>
      <c r="AA233">
        <v>1</v>
      </c>
      <c r="AB233" t="s">
        <v>1207</v>
      </c>
      <c r="AC233" t="s">
        <v>41</v>
      </c>
      <c r="AD233"/>
      <c r="AE233">
        <v>3</v>
      </c>
      <c r="AF233" t="s">
        <v>41</v>
      </c>
      <c r="AG233"/>
      <c r="AH233"/>
      <c r="AI233"/>
      <c r="AJ233"/>
      <c r="AK233">
        <v>361</v>
      </c>
    </row>
    <row r="234" spans="1:37" x14ac:dyDescent="0.2">
      <c r="A234" t="s">
        <v>946</v>
      </c>
      <c r="B234" t="s">
        <v>3029</v>
      </c>
      <c r="C234">
        <v>18</v>
      </c>
      <c r="D234" t="s">
        <v>406</v>
      </c>
      <c r="E234" t="s">
        <v>407</v>
      </c>
      <c r="F234" t="s">
        <v>444</v>
      </c>
      <c r="G234" t="s">
        <v>489</v>
      </c>
      <c r="H234" t="s">
        <v>2787</v>
      </c>
      <c r="I234" t="s">
        <v>897</v>
      </c>
      <c r="J234" t="s">
        <v>884</v>
      </c>
      <c r="K234" t="s">
        <v>884</v>
      </c>
      <c r="L234" t="s">
        <v>887</v>
      </c>
      <c r="M234" t="s">
        <v>890</v>
      </c>
      <c r="N234" t="s">
        <v>461</v>
      </c>
      <c r="O234" t="s">
        <v>492</v>
      </c>
      <c r="P234" t="s">
        <v>471</v>
      </c>
      <c r="Q234">
        <v>941000031683913</v>
      </c>
      <c r="R234" t="s">
        <v>444</v>
      </c>
      <c r="S234" t="s">
        <v>885</v>
      </c>
      <c r="T234" s="16">
        <v>44759</v>
      </c>
      <c r="U234"/>
      <c r="V234" s="16">
        <v>45860.632638888892</v>
      </c>
      <c r="W234" t="s">
        <v>892</v>
      </c>
      <c r="X234" s="16">
        <v>45855.632638888892</v>
      </c>
      <c r="Y234">
        <v>123.1</v>
      </c>
      <c r="Z234"/>
      <c r="AA234">
        <v>10</v>
      </c>
      <c r="AB234" t="s">
        <v>1217</v>
      </c>
      <c r="AC234" t="s">
        <v>41</v>
      </c>
      <c r="AD234"/>
      <c r="AE234">
        <v>2</v>
      </c>
      <c r="AF234" t="s">
        <v>41</v>
      </c>
      <c r="AG234"/>
      <c r="AH234"/>
      <c r="AI234"/>
      <c r="AJ234"/>
      <c r="AK234">
        <v>361</v>
      </c>
    </row>
    <row r="235" spans="1:37" x14ac:dyDescent="0.2">
      <c r="A235" t="s">
        <v>946</v>
      </c>
      <c r="B235" t="s">
        <v>3029</v>
      </c>
      <c r="C235">
        <v>18</v>
      </c>
      <c r="D235" t="s">
        <v>99</v>
      </c>
      <c r="E235" t="s">
        <v>100</v>
      </c>
      <c r="F235" t="s">
        <v>444</v>
      </c>
      <c r="G235" t="s">
        <v>468</v>
      </c>
      <c r="H235" t="s">
        <v>2914</v>
      </c>
      <c r="I235" t="s">
        <v>894</v>
      </c>
      <c r="J235" t="s">
        <v>884</v>
      </c>
      <c r="K235" t="s">
        <v>884</v>
      </c>
      <c r="L235" t="s">
        <v>887</v>
      </c>
      <c r="M235" t="s">
        <v>890</v>
      </c>
      <c r="N235" t="s">
        <v>461</v>
      </c>
      <c r="O235" t="s">
        <v>492</v>
      </c>
      <c r="P235" t="s">
        <v>456</v>
      </c>
      <c r="Q235">
        <v>941000030951283</v>
      </c>
      <c r="R235" t="s">
        <v>444</v>
      </c>
      <c r="S235" t="s">
        <v>885</v>
      </c>
      <c r="T235" s="16">
        <v>44968</v>
      </c>
      <c r="U235"/>
      <c r="V235" s="16">
        <v>45704.376388888886</v>
      </c>
      <c r="W235" t="s">
        <v>892</v>
      </c>
      <c r="X235" s="16">
        <v>45699.376388888886</v>
      </c>
      <c r="Y235">
        <v>279.39999999999998</v>
      </c>
      <c r="Z235"/>
      <c r="AA235">
        <v>11</v>
      </c>
      <c r="AB235" t="s">
        <v>965</v>
      </c>
      <c r="AC235" t="s">
        <v>41</v>
      </c>
      <c r="AD235"/>
      <c r="AE235">
        <v>3</v>
      </c>
      <c r="AF235" t="s">
        <v>41</v>
      </c>
      <c r="AG235"/>
      <c r="AH235"/>
      <c r="AI235"/>
      <c r="AJ235"/>
      <c r="AK235">
        <v>361</v>
      </c>
    </row>
    <row r="236" spans="1:37" x14ac:dyDescent="0.2">
      <c r="A236" t="s">
        <v>946</v>
      </c>
      <c r="B236" t="s">
        <v>3029</v>
      </c>
      <c r="C236">
        <v>18</v>
      </c>
      <c r="D236" t="s">
        <v>245</v>
      </c>
      <c r="E236" t="s">
        <v>666</v>
      </c>
      <c r="F236" t="s">
        <v>444</v>
      </c>
      <c r="G236" t="s">
        <v>510</v>
      </c>
      <c r="H236" t="s">
        <v>2801</v>
      </c>
      <c r="I236" t="s">
        <v>894</v>
      </c>
      <c r="J236" t="s">
        <v>884</v>
      </c>
      <c r="K236" t="s">
        <v>884</v>
      </c>
      <c r="L236" t="s">
        <v>922</v>
      </c>
      <c r="M236" t="s">
        <v>886</v>
      </c>
      <c r="N236" t="s">
        <v>461</v>
      </c>
      <c r="O236" t="s">
        <v>492</v>
      </c>
      <c r="P236" t="s">
        <v>629</v>
      </c>
      <c r="Q236">
        <v>941000031683715</v>
      </c>
      <c r="R236" t="s">
        <v>444</v>
      </c>
      <c r="S236" t="s">
        <v>885</v>
      </c>
      <c r="T236" s="16">
        <v>45117</v>
      </c>
      <c r="U236"/>
      <c r="V236" s="16">
        <v>45852.512499999997</v>
      </c>
      <c r="W236" t="s">
        <v>892</v>
      </c>
      <c r="X236" s="16">
        <v>45847.512499999997</v>
      </c>
      <c r="Y236">
        <v>131.30000000000001</v>
      </c>
      <c r="Z236" t="s">
        <v>990</v>
      </c>
      <c r="AA236">
        <v>12</v>
      </c>
      <c r="AB236" t="s">
        <v>936</v>
      </c>
      <c r="AC236" t="s">
        <v>41</v>
      </c>
      <c r="AD236"/>
      <c r="AE236">
        <v>1</v>
      </c>
      <c r="AF236" t="s">
        <v>41</v>
      </c>
      <c r="AG236"/>
      <c r="AH236"/>
      <c r="AI236"/>
      <c r="AJ236"/>
      <c r="AK236">
        <v>361</v>
      </c>
    </row>
    <row r="237" spans="1:37" x14ac:dyDescent="0.2">
      <c r="A237" t="s">
        <v>946</v>
      </c>
      <c r="B237" t="s">
        <v>3029</v>
      </c>
      <c r="C237">
        <v>18</v>
      </c>
      <c r="D237" t="s">
        <v>827</v>
      </c>
      <c r="E237" t="s">
        <v>826</v>
      </c>
      <c r="F237" t="s">
        <v>444</v>
      </c>
      <c r="G237" t="s">
        <v>510</v>
      </c>
      <c r="H237" t="s">
        <v>2672</v>
      </c>
      <c r="I237" t="s">
        <v>903</v>
      </c>
      <c r="J237"/>
      <c r="K237" t="s">
        <v>884</v>
      </c>
      <c r="L237" t="s">
        <v>922</v>
      </c>
      <c r="M237" t="s">
        <v>890</v>
      </c>
      <c r="N237" t="s">
        <v>461</v>
      </c>
      <c r="O237" t="s">
        <v>492</v>
      </c>
      <c r="P237" t="s">
        <v>466</v>
      </c>
      <c r="Q237">
        <v>941000031684340</v>
      </c>
      <c r="R237" t="s">
        <v>444</v>
      </c>
      <c r="S237" t="s">
        <v>885</v>
      </c>
      <c r="T237" s="16">
        <v>45554</v>
      </c>
      <c r="U237"/>
      <c r="V237" s="16">
        <v>45924.633333333331</v>
      </c>
      <c r="W237" t="s">
        <v>892</v>
      </c>
      <c r="X237" s="16">
        <v>45919.633333333331</v>
      </c>
      <c r="Y237">
        <v>59.1</v>
      </c>
      <c r="Z237"/>
      <c r="AA237">
        <v>13</v>
      </c>
      <c r="AB237" t="s">
        <v>933</v>
      </c>
      <c r="AC237" t="s">
        <v>41</v>
      </c>
      <c r="AD237"/>
      <c r="AE237">
        <v>2</v>
      </c>
      <c r="AF237" t="s">
        <v>41</v>
      </c>
      <c r="AG237"/>
      <c r="AH237"/>
      <c r="AI237"/>
      <c r="AJ237"/>
      <c r="AK237">
        <v>361</v>
      </c>
    </row>
    <row r="238" spans="1:37" x14ac:dyDescent="0.2">
      <c r="A238" t="s">
        <v>946</v>
      </c>
      <c r="B238" t="s">
        <v>3029</v>
      </c>
      <c r="C238">
        <v>18</v>
      </c>
      <c r="D238" t="s">
        <v>784</v>
      </c>
      <c r="E238" t="s">
        <v>1914</v>
      </c>
      <c r="F238" t="s">
        <v>444</v>
      </c>
      <c r="G238" t="s">
        <v>510</v>
      </c>
      <c r="H238" t="s">
        <v>2718</v>
      </c>
      <c r="I238" t="s">
        <v>917</v>
      </c>
      <c r="J238"/>
      <c r="K238" t="s">
        <v>884</v>
      </c>
      <c r="L238" t="s">
        <v>922</v>
      </c>
      <c r="M238" t="s">
        <v>890</v>
      </c>
      <c r="N238" t="s">
        <v>494</v>
      </c>
      <c r="O238" t="s">
        <v>492</v>
      </c>
      <c r="P238" t="s">
        <v>511</v>
      </c>
      <c r="Q238"/>
      <c r="R238" t="s">
        <v>444</v>
      </c>
      <c r="S238" t="s">
        <v>885</v>
      </c>
      <c r="T238" s="16">
        <v>45177</v>
      </c>
      <c r="U238"/>
      <c r="V238" s="16">
        <v>45913.560416666667</v>
      </c>
      <c r="W238" t="s">
        <v>884</v>
      </c>
      <c r="X238" s="16">
        <v>45908.560416666667</v>
      </c>
      <c r="Y238">
        <v>70.2</v>
      </c>
      <c r="Z238"/>
      <c r="AA238">
        <v>14</v>
      </c>
      <c r="AB238" t="s">
        <v>926</v>
      </c>
      <c r="AC238" t="s">
        <v>41</v>
      </c>
      <c r="AD238"/>
      <c r="AE238">
        <v>1</v>
      </c>
      <c r="AF238" t="s">
        <v>41</v>
      </c>
      <c r="AG238"/>
      <c r="AH238"/>
      <c r="AI238"/>
      <c r="AJ238"/>
      <c r="AK238">
        <v>361</v>
      </c>
    </row>
    <row r="239" spans="1:37" x14ac:dyDescent="0.2">
      <c r="A239" t="s">
        <v>946</v>
      </c>
      <c r="B239" t="s">
        <v>3029</v>
      </c>
      <c r="C239">
        <v>18</v>
      </c>
      <c r="D239" t="s">
        <v>263</v>
      </c>
      <c r="E239" t="s">
        <v>264</v>
      </c>
      <c r="F239" t="s">
        <v>444</v>
      </c>
      <c r="G239" t="s">
        <v>68</v>
      </c>
      <c r="H239" t="s">
        <v>2791</v>
      </c>
      <c r="I239" t="s">
        <v>961</v>
      </c>
      <c r="J239" t="s">
        <v>884</v>
      </c>
      <c r="K239" t="s">
        <v>892</v>
      </c>
      <c r="L239" t="s">
        <v>887</v>
      </c>
      <c r="M239" t="s">
        <v>890</v>
      </c>
      <c r="N239" t="s">
        <v>461</v>
      </c>
      <c r="O239" t="s">
        <v>492</v>
      </c>
      <c r="P239" t="s">
        <v>629</v>
      </c>
      <c r="Q239">
        <v>982091074519787</v>
      </c>
      <c r="R239" t="s">
        <v>444</v>
      </c>
      <c r="S239" t="s">
        <v>885</v>
      </c>
      <c r="T239" s="16">
        <v>44758</v>
      </c>
      <c r="U239" t="s">
        <v>950</v>
      </c>
      <c r="V239" s="16">
        <v>45859.652083333334</v>
      </c>
      <c r="W239" t="s">
        <v>892</v>
      </c>
      <c r="X239" s="16">
        <v>45854.652083333334</v>
      </c>
      <c r="Y239">
        <v>124.1</v>
      </c>
      <c r="Z239"/>
      <c r="AA239">
        <v>15</v>
      </c>
      <c r="AB239" t="s">
        <v>904</v>
      </c>
      <c r="AC239" t="s">
        <v>41</v>
      </c>
      <c r="AD239"/>
      <c r="AE239">
        <v>3</v>
      </c>
      <c r="AF239" t="s">
        <v>41</v>
      </c>
      <c r="AG239"/>
      <c r="AH239"/>
      <c r="AI239"/>
      <c r="AJ239"/>
      <c r="AK239">
        <v>361</v>
      </c>
    </row>
    <row r="240" spans="1:37" x14ac:dyDescent="0.2">
      <c r="A240" t="s">
        <v>946</v>
      </c>
      <c r="B240" t="s">
        <v>3029</v>
      </c>
      <c r="C240">
        <v>18</v>
      </c>
      <c r="D240" t="s">
        <v>311</v>
      </c>
      <c r="E240" t="s">
        <v>312</v>
      </c>
      <c r="F240" t="s">
        <v>444</v>
      </c>
      <c r="G240" t="s">
        <v>68</v>
      </c>
      <c r="H240" t="s">
        <v>3030</v>
      </c>
      <c r="I240" t="s">
        <v>897</v>
      </c>
      <c r="J240" t="s">
        <v>884</v>
      </c>
      <c r="K240" t="s">
        <v>884</v>
      </c>
      <c r="L240" t="s">
        <v>887</v>
      </c>
      <c r="M240" t="s">
        <v>890</v>
      </c>
      <c r="N240" t="s">
        <v>461</v>
      </c>
      <c r="O240" t="s">
        <v>492</v>
      </c>
      <c r="P240" t="s">
        <v>511</v>
      </c>
      <c r="Q240">
        <v>941000031684331</v>
      </c>
      <c r="R240" t="s">
        <v>444</v>
      </c>
      <c r="S240" t="s">
        <v>885</v>
      </c>
      <c r="T240" s="16">
        <v>44408</v>
      </c>
      <c r="U240"/>
      <c r="V240" s="16">
        <v>45874.686805555553</v>
      </c>
      <c r="W240" t="s">
        <v>892</v>
      </c>
      <c r="X240" s="16">
        <v>45869.686805555553</v>
      </c>
      <c r="Y240">
        <v>109.1</v>
      </c>
      <c r="Z240"/>
      <c r="AA240">
        <v>16</v>
      </c>
      <c r="AB240" t="s">
        <v>959</v>
      </c>
      <c r="AC240" t="s">
        <v>41</v>
      </c>
      <c r="AD240"/>
      <c r="AE240">
        <v>3</v>
      </c>
      <c r="AF240" t="s">
        <v>41</v>
      </c>
      <c r="AG240"/>
      <c r="AH240"/>
      <c r="AI240"/>
      <c r="AJ240"/>
      <c r="AK240">
        <v>361</v>
      </c>
    </row>
    <row r="241" spans="1:37" x14ac:dyDescent="0.2">
      <c r="A241" t="s">
        <v>946</v>
      </c>
      <c r="B241" t="s">
        <v>3029</v>
      </c>
      <c r="C241">
        <v>18</v>
      </c>
      <c r="D241" t="s">
        <v>870</v>
      </c>
      <c r="E241" t="s">
        <v>1897</v>
      </c>
      <c r="F241" t="s">
        <v>444</v>
      </c>
      <c r="G241" t="s">
        <v>489</v>
      </c>
      <c r="H241" t="s">
        <v>2634</v>
      </c>
      <c r="I241" t="s">
        <v>888</v>
      </c>
      <c r="J241" t="s">
        <v>884</v>
      </c>
      <c r="K241" t="s">
        <v>884</v>
      </c>
      <c r="L241" t="s">
        <v>887</v>
      </c>
      <c r="M241" t="s">
        <v>890</v>
      </c>
      <c r="N241" t="s">
        <v>461</v>
      </c>
      <c r="O241" t="s">
        <v>492</v>
      </c>
      <c r="P241" t="s">
        <v>679</v>
      </c>
      <c r="Q241">
        <v>941000031747321</v>
      </c>
      <c r="R241" t="s">
        <v>444</v>
      </c>
      <c r="S241" t="s">
        <v>885</v>
      </c>
      <c r="T241" s="16">
        <v>44108</v>
      </c>
      <c r="U241"/>
      <c r="V241" s="16">
        <v>45938.370833333334</v>
      </c>
      <c r="W241" t="s">
        <v>892</v>
      </c>
      <c r="X241" s="16">
        <v>45933.370833333334</v>
      </c>
      <c r="Y241">
        <v>45.4</v>
      </c>
      <c r="Z241"/>
      <c r="AA241">
        <v>17</v>
      </c>
      <c r="AB241" t="s">
        <v>965</v>
      </c>
      <c r="AC241" t="s">
        <v>41</v>
      </c>
      <c r="AD241"/>
      <c r="AE241">
        <v>3</v>
      </c>
      <c r="AF241" t="s">
        <v>41</v>
      </c>
      <c r="AG241"/>
      <c r="AH241"/>
      <c r="AI241"/>
      <c r="AJ241"/>
      <c r="AK241">
        <v>361</v>
      </c>
    </row>
    <row r="242" spans="1:37" x14ac:dyDescent="0.2">
      <c r="A242" t="s">
        <v>946</v>
      </c>
      <c r="B242" t="s">
        <v>3029</v>
      </c>
      <c r="C242">
        <v>18</v>
      </c>
      <c r="D242" t="s">
        <v>2899</v>
      </c>
      <c r="E242" t="s">
        <v>2900</v>
      </c>
      <c r="F242" t="s">
        <v>444</v>
      </c>
      <c r="G242" t="s">
        <v>535</v>
      </c>
      <c r="H242" t="s">
        <v>2901</v>
      </c>
      <c r="I242" t="s">
        <v>903</v>
      </c>
      <c r="J242" t="s">
        <v>884</v>
      </c>
      <c r="K242" t="s">
        <v>892</v>
      </c>
      <c r="L242" t="s">
        <v>937</v>
      </c>
      <c r="M242" t="s">
        <v>890</v>
      </c>
      <c r="N242" t="s">
        <v>461</v>
      </c>
      <c r="O242" t="s">
        <v>492</v>
      </c>
      <c r="P242" t="s">
        <v>466</v>
      </c>
      <c r="Q242">
        <v>941000030951338</v>
      </c>
      <c r="R242" t="s">
        <v>444</v>
      </c>
      <c r="S242" t="s">
        <v>885</v>
      </c>
      <c r="T242" s="16">
        <v>45390</v>
      </c>
      <c r="U242"/>
      <c r="V242" s="16"/>
      <c r="W242" t="s">
        <v>892</v>
      </c>
      <c r="X242" s="16">
        <v>45965.436111111114</v>
      </c>
      <c r="Y242">
        <v>13.3</v>
      </c>
      <c r="Z242"/>
      <c r="AA242">
        <v>18</v>
      </c>
      <c r="AB242" t="s">
        <v>954</v>
      </c>
      <c r="AC242" t="s">
        <v>41</v>
      </c>
      <c r="AD242"/>
      <c r="AE242">
        <v>3</v>
      </c>
      <c r="AF242" t="s">
        <v>41</v>
      </c>
      <c r="AG242"/>
      <c r="AH242"/>
      <c r="AI242"/>
      <c r="AJ242"/>
      <c r="AK242">
        <v>361</v>
      </c>
    </row>
    <row r="243" spans="1:37" x14ac:dyDescent="0.2">
      <c r="A243" t="s">
        <v>946</v>
      </c>
      <c r="B243" t="s">
        <v>3029</v>
      </c>
      <c r="C243">
        <v>18</v>
      </c>
      <c r="D243" t="s">
        <v>321</v>
      </c>
      <c r="E243" t="s">
        <v>322</v>
      </c>
      <c r="F243" t="s">
        <v>444</v>
      </c>
      <c r="G243" t="s">
        <v>529</v>
      </c>
      <c r="H243" t="s">
        <v>1929</v>
      </c>
      <c r="I243" t="s">
        <v>917</v>
      </c>
      <c r="J243" t="s">
        <v>884</v>
      </c>
      <c r="K243" t="s">
        <v>884</v>
      </c>
      <c r="L243" t="s">
        <v>887</v>
      </c>
      <c r="M243" t="s">
        <v>890</v>
      </c>
      <c r="N243" t="s">
        <v>461</v>
      </c>
      <c r="O243" t="s">
        <v>492</v>
      </c>
      <c r="P243" t="s">
        <v>456</v>
      </c>
      <c r="Q243">
        <v>941000031684376</v>
      </c>
      <c r="R243" t="s">
        <v>444</v>
      </c>
      <c r="S243" t="s">
        <v>885</v>
      </c>
      <c r="T243" s="16">
        <v>45144</v>
      </c>
      <c r="U243"/>
      <c r="V243" s="16">
        <v>45880.637499999997</v>
      </c>
      <c r="W243" t="s">
        <v>892</v>
      </c>
      <c r="X243" s="16">
        <v>45875.637499999997</v>
      </c>
      <c r="Y243">
        <v>103.1</v>
      </c>
      <c r="Z243"/>
      <c r="AA243">
        <v>2</v>
      </c>
      <c r="AB243" t="s">
        <v>954</v>
      </c>
      <c r="AC243" t="s">
        <v>41</v>
      </c>
      <c r="AD243"/>
      <c r="AE243">
        <v>3</v>
      </c>
      <c r="AF243" t="s">
        <v>41</v>
      </c>
      <c r="AG243"/>
      <c r="AH243"/>
      <c r="AI243"/>
      <c r="AJ243"/>
      <c r="AK243">
        <v>361</v>
      </c>
    </row>
    <row r="244" spans="1:37" x14ac:dyDescent="0.2">
      <c r="A244" t="s">
        <v>946</v>
      </c>
      <c r="B244" t="s">
        <v>3029</v>
      </c>
      <c r="C244">
        <v>18</v>
      </c>
      <c r="D244" t="s">
        <v>1090</v>
      </c>
      <c r="E244" t="s">
        <v>1163</v>
      </c>
      <c r="F244" t="s">
        <v>444</v>
      </c>
      <c r="G244" t="s">
        <v>529</v>
      </c>
      <c r="H244" t="s">
        <v>1478</v>
      </c>
      <c r="I244" t="s">
        <v>932</v>
      </c>
      <c r="J244" t="s">
        <v>884</v>
      </c>
      <c r="K244" t="s">
        <v>884</v>
      </c>
      <c r="L244" t="s">
        <v>887</v>
      </c>
      <c r="M244" t="s">
        <v>886</v>
      </c>
      <c r="N244" t="s">
        <v>461</v>
      </c>
      <c r="O244" t="s">
        <v>492</v>
      </c>
      <c r="P244" t="s">
        <v>650</v>
      </c>
      <c r="Q244">
        <v>941000031684044</v>
      </c>
      <c r="R244" t="s">
        <v>444</v>
      </c>
      <c r="S244" t="s">
        <v>885</v>
      </c>
      <c r="T244" s="16">
        <v>44856</v>
      </c>
      <c r="U244"/>
      <c r="V244">
        <v>45941.525000000001</v>
      </c>
      <c r="W244" t="s">
        <v>892</v>
      </c>
      <c r="X244" s="16">
        <v>45936.525000000001</v>
      </c>
      <c r="Y244">
        <v>42.3</v>
      </c>
      <c r="Z244"/>
      <c r="AA244">
        <v>20</v>
      </c>
      <c r="AB244" t="s">
        <v>949</v>
      </c>
      <c r="AC244" t="s">
        <v>41</v>
      </c>
      <c r="AD244"/>
      <c r="AE244">
        <v>2</v>
      </c>
      <c r="AF244" t="s">
        <v>41</v>
      </c>
      <c r="AG244"/>
      <c r="AH244"/>
      <c r="AI244"/>
      <c r="AJ244"/>
      <c r="AK244">
        <v>361</v>
      </c>
    </row>
    <row r="245" spans="1:37" x14ac:dyDescent="0.2">
      <c r="A245" t="s">
        <v>946</v>
      </c>
      <c r="B245" t="s">
        <v>3029</v>
      </c>
      <c r="C245">
        <v>18</v>
      </c>
      <c r="D245" t="s">
        <v>333</v>
      </c>
      <c r="E245" t="s">
        <v>334</v>
      </c>
      <c r="F245" t="s">
        <v>444</v>
      </c>
      <c r="G245" t="s">
        <v>451</v>
      </c>
      <c r="H245" t="s">
        <v>1922</v>
      </c>
      <c r="I245" t="s">
        <v>952</v>
      </c>
      <c r="J245" t="s">
        <v>884</v>
      </c>
      <c r="K245" t="s">
        <v>884</v>
      </c>
      <c r="L245" t="s">
        <v>922</v>
      </c>
      <c r="M245" t="s">
        <v>890</v>
      </c>
      <c r="N245" t="s">
        <v>461</v>
      </c>
      <c r="O245" t="s">
        <v>492</v>
      </c>
      <c r="P245" t="s">
        <v>511</v>
      </c>
      <c r="Q245">
        <v>941000031684325</v>
      </c>
      <c r="R245" t="s">
        <v>444</v>
      </c>
      <c r="S245" t="s">
        <v>885</v>
      </c>
      <c r="T245" s="16">
        <v>44795</v>
      </c>
      <c r="U245"/>
      <c r="V245" s="16">
        <v>45896.468055555553</v>
      </c>
      <c r="W245" t="s">
        <v>892</v>
      </c>
      <c r="X245" s="16">
        <v>45891.468055555553</v>
      </c>
      <c r="Y245">
        <v>87.3</v>
      </c>
      <c r="Z245"/>
      <c r="AA245">
        <v>3</v>
      </c>
      <c r="AB245" t="s">
        <v>919</v>
      </c>
      <c r="AC245" t="s">
        <v>41</v>
      </c>
      <c r="AD245"/>
      <c r="AE245">
        <v>3</v>
      </c>
      <c r="AF245" t="s">
        <v>41</v>
      </c>
      <c r="AG245"/>
      <c r="AH245"/>
      <c r="AI245"/>
      <c r="AJ245"/>
      <c r="AK245">
        <v>361</v>
      </c>
    </row>
    <row r="246" spans="1:37" x14ac:dyDescent="0.2">
      <c r="A246" t="s">
        <v>946</v>
      </c>
      <c r="B246" t="s">
        <v>3029</v>
      </c>
      <c r="C246">
        <v>18</v>
      </c>
      <c r="D246" t="s">
        <v>844</v>
      </c>
      <c r="E246" t="s">
        <v>1902</v>
      </c>
      <c r="F246" t="s">
        <v>444</v>
      </c>
      <c r="G246" t="s">
        <v>489</v>
      </c>
      <c r="H246" t="s">
        <v>3031</v>
      </c>
      <c r="I246" t="s">
        <v>932</v>
      </c>
      <c r="J246"/>
      <c r="K246" t="s">
        <v>884</v>
      </c>
      <c r="L246" t="s">
        <v>887</v>
      </c>
      <c r="M246" t="s">
        <v>886</v>
      </c>
      <c r="N246" t="s">
        <v>570</v>
      </c>
      <c r="O246" t="s">
        <v>492</v>
      </c>
      <c r="P246" t="s">
        <v>471</v>
      </c>
      <c r="Q246"/>
      <c r="R246" t="s">
        <v>444</v>
      </c>
      <c r="S246" t="s">
        <v>885</v>
      </c>
      <c r="T246" s="16">
        <v>45590</v>
      </c>
      <c r="U246"/>
      <c r="V246" s="16">
        <v>45931.575694444444</v>
      </c>
      <c r="W246" t="s">
        <v>884</v>
      </c>
      <c r="X246" s="16">
        <v>45926.575694444444</v>
      </c>
      <c r="Y246">
        <v>52.2</v>
      </c>
      <c r="Z246"/>
      <c r="AA246">
        <v>5</v>
      </c>
      <c r="AB246" t="s">
        <v>1485</v>
      </c>
      <c r="AC246" t="s">
        <v>41</v>
      </c>
      <c r="AD246"/>
      <c r="AE246">
        <v>1</v>
      </c>
      <c r="AF246" t="s">
        <v>41</v>
      </c>
      <c r="AG246"/>
      <c r="AH246"/>
      <c r="AI246"/>
      <c r="AJ246"/>
      <c r="AK246">
        <v>361</v>
      </c>
    </row>
    <row r="247" spans="1:37" x14ac:dyDescent="0.2">
      <c r="A247" t="s">
        <v>946</v>
      </c>
      <c r="B247" t="s">
        <v>3029</v>
      </c>
      <c r="C247">
        <v>18</v>
      </c>
      <c r="D247" t="s">
        <v>715</v>
      </c>
      <c r="E247" t="s">
        <v>714</v>
      </c>
      <c r="F247" t="s">
        <v>444</v>
      </c>
      <c r="G247" t="s">
        <v>489</v>
      </c>
      <c r="H247" t="s">
        <v>2650</v>
      </c>
      <c r="I247" t="s">
        <v>917</v>
      </c>
      <c r="J247" t="s">
        <v>884</v>
      </c>
      <c r="K247" t="s">
        <v>884</v>
      </c>
      <c r="L247" t="s">
        <v>893</v>
      </c>
      <c r="M247" t="s">
        <v>886</v>
      </c>
      <c r="N247" t="s">
        <v>494</v>
      </c>
      <c r="O247" t="s">
        <v>492</v>
      </c>
      <c r="P247" t="s">
        <v>471</v>
      </c>
      <c r="Q247"/>
      <c r="R247" t="s">
        <v>444</v>
      </c>
      <c r="S247" t="s">
        <v>885</v>
      </c>
      <c r="T247" s="16">
        <v>44834</v>
      </c>
      <c r="U247"/>
      <c r="V247" s="16"/>
      <c r="W247" t="s">
        <v>884</v>
      </c>
      <c r="X247" s="16">
        <v>45875.455555555556</v>
      </c>
      <c r="Y247">
        <v>103.3</v>
      </c>
      <c r="Z247"/>
      <c r="AA247">
        <v>6</v>
      </c>
      <c r="AB247" t="s">
        <v>949</v>
      </c>
      <c r="AC247" t="s">
        <v>41</v>
      </c>
      <c r="AD247"/>
      <c r="AE247">
        <v>2</v>
      </c>
      <c r="AF247" t="s">
        <v>41</v>
      </c>
      <c r="AG247"/>
      <c r="AH247"/>
      <c r="AI247"/>
      <c r="AJ247"/>
      <c r="AK247">
        <v>361</v>
      </c>
    </row>
    <row r="248" spans="1:37" x14ac:dyDescent="0.2">
      <c r="A248" t="s">
        <v>946</v>
      </c>
      <c r="B248" t="s">
        <v>3029</v>
      </c>
      <c r="C248">
        <v>18</v>
      </c>
      <c r="D248" t="s">
        <v>834</v>
      </c>
      <c r="E248" t="s">
        <v>833</v>
      </c>
      <c r="F248" t="s">
        <v>444</v>
      </c>
      <c r="G248" t="s">
        <v>451</v>
      </c>
      <c r="H248" t="s">
        <v>2667</v>
      </c>
      <c r="I248" t="s">
        <v>917</v>
      </c>
      <c r="J248" t="s">
        <v>884</v>
      </c>
      <c r="K248" t="s">
        <v>884</v>
      </c>
      <c r="L248" t="s">
        <v>887</v>
      </c>
      <c r="M248" t="s">
        <v>890</v>
      </c>
      <c r="N248" t="s">
        <v>461</v>
      </c>
      <c r="O248" t="s">
        <v>492</v>
      </c>
      <c r="P248" t="s">
        <v>735</v>
      </c>
      <c r="Q248">
        <v>941000031683550</v>
      </c>
      <c r="R248" t="s">
        <v>444</v>
      </c>
      <c r="S248" t="s">
        <v>885</v>
      </c>
      <c r="T248" s="16">
        <v>44462</v>
      </c>
      <c r="U248"/>
      <c r="V248" s="16">
        <v>45927.527083333334</v>
      </c>
      <c r="W248" t="s">
        <v>892</v>
      </c>
      <c r="X248" s="16">
        <v>45922.527083333334</v>
      </c>
      <c r="Y248">
        <v>56.3</v>
      </c>
      <c r="Z248"/>
      <c r="AA248">
        <v>7</v>
      </c>
      <c r="AB248" t="s">
        <v>943</v>
      </c>
      <c r="AC248" t="s">
        <v>41</v>
      </c>
      <c r="AD248"/>
      <c r="AE248">
        <v>2</v>
      </c>
      <c r="AF248" t="s">
        <v>41</v>
      </c>
      <c r="AG248"/>
      <c r="AH248"/>
      <c r="AI248"/>
      <c r="AJ248"/>
      <c r="AK248">
        <v>361</v>
      </c>
    </row>
    <row r="249" spans="1:37" x14ac:dyDescent="0.2">
      <c r="A249" t="s">
        <v>946</v>
      </c>
      <c r="B249" t="s">
        <v>3029</v>
      </c>
      <c r="C249">
        <v>18</v>
      </c>
      <c r="D249" t="s">
        <v>720</v>
      </c>
      <c r="E249" t="s">
        <v>719</v>
      </c>
      <c r="F249" t="s">
        <v>444</v>
      </c>
      <c r="G249" t="s">
        <v>529</v>
      </c>
      <c r="H249" t="s">
        <v>2759</v>
      </c>
      <c r="I249" t="s">
        <v>923</v>
      </c>
      <c r="J249" t="s">
        <v>884</v>
      </c>
      <c r="K249" t="s">
        <v>884</v>
      </c>
      <c r="L249" t="s">
        <v>893</v>
      </c>
      <c r="M249" t="s">
        <v>886</v>
      </c>
      <c r="N249" t="s">
        <v>494</v>
      </c>
      <c r="O249" t="s">
        <v>492</v>
      </c>
      <c r="P249" t="s">
        <v>716</v>
      </c>
      <c r="Q249"/>
      <c r="R249" t="s">
        <v>444</v>
      </c>
      <c r="S249" t="s">
        <v>885</v>
      </c>
      <c r="T249" s="16">
        <v>44104</v>
      </c>
      <c r="U249"/>
      <c r="V249" s="16"/>
      <c r="W249" t="s">
        <v>884</v>
      </c>
      <c r="X249" s="16">
        <v>45875.455555555556</v>
      </c>
      <c r="Y249">
        <v>103.3</v>
      </c>
      <c r="Z249"/>
      <c r="AA249">
        <v>8</v>
      </c>
      <c r="AB249" t="s">
        <v>947</v>
      </c>
      <c r="AC249" t="s">
        <v>41</v>
      </c>
      <c r="AD249"/>
      <c r="AE249">
        <v>2</v>
      </c>
      <c r="AF249" t="s">
        <v>41</v>
      </c>
      <c r="AG249"/>
      <c r="AH249"/>
      <c r="AI249"/>
      <c r="AJ249"/>
      <c r="AK249">
        <v>361</v>
      </c>
    </row>
    <row r="250" spans="1:37" x14ac:dyDescent="0.2">
      <c r="A250" t="s">
        <v>946</v>
      </c>
      <c r="B250" t="s">
        <v>3029</v>
      </c>
      <c r="C250">
        <v>18</v>
      </c>
      <c r="D250" t="s">
        <v>718</v>
      </c>
      <c r="E250" t="s">
        <v>717</v>
      </c>
      <c r="F250" t="s">
        <v>444</v>
      </c>
      <c r="G250" t="s">
        <v>489</v>
      </c>
      <c r="H250" t="s">
        <v>2650</v>
      </c>
      <c r="I250" t="s">
        <v>935</v>
      </c>
      <c r="J250" t="s">
        <v>884</v>
      </c>
      <c r="K250" t="s">
        <v>884</v>
      </c>
      <c r="L250" t="s">
        <v>893</v>
      </c>
      <c r="M250" t="s">
        <v>886</v>
      </c>
      <c r="N250" t="s">
        <v>494</v>
      </c>
      <c r="O250" t="s">
        <v>492</v>
      </c>
      <c r="P250" t="s">
        <v>716</v>
      </c>
      <c r="Q250"/>
      <c r="R250" t="s">
        <v>444</v>
      </c>
      <c r="S250" t="s">
        <v>885</v>
      </c>
      <c r="T250" s="16">
        <v>44834</v>
      </c>
      <c r="U250"/>
      <c r="V250"/>
      <c r="W250" t="s">
        <v>884</v>
      </c>
      <c r="X250" s="16">
        <v>45875.455555555556</v>
      </c>
      <c r="Y250">
        <v>103.3</v>
      </c>
      <c r="Z250"/>
      <c r="AA250">
        <v>9</v>
      </c>
      <c r="AB250" t="s">
        <v>945</v>
      </c>
      <c r="AC250" t="s">
        <v>41</v>
      </c>
      <c r="AD250"/>
      <c r="AE250">
        <v>2</v>
      </c>
      <c r="AF250" t="s">
        <v>41</v>
      </c>
      <c r="AG250"/>
      <c r="AH250"/>
      <c r="AI250"/>
      <c r="AJ250"/>
      <c r="AK250">
        <v>361</v>
      </c>
    </row>
    <row r="251" spans="1:37" x14ac:dyDescent="0.2">
      <c r="A251" t="s">
        <v>2112</v>
      </c>
      <c r="B251" t="s">
        <v>3032</v>
      </c>
      <c r="C251">
        <v>16</v>
      </c>
      <c r="D251" t="s">
        <v>589</v>
      </c>
      <c r="E251" t="s">
        <v>588</v>
      </c>
      <c r="F251" t="s">
        <v>443</v>
      </c>
      <c r="G251" t="s">
        <v>34</v>
      </c>
      <c r="H251" t="s">
        <v>2966</v>
      </c>
      <c r="I251" t="s">
        <v>935</v>
      </c>
      <c r="J251" t="s">
        <v>884</v>
      </c>
      <c r="K251" t="s">
        <v>884</v>
      </c>
      <c r="L251" t="s">
        <v>922</v>
      </c>
      <c r="M251" t="s">
        <v>886</v>
      </c>
      <c r="N251" t="s">
        <v>461</v>
      </c>
      <c r="O251" t="s">
        <v>496</v>
      </c>
      <c r="P251"/>
      <c r="Q251">
        <v>941000031749599</v>
      </c>
      <c r="R251" t="s">
        <v>443</v>
      </c>
      <c r="S251" t="s">
        <v>885</v>
      </c>
      <c r="T251" s="16">
        <v>45771</v>
      </c>
      <c r="U251" t="s">
        <v>2004</v>
      </c>
      <c r="V251">
        <v>45801.65</v>
      </c>
      <c r="W251" t="s">
        <v>892</v>
      </c>
      <c r="X251" s="16">
        <v>45796.65</v>
      </c>
      <c r="Y251">
        <v>182.1</v>
      </c>
      <c r="Z251"/>
      <c r="AA251">
        <v>1</v>
      </c>
      <c r="AB251" t="s">
        <v>2113</v>
      </c>
      <c r="AC251" t="s">
        <v>41</v>
      </c>
      <c r="AD251"/>
      <c r="AE251">
        <v>1</v>
      </c>
      <c r="AF251" t="s">
        <v>41</v>
      </c>
      <c r="AG251"/>
      <c r="AH251"/>
      <c r="AI251"/>
      <c r="AJ251"/>
      <c r="AK251">
        <v>361</v>
      </c>
    </row>
    <row r="252" spans="1:37" x14ac:dyDescent="0.2">
      <c r="A252" t="s">
        <v>2112</v>
      </c>
      <c r="B252" t="s">
        <v>3032</v>
      </c>
      <c r="C252">
        <v>16</v>
      </c>
      <c r="D252" t="s">
        <v>783</v>
      </c>
      <c r="E252" t="s">
        <v>782</v>
      </c>
      <c r="F252" t="s">
        <v>443</v>
      </c>
      <c r="G252" t="s">
        <v>34</v>
      </c>
      <c r="H252" t="s">
        <v>2720</v>
      </c>
      <c r="I252" t="s">
        <v>894</v>
      </c>
      <c r="J252"/>
      <c r="K252" t="s">
        <v>884</v>
      </c>
      <c r="L252" t="s">
        <v>922</v>
      </c>
      <c r="M252" t="s">
        <v>886</v>
      </c>
      <c r="N252" t="s">
        <v>682</v>
      </c>
      <c r="O252" t="s">
        <v>496</v>
      </c>
      <c r="P252"/>
      <c r="Q252"/>
      <c r="R252" t="s">
        <v>443</v>
      </c>
      <c r="S252" t="s">
        <v>885</v>
      </c>
      <c r="T252" s="16">
        <v>44470</v>
      </c>
      <c r="U252"/>
      <c r="V252">
        <v>45913.543055555558</v>
      </c>
      <c r="W252" t="s">
        <v>884</v>
      </c>
      <c r="X252" s="16">
        <v>45908.543055555558</v>
      </c>
      <c r="Y252">
        <v>70.2</v>
      </c>
      <c r="Z252"/>
      <c r="AA252">
        <v>2</v>
      </c>
      <c r="AB252" t="s">
        <v>2114</v>
      </c>
      <c r="AC252" t="s">
        <v>41</v>
      </c>
      <c r="AD252"/>
      <c r="AE252">
        <v>1</v>
      </c>
      <c r="AF252" t="s">
        <v>41</v>
      </c>
      <c r="AG252"/>
      <c r="AH252"/>
      <c r="AI252"/>
      <c r="AJ252"/>
      <c r="AK252">
        <v>361</v>
      </c>
    </row>
    <row r="253" spans="1:37" x14ac:dyDescent="0.2">
      <c r="A253" t="s">
        <v>2112</v>
      </c>
      <c r="B253" t="s">
        <v>3032</v>
      </c>
      <c r="C253">
        <v>16</v>
      </c>
      <c r="D253" t="s">
        <v>641</v>
      </c>
      <c r="E253" t="s">
        <v>640</v>
      </c>
      <c r="F253" t="s">
        <v>443</v>
      </c>
      <c r="G253" t="s">
        <v>34</v>
      </c>
      <c r="H253" t="s">
        <v>3033</v>
      </c>
      <c r="I253" t="s">
        <v>903</v>
      </c>
      <c r="J253"/>
      <c r="K253" t="s">
        <v>884</v>
      </c>
      <c r="L253" t="s">
        <v>2116</v>
      </c>
      <c r="M253" t="s">
        <v>890</v>
      </c>
      <c r="N253" t="s">
        <v>682</v>
      </c>
      <c r="O253" t="s">
        <v>496</v>
      </c>
      <c r="P253"/>
      <c r="Q253"/>
      <c r="R253" t="s">
        <v>443</v>
      </c>
      <c r="S253" t="s">
        <v>885</v>
      </c>
      <c r="T253" s="16">
        <v>45811</v>
      </c>
      <c r="U253"/>
      <c r="V253"/>
      <c r="W253" t="s">
        <v>884</v>
      </c>
      <c r="X253" s="16">
        <v>45825.50277777778</v>
      </c>
      <c r="Y253">
        <v>153.30000000000001</v>
      </c>
      <c r="Z253"/>
      <c r="AA253">
        <v>3</v>
      </c>
      <c r="AB253"/>
      <c r="AC253" t="s">
        <v>41</v>
      </c>
      <c r="AD253"/>
      <c r="AE253">
        <v>1</v>
      </c>
      <c r="AF253" t="s">
        <v>41</v>
      </c>
      <c r="AG253"/>
      <c r="AH253"/>
      <c r="AI253"/>
      <c r="AJ253"/>
      <c r="AK253">
        <v>361</v>
      </c>
    </row>
    <row r="254" spans="1:37" x14ac:dyDescent="0.2">
      <c r="A254" t="s">
        <v>2112</v>
      </c>
      <c r="B254" t="s">
        <v>3032</v>
      </c>
      <c r="C254">
        <v>16</v>
      </c>
      <c r="D254" t="s">
        <v>1936</v>
      </c>
      <c r="E254" t="s">
        <v>128</v>
      </c>
      <c r="F254" t="s">
        <v>443</v>
      </c>
      <c r="G254" t="s">
        <v>34</v>
      </c>
      <c r="H254" t="s">
        <v>2867</v>
      </c>
      <c r="I254" t="s">
        <v>935</v>
      </c>
      <c r="J254" t="s">
        <v>884</v>
      </c>
      <c r="K254" t="s">
        <v>892</v>
      </c>
      <c r="L254" t="s">
        <v>956</v>
      </c>
      <c r="M254" t="s">
        <v>886</v>
      </c>
      <c r="N254" t="s">
        <v>461</v>
      </c>
      <c r="O254" t="s">
        <v>496</v>
      </c>
      <c r="P254"/>
      <c r="Q254">
        <v>941000031683992</v>
      </c>
      <c r="R254" t="s">
        <v>443</v>
      </c>
      <c r="S254" t="s">
        <v>885</v>
      </c>
      <c r="T254" s="16">
        <v>45426</v>
      </c>
      <c r="U254" t="s">
        <v>932</v>
      </c>
      <c r="V254"/>
      <c r="W254" t="s">
        <v>892</v>
      </c>
      <c r="X254" s="16">
        <v>45950.542361111111</v>
      </c>
      <c r="Y254">
        <v>28.2</v>
      </c>
      <c r="Z254"/>
      <c r="AA254">
        <v>5</v>
      </c>
      <c r="AB254" t="s">
        <v>2117</v>
      </c>
      <c r="AC254" t="s">
        <v>41</v>
      </c>
      <c r="AD254"/>
      <c r="AE254">
        <v>1</v>
      </c>
      <c r="AF254" t="s">
        <v>41</v>
      </c>
      <c r="AG254"/>
      <c r="AH254"/>
      <c r="AI254"/>
      <c r="AJ254"/>
      <c r="AK254">
        <v>361</v>
      </c>
    </row>
    <row r="255" spans="1:37" x14ac:dyDescent="0.2">
      <c r="A255" t="s">
        <v>2112</v>
      </c>
      <c r="B255" t="s">
        <v>3032</v>
      </c>
      <c r="C255">
        <v>16</v>
      </c>
      <c r="D255" t="s">
        <v>2264</v>
      </c>
      <c r="E255" t="s">
        <v>2265</v>
      </c>
      <c r="F255" t="s">
        <v>443</v>
      </c>
      <c r="G255" t="s">
        <v>34</v>
      </c>
      <c r="H255" t="s">
        <v>3034</v>
      </c>
      <c r="I255" t="s">
        <v>897</v>
      </c>
      <c r="J255"/>
      <c r="K255" t="s">
        <v>884</v>
      </c>
      <c r="L255" t="s">
        <v>922</v>
      </c>
      <c r="M255" t="s">
        <v>886</v>
      </c>
      <c r="N255" t="s">
        <v>749</v>
      </c>
      <c r="O255" t="s">
        <v>496</v>
      </c>
      <c r="P255"/>
      <c r="Q255"/>
      <c r="R255" t="s">
        <v>443</v>
      </c>
      <c r="S255" t="s">
        <v>885</v>
      </c>
      <c r="T255" s="16">
        <v>45936</v>
      </c>
      <c r="U255"/>
      <c r="V255" s="16">
        <v>45983.362500000003</v>
      </c>
      <c r="W255" t="s">
        <v>884</v>
      </c>
      <c r="X255" s="16">
        <v>45978.362500000003</v>
      </c>
      <c r="Y255">
        <v>0.4</v>
      </c>
      <c r="Z255"/>
      <c r="AA255">
        <v>5</v>
      </c>
      <c r="AB255"/>
      <c r="AC255" t="s">
        <v>41</v>
      </c>
      <c r="AD255"/>
      <c r="AE255">
        <v>1</v>
      </c>
      <c r="AF255" t="s">
        <v>41</v>
      </c>
      <c r="AG255"/>
      <c r="AH255"/>
      <c r="AI255"/>
      <c r="AJ255"/>
      <c r="AK255">
        <v>361</v>
      </c>
    </row>
    <row r="256" spans="1:37" x14ac:dyDescent="0.2">
      <c r="A256" t="s">
        <v>2112</v>
      </c>
      <c r="B256" t="s">
        <v>3032</v>
      </c>
      <c r="C256">
        <v>16</v>
      </c>
      <c r="D256" t="s">
        <v>693</v>
      </c>
      <c r="E256" t="s">
        <v>692</v>
      </c>
      <c r="F256" t="s">
        <v>443</v>
      </c>
      <c r="G256" t="s">
        <v>34</v>
      </c>
      <c r="H256" t="s">
        <v>3035</v>
      </c>
      <c r="I256" t="s">
        <v>897</v>
      </c>
      <c r="J256"/>
      <c r="K256" t="s">
        <v>884</v>
      </c>
      <c r="L256" t="s">
        <v>922</v>
      </c>
      <c r="M256" t="s">
        <v>890</v>
      </c>
      <c r="N256" t="s">
        <v>461</v>
      </c>
      <c r="O256" t="s">
        <v>496</v>
      </c>
      <c r="P256"/>
      <c r="Q256">
        <v>941000031684194</v>
      </c>
      <c r="R256" t="s">
        <v>443</v>
      </c>
      <c r="S256" t="s">
        <v>885</v>
      </c>
      <c r="T256" s="16">
        <v>44043</v>
      </c>
      <c r="U256"/>
      <c r="V256" s="16">
        <v>45874.520138888889</v>
      </c>
      <c r="W256" t="s">
        <v>892</v>
      </c>
      <c r="X256" s="16">
        <v>45869.520138888889</v>
      </c>
      <c r="Y256">
        <v>109.3</v>
      </c>
      <c r="Z256"/>
      <c r="AA256">
        <v>6</v>
      </c>
      <c r="AB256" t="s">
        <v>976</v>
      </c>
      <c r="AC256" t="s">
        <v>41</v>
      </c>
      <c r="AD256"/>
      <c r="AE256">
        <v>1</v>
      </c>
      <c r="AF256" t="s">
        <v>41</v>
      </c>
      <c r="AG256"/>
      <c r="AH256"/>
      <c r="AI256"/>
      <c r="AJ256"/>
      <c r="AK256">
        <v>361</v>
      </c>
    </row>
    <row r="257" spans="1:37" x14ac:dyDescent="0.2">
      <c r="A257" t="s">
        <v>2112</v>
      </c>
      <c r="B257" t="s">
        <v>3032</v>
      </c>
      <c r="C257">
        <v>16</v>
      </c>
      <c r="D257" t="s">
        <v>660</v>
      </c>
      <c r="E257" t="s">
        <v>659</v>
      </c>
      <c r="F257" t="s">
        <v>443</v>
      </c>
      <c r="G257" t="s">
        <v>34</v>
      </c>
      <c r="H257" t="s">
        <v>2805</v>
      </c>
      <c r="I257" t="s">
        <v>1999</v>
      </c>
      <c r="J257"/>
      <c r="K257" t="s">
        <v>884</v>
      </c>
      <c r="L257" t="s">
        <v>922</v>
      </c>
      <c r="M257" t="s">
        <v>890</v>
      </c>
      <c r="N257" t="s">
        <v>461</v>
      </c>
      <c r="O257" t="s">
        <v>496</v>
      </c>
      <c r="P257"/>
      <c r="Q257">
        <v>941000031683598</v>
      </c>
      <c r="R257" t="s">
        <v>443</v>
      </c>
      <c r="S257" t="s">
        <v>885</v>
      </c>
      <c r="T257" s="16">
        <v>45130</v>
      </c>
      <c r="U257"/>
      <c r="V257">
        <v>45850.496527777781</v>
      </c>
      <c r="W257" t="s">
        <v>892</v>
      </c>
      <c r="X257" s="16">
        <v>45845.496527777781</v>
      </c>
      <c r="Y257">
        <v>133.30000000000001</v>
      </c>
      <c r="Z257"/>
      <c r="AA257">
        <v>7</v>
      </c>
      <c r="AB257" t="s">
        <v>2118</v>
      </c>
      <c r="AC257" t="s">
        <v>41</v>
      </c>
      <c r="AD257"/>
      <c r="AE257">
        <v>1</v>
      </c>
      <c r="AF257" t="s">
        <v>41</v>
      </c>
      <c r="AG257"/>
      <c r="AH257"/>
      <c r="AI257"/>
      <c r="AJ257"/>
      <c r="AK257">
        <v>361</v>
      </c>
    </row>
    <row r="258" spans="1:37" x14ac:dyDescent="0.2">
      <c r="A258" t="s">
        <v>2112</v>
      </c>
      <c r="B258" t="s">
        <v>3032</v>
      </c>
      <c r="C258">
        <v>16</v>
      </c>
      <c r="D258" t="s">
        <v>500</v>
      </c>
      <c r="E258" t="s">
        <v>498</v>
      </c>
      <c r="F258" t="s">
        <v>443</v>
      </c>
      <c r="G258" t="s">
        <v>34</v>
      </c>
      <c r="H258" t="s">
        <v>2932</v>
      </c>
      <c r="I258" t="s">
        <v>917</v>
      </c>
      <c r="J258" t="s">
        <v>884</v>
      </c>
      <c r="K258" t="s">
        <v>884</v>
      </c>
      <c r="L258" t="s">
        <v>2119</v>
      </c>
      <c r="M258" t="s">
        <v>886</v>
      </c>
      <c r="N258" t="s">
        <v>499</v>
      </c>
      <c r="O258" t="s">
        <v>496</v>
      </c>
      <c r="P258"/>
      <c r="Q258">
        <v>941000029786880</v>
      </c>
      <c r="R258" t="s">
        <v>443</v>
      </c>
      <c r="S258" t="s">
        <v>885</v>
      </c>
      <c r="T258" s="16">
        <v>45385</v>
      </c>
      <c r="U258" t="s">
        <v>2004</v>
      </c>
      <c r="V258"/>
      <c r="W258" t="s">
        <v>892</v>
      </c>
      <c r="X258" s="16">
        <v>45415.431944444441</v>
      </c>
      <c r="Y258">
        <v>563.29999999999995</v>
      </c>
      <c r="Z258"/>
      <c r="AA258">
        <v>8</v>
      </c>
      <c r="AB258" t="s">
        <v>2120</v>
      </c>
      <c r="AC258" t="s">
        <v>41</v>
      </c>
      <c r="AD258"/>
      <c r="AE258">
        <v>2</v>
      </c>
      <c r="AF258" t="s">
        <v>41</v>
      </c>
      <c r="AG258"/>
      <c r="AH258"/>
      <c r="AI258"/>
      <c r="AJ258"/>
      <c r="AK258">
        <v>361</v>
      </c>
    </row>
    <row r="259" spans="1:37" x14ac:dyDescent="0.2">
      <c r="A259" t="s">
        <v>2112</v>
      </c>
      <c r="B259" t="s">
        <v>3032</v>
      </c>
      <c r="C259">
        <v>16</v>
      </c>
      <c r="D259" t="s">
        <v>2335</v>
      </c>
      <c r="E259"/>
      <c r="F259" t="s">
        <v>443</v>
      </c>
      <c r="G259" t="s">
        <v>34</v>
      </c>
      <c r="H259" t="s">
        <v>2086</v>
      </c>
      <c r="I259" t="s">
        <v>897</v>
      </c>
      <c r="J259"/>
      <c r="K259" t="s">
        <v>884</v>
      </c>
      <c r="L259" t="s">
        <v>922</v>
      </c>
      <c r="M259" t="s">
        <v>911</v>
      </c>
      <c r="N259" t="s">
        <v>749</v>
      </c>
      <c r="O259" t="s">
        <v>496</v>
      </c>
      <c r="P259"/>
      <c r="Q259"/>
      <c r="R259" t="s">
        <v>443</v>
      </c>
      <c r="S259" t="s">
        <v>885</v>
      </c>
      <c r="T259" s="16">
        <v>45915</v>
      </c>
      <c r="U259"/>
      <c r="V259">
        <v>45976.626388888886</v>
      </c>
      <c r="W259" t="s">
        <v>884</v>
      </c>
      <c r="X259" s="16">
        <v>45971.626388888886</v>
      </c>
      <c r="Y259">
        <v>7.1</v>
      </c>
      <c r="Z259"/>
      <c r="AA259">
        <v>9</v>
      </c>
      <c r="AB259"/>
      <c r="AC259" t="s">
        <v>41</v>
      </c>
      <c r="AD259"/>
      <c r="AE259">
        <v>1</v>
      </c>
      <c r="AF259" t="s">
        <v>41</v>
      </c>
      <c r="AG259"/>
      <c r="AH259"/>
      <c r="AI259"/>
      <c r="AJ259"/>
      <c r="AK259">
        <v>361</v>
      </c>
    </row>
    <row r="260" spans="1:37" x14ac:dyDescent="0.2">
      <c r="A260" t="s">
        <v>2112</v>
      </c>
      <c r="B260" t="s">
        <v>3032</v>
      </c>
      <c r="C260">
        <v>16</v>
      </c>
      <c r="D260" t="s">
        <v>2333</v>
      </c>
      <c r="E260"/>
      <c r="F260" t="s">
        <v>443</v>
      </c>
      <c r="G260" t="s">
        <v>34</v>
      </c>
      <c r="H260" t="s">
        <v>2086</v>
      </c>
      <c r="I260" t="s">
        <v>897</v>
      </c>
      <c r="J260"/>
      <c r="K260" t="s">
        <v>884</v>
      </c>
      <c r="L260" t="s">
        <v>922</v>
      </c>
      <c r="M260" t="s">
        <v>911</v>
      </c>
      <c r="N260" t="s">
        <v>749</v>
      </c>
      <c r="O260" t="s">
        <v>496</v>
      </c>
      <c r="P260"/>
      <c r="Q260"/>
      <c r="R260" t="s">
        <v>443</v>
      </c>
      <c r="S260" t="s">
        <v>885</v>
      </c>
      <c r="T260" s="16">
        <v>45915</v>
      </c>
      <c r="U260"/>
      <c r="V260">
        <v>45976.626388888886</v>
      </c>
      <c r="W260" t="s">
        <v>884</v>
      </c>
      <c r="X260" s="16">
        <v>45971.626388888886</v>
      </c>
      <c r="Y260">
        <v>7.1</v>
      </c>
      <c r="Z260"/>
      <c r="AA260">
        <v>9</v>
      </c>
      <c r="AB260"/>
      <c r="AC260" t="s">
        <v>41</v>
      </c>
      <c r="AD260"/>
      <c r="AE260">
        <v>1</v>
      </c>
      <c r="AF260" t="s">
        <v>41</v>
      </c>
      <c r="AG260"/>
      <c r="AH260"/>
      <c r="AI260"/>
      <c r="AJ260"/>
      <c r="AK260">
        <v>361</v>
      </c>
    </row>
    <row r="261" spans="1:37" x14ac:dyDescent="0.2">
      <c r="A261" t="s">
        <v>2112</v>
      </c>
      <c r="B261" t="s">
        <v>3032</v>
      </c>
      <c r="C261">
        <v>16</v>
      </c>
      <c r="D261" t="s">
        <v>2331</v>
      </c>
      <c r="E261"/>
      <c r="F261" t="s">
        <v>443</v>
      </c>
      <c r="G261" t="s">
        <v>34</v>
      </c>
      <c r="H261" t="s">
        <v>2086</v>
      </c>
      <c r="I261" t="s">
        <v>903</v>
      </c>
      <c r="J261"/>
      <c r="K261" t="s">
        <v>884</v>
      </c>
      <c r="L261" t="s">
        <v>922</v>
      </c>
      <c r="M261" t="s">
        <v>911</v>
      </c>
      <c r="N261" t="s">
        <v>749</v>
      </c>
      <c r="O261" t="s">
        <v>496</v>
      </c>
      <c r="P261"/>
      <c r="Q261"/>
      <c r="R261" t="s">
        <v>443</v>
      </c>
      <c r="S261" t="s">
        <v>885</v>
      </c>
      <c r="T261" s="16">
        <v>45915</v>
      </c>
      <c r="U261"/>
      <c r="V261" s="16">
        <v>45976.626388888886</v>
      </c>
      <c r="W261" t="s">
        <v>884</v>
      </c>
      <c r="X261" s="16">
        <v>45971.626388888886</v>
      </c>
      <c r="Y261">
        <v>7.1</v>
      </c>
      <c r="Z261"/>
      <c r="AA261">
        <v>9</v>
      </c>
      <c r="AB261"/>
      <c r="AC261" t="s">
        <v>41</v>
      </c>
      <c r="AD261"/>
      <c r="AE261">
        <v>1</v>
      </c>
      <c r="AF261" t="s">
        <v>41</v>
      </c>
      <c r="AG261"/>
      <c r="AH261"/>
      <c r="AI261"/>
      <c r="AJ261"/>
      <c r="AK261">
        <v>361</v>
      </c>
    </row>
    <row r="262" spans="1:37" x14ac:dyDescent="0.2">
      <c r="A262" t="s">
        <v>2112</v>
      </c>
      <c r="B262" t="s">
        <v>3032</v>
      </c>
      <c r="C262">
        <v>16</v>
      </c>
      <c r="D262" t="s">
        <v>2329</v>
      </c>
      <c r="E262"/>
      <c r="F262" t="s">
        <v>443</v>
      </c>
      <c r="G262" t="s">
        <v>34</v>
      </c>
      <c r="H262" t="s">
        <v>2086</v>
      </c>
      <c r="I262" t="s">
        <v>2019</v>
      </c>
      <c r="J262"/>
      <c r="K262" t="s">
        <v>884</v>
      </c>
      <c r="L262" t="s">
        <v>922</v>
      </c>
      <c r="M262" t="s">
        <v>911</v>
      </c>
      <c r="N262" t="s">
        <v>749</v>
      </c>
      <c r="O262" t="s">
        <v>496</v>
      </c>
      <c r="P262"/>
      <c r="Q262"/>
      <c r="R262" t="s">
        <v>443</v>
      </c>
      <c r="S262" t="s">
        <v>885</v>
      </c>
      <c r="T262" s="16">
        <v>45915</v>
      </c>
      <c r="U262"/>
      <c r="V262" s="16">
        <v>45976.626388888886</v>
      </c>
      <c r="W262" t="s">
        <v>884</v>
      </c>
      <c r="X262" s="16">
        <v>45971.626388888886</v>
      </c>
      <c r="Y262">
        <v>7.1</v>
      </c>
      <c r="Z262"/>
      <c r="AA262">
        <v>9</v>
      </c>
      <c r="AB262"/>
      <c r="AC262" t="s">
        <v>41</v>
      </c>
      <c r="AD262"/>
      <c r="AE262">
        <v>1</v>
      </c>
      <c r="AF262" t="s">
        <v>41</v>
      </c>
      <c r="AG262"/>
      <c r="AH262"/>
      <c r="AI262"/>
      <c r="AJ262"/>
      <c r="AK262">
        <v>361</v>
      </c>
    </row>
    <row r="263" spans="1:37" x14ac:dyDescent="0.2">
      <c r="A263" t="s">
        <v>2112</v>
      </c>
      <c r="B263" t="s">
        <v>3032</v>
      </c>
      <c r="C263">
        <v>16</v>
      </c>
      <c r="D263" t="s">
        <v>1137</v>
      </c>
      <c r="E263" t="s">
        <v>1138</v>
      </c>
      <c r="F263" t="s">
        <v>443</v>
      </c>
      <c r="G263" t="s">
        <v>34</v>
      </c>
      <c r="H263" t="s">
        <v>2124</v>
      </c>
      <c r="I263" t="s">
        <v>2077</v>
      </c>
      <c r="J263" t="s">
        <v>884</v>
      </c>
      <c r="K263" t="s">
        <v>884</v>
      </c>
      <c r="L263" t="s">
        <v>922</v>
      </c>
      <c r="M263" t="s">
        <v>886</v>
      </c>
      <c r="N263" t="s">
        <v>461</v>
      </c>
      <c r="O263" t="s">
        <v>496</v>
      </c>
      <c r="P263"/>
      <c r="Q263">
        <v>941000031684132</v>
      </c>
      <c r="R263" t="s">
        <v>443</v>
      </c>
      <c r="S263" t="s">
        <v>885</v>
      </c>
      <c r="T263" s="16">
        <v>45891</v>
      </c>
      <c r="U263"/>
      <c r="V263" s="16">
        <v>45945.476388888892</v>
      </c>
      <c r="W263" t="s">
        <v>892</v>
      </c>
      <c r="X263" s="16">
        <v>45940.476388888892</v>
      </c>
      <c r="Y263">
        <v>38.299999999999997</v>
      </c>
      <c r="Z263"/>
      <c r="AA263" t="s">
        <v>496</v>
      </c>
      <c r="AB263" t="s">
        <v>2029</v>
      </c>
      <c r="AC263" t="s">
        <v>41</v>
      </c>
      <c r="AD263"/>
      <c r="AE263">
        <v>2</v>
      </c>
      <c r="AF263" t="s">
        <v>41</v>
      </c>
      <c r="AG263"/>
      <c r="AH263"/>
      <c r="AI263"/>
      <c r="AJ263"/>
      <c r="AK263">
        <v>361</v>
      </c>
    </row>
    <row r="264" spans="1:37" x14ac:dyDescent="0.2">
      <c r="A264" t="s">
        <v>2112</v>
      </c>
      <c r="B264" t="s">
        <v>3032</v>
      </c>
      <c r="C264">
        <v>16</v>
      </c>
      <c r="D264" t="s">
        <v>2424</v>
      </c>
      <c r="E264"/>
      <c r="F264" t="s">
        <v>443</v>
      </c>
      <c r="G264" t="s">
        <v>34</v>
      </c>
      <c r="H264" t="s">
        <v>3036</v>
      </c>
      <c r="I264" t="s">
        <v>2039</v>
      </c>
      <c r="J264"/>
      <c r="K264" t="s">
        <v>884</v>
      </c>
      <c r="L264" t="s">
        <v>922</v>
      </c>
      <c r="M264" t="s">
        <v>911</v>
      </c>
      <c r="N264" t="s">
        <v>749</v>
      </c>
      <c r="O264" t="s">
        <v>496</v>
      </c>
      <c r="P264"/>
      <c r="Q264"/>
      <c r="R264" t="s">
        <v>443</v>
      </c>
      <c r="S264" t="s">
        <v>885</v>
      </c>
      <c r="T264" s="16">
        <v>45923</v>
      </c>
      <c r="U264"/>
      <c r="V264">
        <v>45970.62222222222</v>
      </c>
      <c r="W264" t="s">
        <v>884</v>
      </c>
      <c r="X264" s="16">
        <v>45965.62222222222</v>
      </c>
      <c r="Y264">
        <v>13.2</v>
      </c>
      <c r="Z264"/>
      <c r="AA264" t="s">
        <v>496</v>
      </c>
      <c r="AB264"/>
      <c r="AC264" t="s">
        <v>41</v>
      </c>
      <c r="AD264"/>
      <c r="AE264">
        <v>1</v>
      </c>
      <c r="AF264" t="s">
        <v>41</v>
      </c>
      <c r="AG264"/>
      <c r="AH264"/>
      <c r="AI264"/>
      <c r="AJ264"/>
      <c r="AK264">
        <v>361</v>
      </c>
    </row>
    <row r="265" spans="1:37" x14ac:dyDescent="0.2">
      <c r="A265" t="s">
        <v>2112</v>
      </c>
      <c r="B265" t="s">
        <v>3032</v>
      </c>
      <c r="C265">
        <v>16</v>
      </c>
      <c r="D265" t="s">
        <v>2415</v>
      </c>
      <c r="E265"/>
      <c r="F265" t="s">
        <v>443</v>
      </c>
      <c r="G265" t="s">
        <v>34</v>
      </c>
      <c r="H265" t="s">
        <v>2088</v>
      </c>
      <c r="I265" t="s">
        <v>1999</v>
      </c>
      <c r="J265"/>
      <c r="K265" t="s">
        <v>884</v>
      </c>
      <c r="L265" t="s">
        <v>887</v>
      </c>
      <c r="M265" t="s">
        <v>886</v>
      </c>
      <c r="N265" t="s">
        <v>749</v>
      </c>
      <c r="O265" t="s">
        <v>496</v>
      </c>
      <c r="P265"/>
      <c r="Q265"/>
      <c r="R265" t="s">
        <v>443</v>
      </c>
      <c r="S265" t="s">
        <v>885</v>
      </c>
      <c r="T265" s="16">
        <v>45909</v>
      </c>
      <c r="U265"/>
      <c r="V265" s="16">
        <v>45970.679861111108</v>
      </c>
      <c r="W265" t="s">
        <v>884</v>
      </c>
      <c r="X265" s="16">
        <v>45965.679861111108</v>
      </c>
      <c r="Y265">
        <v>13.1</v>
      </c>
      <c r="Z265"/>
      <c r="AA265" t="s">
        <v>496</v>
      </c>
      <c r="AB265"/>
      <c r="AC265" t="s">
        <v>41</v>
      </c>
      <c r="AD265"/>
      <c r="AE265">
        <v>1</v>
      </c>
      <c r="AF265" t="s">
        <v>41</v>
      </c>
      <c r="AG265"/>
      <c r="AH265"/>
      <c r="AI265"/>
      <c r="AJ265"/>
      <c r="AK265">
        <v>361</v>
      </c>
    </row>
    <row r="266" spans="1:37" x14ac:dyDescent="0.2">
      <c r="A266" t="s">
        <v>2112</v>
      </c>
      <c r="B266" t="s">
        <v>3032</v>
      </c>
      <c r="C266">
        <v>16</v>
      </c>
      <c r="D266" t="s">
        <v>2399</v>
      </c>
      <c r="E266" t="s">
        <v>2400</v>
      </c>
      <c r="F266" t="s">
        <v>443</v>
      </c>
      <c r="G266" t="s">
        <v>34</v>
      </c>
      <c r="H266" t="s">
        <v>2136</v>
      </c>
      <c r="I266" t="s">
        <v>935</v>
      </c>
      <c r="J266"/>
      <c r="K266" t="s">
        <v>884</v>
      </c>
      <c r="L266" t="s">
        <v>922</v>
      </c>
      <c r="M266" t="s">
        <v>886</v>
      </c>
      <c r="N266" t="s">
        <v>731</v>
      </c>
      <c r="O266" t="s">
        <v>496</v>
      </c>
      <c r="P266"/>
      <c r="Q266"/>
      <c r="R266" t="s">
        <v>443</v>
      </c>
      <c r="S266" t="s">
        <v>885</v>
      </c>
      <c r="T266" s="16">
        <v>45924</v>
      </c>
      <c r="U266" t="s">
        <v>2013</v>
      </c>
      <c r="V266" s="16">
        <v>45971.583333333336</v>
      </c>
      <c r="W266" t="s">
        <v>884</v>
      </c>
      <c r="X266" s="16">
        <v>45966.583333333336</v>
      </c>
      <c r="Y266">
        <v>12.2</v>
      </c>
      <c r="Z266"/>
      <c r="AA266" t="s">
        <v>496</v>
      </c>
      <c r="AB266" t="s">
        <v>3037</v>
      </c>
      <c r="AC266" t="s">
        <v>41</v>
      </c>
      <c r="AD266"/>
      <c r="AE266">
        <v>1</v>
      </c>
      <c r="AF266" t="s">
        <v>41</v>
      </c>
      <c r="AG266"/>
      <c r="AH266"/>
      <c r="AI266"/>
      <c r="AJ266"/>
      <c r="AK266">
        <v>361</v>
      </c>
    </row>
    <row r="267" spans="1:37" x14ac:dyDescent="0.2">
      <c r="A267" t="s">
        <v>930</v>
      </c>
      <c r="B267" t="s">
        <v>3038</v>
      </c>
      <c r="C267">
        <v>28</v>
      </c>
      <c r="D267" t="s">
        <v>1769</v>
      </c>
      <c r="E267" t="s">
        <v>1770</v>
      </c>
      <c r="F267" t="s">
        <v>444</v>
      </c>
      <c r="G267" t="s">
        <v>529</v>
      </c>
      <c r="H267" t="s">
        <v>2145</v>
      </c>
      <c r="I267" t="s">
        <v>2154</v>
      </c>
      <c r="J267" t="s">
        <v>884</v>
      </c>
      <c r="K267" t="s">
        <v>884</v>
      </c>
      <c r="L267" t="s">
        <v>887</v>
      </c>
      <c r="M267" t="s">
        <v>886</v>
      </c>
      <c r="N267" t="s">
        <v>494</v>
      </c>
      <c r="O267" t="s">
        <v>531</v>
      </c>
      <c r="P267"/>
      <c r="Q267"/>
      <c r="R267" t="s">
        <v>444</v>
      </c>
      <c r="S267" t="s">
        <v>885</v>
      </c>
      <c r="T267" s="16">
        <v>45870</v>
      </c>
      <c r="U267"/>
      <c r="V267">
        <v>45967.581250000003</v>
      </c>
      <c r="W267" t="s">
        <v>884</v>
      </c>
      <c r="X267" s="16">
        <v>45962.622916666667</v>
      </c>
      <c r="Y267">
        <v>16.2</v>
      </c>
      <c r="Z267"/>
      <c r="AA267">
        <v>1</v>
      </c>
      <c r="AB267" t="s">
        <v>2155</v>
      </c>
      <c r="AC267" t="s">
        <v>41</v>
      </c>
      <c r="AD267"/>
      <c r="AE267">
        <v>1</v>
      </c>
      <c r="AF267" t="s">
        <v>41</v>
      </c>
      <c r="AG267"/>
      <c r="AH267"/>
      <c r="AI267"/>
      <c r="AJ267"/>
      <c r="AK267">
        <v>361</v>
      </c>
    </row>
    <row r="268" spans="1:37" x14ac:dyDescent="0.2">
      <c r="A268" t="s">
        <v>930</v>
      </c>
      <c r="B268" t="s">
        <v>3038</v>
      </c>
      <c r="C268">
        <v>28</v>
      </c>
      <c r="D268" t="s">
        <v>1767</v>
      </c>
      <c r="E268" t="s">
        <v>1768</v>
      </c>
      <c r="F268" t="s">
        <v>444</v>
      </c>
      <c r="G268" t="s">
        <v>529</v>
      </c>
      <c r="H268" t="s">
        <v>2145</v>
      </c>
      <c r="I268" t="s">
        <v>2154</v>
      </c>
      <c r="J268" t="s">
        <v>884</v>
      </c>
      <c r="K268" t="s">
        <v>884</v>
      </c>
      <c r="L268" t="s">
        <v>887</v>
      </c>
      <c r="M268" t="s">
        <v>886</v>
      </c>
      <c r="N268" t="s">
        <v>494</v>
      </c>
      <c r="O268" t="s">
        <v>531</v>
      </c>
      <c r="P268"/>
      <c r="Q268"/>
      <c r="R268" t="s">
        <v>444</v>
      </c>
      <c r="S268" t="s">
        <v>885</v>
      </c>
      <c r="T268" s="16">
        <v>45870</v>
      </c>
      <c r="U268"/>
      <c r="V268">
        <v>45967.581250000003</v>
      </c>
      <c r="W268" t="s">
        <v>884</v>
      </c>
      <c r="X268" s="16">
        <v>45962.622916666667</v>
      </c>
      <c r="Y268">
        <v>16.2</v>
      </c>
      <c r="Z268"/>
      <c r="AA268">
        <v>1</v>
      </c>
      <c r="AB268" t="s">
        <v>2156</v>
      </c>
      <c r="AC268" t="s">
        <v>41</v>
      </c>
      <c r="AD268"/>
      <c r="AE268">
        <v>1</v>
      </c>
      <c r="AF268" t="s">
        <v>41</v>
      </c>
      <c r="AG268"/>
      <c r="AH268"/>
      <c r="AI268"/>
      <c r="AJ268"/>
      <c r="AK268">
        <v>361</v>
      </c>
    </row>
    <row r="269" spans="1:37" x14ac:dyDescent="0.2">
      <c r="A269" t="s">
        <v>930</v>
      </c>
      <c r="B269" t="s">
        <v>3038</v>
      </c>
      <c r="C269">
        <v>28</v>
      </c>
      <c r="D269" t="s">
        <v>1765</v>
      </c>
      <c r="E269" t="s">
        <v>1766</v>
      </c>
      <c r="F269" t="s">
        <v>444</v>
      </c>
      <c r="G269" t="s">
        <v>529</v>
      </c>
      <c r="H269" t="s">
        <v>3039</v>
      </c>
      <c r="I269" t="s">
        <v>888</v>
      </c>
      <c r="J269" t="s">
        <v>884</v>
      </c>
      <c r="K269" t="s">
        <v>884</v>
      </c>
      <c r="L269" t="s">
        <v>887</v>
      </c>
      <c r="M269" t="s">
        <v>890</v>
      </c>
      <c r="N269" t="s">
        <v>494</v>
      </c>
      <c r="O269" t="s">
        <v>531</v>
      </c>
      <c r="P269"/>
      <c r="Q269"/>
      <c r="R269" t="s">
        <v>444</v>
      </c>
      <c r="S269" t="s">
        <v>885</v>
      </c>
      <c r="T269" s="16">
        <v>45872</v>
      </c>
      <c r="U269"/>
      <c r="V269">
        <v>45967.581250000003</v>
      </c>
      <c r="W269" t="s">
        <v>884</v>
      </c>
      <c r="X269" s="16">
        <v>45962.622916666667</v>
      </c>
      <c r="Y269">
        <v>16.2</v>
      </c>
      <c r="Z269"/>
      <c r="AA269">
        <v>1</v>
      </c>
      <c r="AB269" t="s">
        <v>2157</v>
      </c>
      <c r="AC269" t="s">
        <v>41</v>
      </c>
      <c r="AD269"/>
      <c r="AE269">
        <v>1</v>
      </c>
      <c r="AF269" t="s">
        <v>41</v>
      </c>
      <c r="AG269"/>
      <c r="AH269"/>
      <c r="AI269"/>
      <c r="AJ269"/>
      <c r="AK269">
        <v>361</v>
      </c>
    </row>
    <row r="270" spans="1:37" x14ac:dyDescent="0.2">
      <c r="A270" t="s">
        <v>930</v>
      </c>
      <c r="B270" t="s">
        <v>3038</v>
      </c>
      <c r="C270">
        <v>28</v>
      </c>
      <c r="D270" t="s">
        <v>2268</v>
      </c>
      <c r="E270"/>
      <c r="F270" t="s">
        <v>444</v>
      </c>
      <c r="G270" t="s">
        <v>535</v>
      </c>
      <c r="H270" t="s">
        <v>3040</v>
      </c>
      <c r="I270" t="s">
        <v>1220</v>
      </c>
      <c r="J270"/>
      <c r="K270" t="s">
        <v>884</v>
      </c>
      <c r="L270" t="s">
        <v>922</v>
      </c>
      <c r="M270" t="s">
        <v>886</v>
      </c>
      <c r="N270" t="s">
        <v>852</v>
      </c>
      <c r="O270" t="s">
        <v>531</v>
      </c>
      <c r="P270"/>
      <c r="Q270"/>
      <c r="R270" t="s">
        <v>444</v>
      </c>
      <c r="S270" t="s">
        <v>885</v>
      </c>
      <c r="T270" s="16">
        <v>44515</v>
      </c>
      <c r="U270"/>
      <c r="V270">
        <v>45981.490277777775</v>
      </c>
      <c r="W270" t="s">
        <v>884</v>
      </c>
      <c r="X270" s="16">
        <v>45976.490277777775</v>
      </c>
      <c r="Y270">
        <v>2.2999999999999998</v>
      </c>
      <c r="Z270"/>
      <c r="AA270">
        <v>10</v>
      </c>
      <c r="AB270"/>
      <c r="AC270" t="s">
        <v>41</v>
      </c>
      <c r="AD270"/>
      <c r="AE270">
        <v>1</v>
      </c>
      <c r="AF270" t="s">
        <v>41</v>
      </c>
      <c r="AG270"/>
      <c r="AH270"/>
      <c r="AI270"/>
      <c r="AJ270"/>
      <c r="AK270">
        <v>361</v>
      </c>
    </row>
    <row r="271" spans="1:37" x14ac:dyDescent="0.2">
      <c r="A271" t="s">
        <v>930</v>
      </c>
      <c r="B271" t="s">
        <v>3038</v>
      </c>
      <c r="C271">
        <v>28</v>
      </c>
      <c r="D271" t="s">
        <v>1823</v>
      </c>
      <c r="E271" t="s">
        <v>1824</v>
      </c>
      <c r="F271" t="s">
        <v>444</v>
      </c>
      <c r="G271" t="s">
        <v>529</v>
      </c>
      <c r="H271" t="s">
        <v>3041</v>
      </c>
      <c r="I271" t="s">
        <v>897</v>
      </c>
      <c r="J271" t="s">
        <v>884</v>
      </c>
      <c r="K271" t="s">
        <v>884</v>
      </c>
      <c r="L271" t="s">
        <v>887</v>
      </c>
      <c r="M271" t="s">
        <v>886</v>
      </c>
      <c r="N271" t="s">
        <v>494</v>
      </c>
      <c r="O271" t="s">
        <v>531</v>
      </c>
      <c r="P271" t="s">
        <v>471</v>
      </c>
      <c r="Q271"/>
      <c r="R271" t="s">
        <v>444</v>
      </c>
      <c r="S271" t="s">
        <v>885</v>
      </c>
      <c r="T271" s="16">
        <v>45588</v>
      </c>
      <c r="U271"/>
      <c r="V271" s="16">
        <v>45957.715277777781</v>
      </c>
      <c r="W271" t="s">
        <v>884</v>
      </c>
      <c r="X271" s="16">
        <v>45952.715277777781</v>
      </c>
      <c r="Y271">
        <v>26</v>
      </c>
      <c r="Z271"/>
      <c r="AA271">
        <v>11</v>
      </c>
      <c r="AB271" t="s">
        <v>916</v>
      </c>
      <c r="AC271" t="s">
        <v>41</v>
      </c>
      <c r="AD271"/>
      <c r="AE271">
        <v>3</v>
      </c>
      <c r="AF271" t="s">
        <v>41</v>
      </c>
      <c r="AG271"/>
      <c r="AH271"/>
      <c r="AI271"/>
      <c r="AJ271"/>
      <c r="AK271">
        <v>361</v>
      </c>
    </row>
    <row r="272" spans="1:37" x14ac:dyDescent="0.2">
      <c r="A272" t="s">
        <v>930</v>
      </c>
      <c r="B272" t="s">
        <v>3038</v>
      </c>
      <c r="C272">
        <v>28</v>
      </c>
      <c r="D272" t="s">
        <v>2353</v>
      </c>
      <c r="E272" t="s">
        <v>2354</v>
      </c>
      <c r="F272" t="s">
        <v>444</v>
      </c>
      <c r="G272" t="s">
        <v>2350</v>
      </c>
      <c r="H272" t="s">
        <v>2022</v>
      </c>
      <c r="I272" t="s">
        <v>903</v>
      </c>
      <c r="J272" t="s">
        <v>884</v>
      </c>
      <c r="K272" t="s">
        <v>884</v>
      </c>
      <c r="L272" t="s">
        <v>887</v>
      </c>
      <c r="M272" t="s">
        <v>890</v>
      </c>
      <c r="N272" t="s">
        <v>470</v>
      </c>
      <c r="O272" t="s">
        <v>531</v>
      </c>
      <c r="P272"/>
      <c r="Q272"/>
      <c r="R272" t="s">
        <v>444</v>
      </c>
      <c r="S272" t="s">
        <v>885</v>
      </c>
      <c r="T272" s="16">
        <v>45787</v>
      </c>
      <c r="U272"/>
      <c r="V272" s="16">
        <v>45976.493750000001</v>
      </c>
      <c r="W272" t="s">
        <v>884</v>
      </c>
      <c r="X272" s="16">
        <v>45971.493750000001</v>
      </c>
      <c r="Y272">
        <v>7.3</v>
      </c>
      <c r="Z272"/>
      <c r="AA272">
        <v>12</v>
      </c>
      <c r="AB272" t="s">
        <v>953</v>
      </c>
      <c r="AC272" t="s">
        <v>41</v>
      </c>
      <c r="AD272"/>
      <c r="AE272">
        <v>1</v>
      </c>
      <c r="AF272" t="s">
        <v>41</v>
      </c>
      <c r="AG272"/>
      <c r="AH272"/>
      <c r="AI272"/>
      <c r="AJ272"/>
      <c r="AK272">
        <v>361</v>
      </c>
    </row>
    <row r="273" spans="1:37" x14ac:dyDescent="0.2">
      <c r="A273" t="s">
        <v>930</v>
      </c>
      <c r="B273" t="s">
        <v>3038</v>
      </c>
      <c r="C273">
        <v>28</v>
      </c>
      <c r="D273" t="s">
        <v>2349</v>
      </c>
      <c r="E273" t="s">
        <v>2351</v>
      </c>
      <c r="F273" t="s">
        <v>444</v>
      </c>
      <c r="G273" t="s">
        <v>2350</v>
      </c>
      <c r="H273" t="s">
        <v>2022</v>
      </c>
      <c r="I273" t="s">
        <v>903</v>
      </c>
      <c r="J273" t="s">
        <v>884</v>
      </c>
      <c r="K273" t="s">
        <v>884</v>
      </c>
      <c r="L273" t="s">
        <v>887</v>
      </c>
      <c r="M273" t="s">
        <v>886</v>
      </c>
      <c r="N273" t="s">
        <v>470</v>
      </c>
      <c r="O273" t="s">
        <v>531</v>
      </c>
      <c r="P273"/>
      <c r="Q273"/>
      <c r="R273" t="s">
        <v>444</v>
      </c>
      <c r="S273" t="s">
        <v>885</v>
      </c>
      <c r="T273" s="16">
        <v>45787</v>
      </c>
      <c r="U273"/>
      <c r="V273" s="16">
        <v>45976.493750000001</v>
      </c>
      <c r="W273" t="s">
        <v>884</v>
      </c>
      <c r="X273" s="16">
        <v>45971.493750000001</v>
      </c>
      <c r="Y273">
        <v>7.3</v>
      </c>
      <c r="Z273"/>
      <c r="AA273">
        <v>12</v>
      </c>
      <c r="AB273" t="s">
        <v>3042</v>
      </c>
      <c r="AC273" t="s">
        <v>41</v>
      </c>
      <c r="AD273"/>
      <c r="AE273">
        <v>1</v>
      </c>
      <c r="AF273" t="s">
        <v>41</v>
      </c>
      <c r="AG273"/>
      <c r="AH273"/>
      <c r="AI273"/>
      <c r="AJ273"/>
      <c r="AK273">
        <v>361</v>
      </c>
    </row>
    <row r="274" spans="1:37" x14ac:dyDescent="0.2">
      <c r="A274" t="s">
        <v>930</v>
      </c>
      <c r="B274" t="s">
        <v>3038</v>
      </c>
      <c r="C274">
        <v>28</v>
      </c>
      <c r="D274" t="s">
        <v>1812</v>
      </c>
      <c r="E274" t="s">
        <v>1813</v>
      </c>
      <c r="F274" t="s">
        <v>444</v>
      </c>
      <c r="G274" t="s">
        <v>451</v>
      </c>
      <c r="H274" t="s">
        <v>1476</v>
      </c>
      <c r="I274" t="s">
        <v>897</v>
      </c>
      <c r="J274" t="s">
        <v>884</v>
      </c>
      <c r="K274" t="s">
        <v>884</v>
      </c>
      <c r="L274" t="s">
        <v>2052</v>
      </c>
      <c r="M274" t="s">
        <v>886</v>
      </c>
      <c r="N274" t="s">
        <v>494</v>
      </c>
      <c r="O274" t="s">
        <v>531</v>
      </c>
      <c r="P274" t="s">
        <v>735</v>
      </c>
      <c r="Q274"/>
      <c r="R274" t="s">
        <v>444</v>
      </c>
      <c r="S274" t="s">
        <v>885</v>
      </c>
      <c r="T274" s="16">
        <v>45223</v>
      </c>
      <c r="U274"/>
      <c r="V274" s="16">
        <v>45959.566666666666</v>
      </c>
      <c r="W274" t="s">
        <v>884</v>
      </c>
      <c r="X274" s="16">
        <v>45954.566666666666</v>
      </c>
      <c r="Y274">
        <v>24.2</v>
      </c>
      <c r="Z274"/>
      <c r="AA274">
        <v>13</v>
      </c>
      <c r="AB274" t="s">
        <v>2122</v>
      </c>
      <c r="AC274" t="s">
        <v>41</v>
      </c>
      <c r="AD274"/>
      <c r="AE274">
        <v>3</v>
      </c>
      <c r="AF274" t="s">
        <v>41</v>
      </c>
      <c r="AG274"/>
      <c r="AH274"/>
      <c r="AI274"/>
      <c r="AJ274"/>
      <c r="AK274">
        <v>361</v>
      </c>
    </row>
    <row r="275" spans="1:37" x14ac:dyDescent="0.2">
      <c r="A275" t="s">
        <v>930</v>
      </c>
      <c r="B275" t="s">
        <v>3038</v>
      </c>
      <c r="C275">
        <v>28</v>
      </c>
      <c r="D275" t="s">
        <v>2440</v>
      </c>
      <c r="E275"/>
      <c r="F275" t="s">
        <v>444</v>
      </c>
      <c r="G275" t="s">
        <v>529</v>
      </c>
      <c r="H275" t="s">
        <v>2123</v>
      </c>
      <c r="I275" t="s">
        <v>2129</v>
      </c>
      <c r="J275"/>
      <c r="K275" t="s">
        <v>884</v>
      </c>
      <c r="L275" t="s">
        <v>887</v>
      </c>
      <c r="M275" t="s">
        <v>890</v>
      </c>
      <c r="N275" t="s">
        <v>470</v>
      </c>
      <c r="O275" t="s">
        <v>531</v>
      </c>
      <c r="P275"/>
      <c r="Q275"/>
      <c r="R275" t="s">
        <v>444</v>
      </c>
      <c r="S275" t="s">
        <v>885</v>
      </c>
      <c r="T275" s="16">
        <v>45234</v>
      </c>
      <c r="U275"/>
      <c r="V275" s="16">
        <v>45970.490972222222</v>
      </c>
      <c r="W275" t="s">
        <v>884</v>
      </c>
      <c r="X275" s="16">
        <v>45965.490972222222</v>
      </c>
      <c r="Y275">
        <v>13.3</v>
      </c>
      <c r="Z275"/>
      <c r="AA275">
        <v>14</v>
      </c>
      <c r="AB275"/>
      <c r="AC275" t="s">
        <v>41</v>
      </c>
      <c r="AD275"/>
      <c r="AE275">
        <v>1</v>
      </c>
      <c r="AF275" t="s">
        <v>41</v>
      </c>
      <c r="AG275"/>
      <c r="AH275"/>
      <c r="AI275"/>
      <c r="AJ275"/>
      <c r="AK275">
        <v>361</v>
      </c>
    </row>
    <row r="276" spans="1:37" x14ac:dyDescent="0.2">
      <c r="A276" t="s">
        <v>930</v>
      </c>
      <c r="B276" t="s">
        <v>3038</v>
      </c>
      <c r="C276">
        <v>28</v>
      </c>
      <c r="D276" t="s">
        <v>2337</v>
      </c>
      <c r="E276" t="s">
        <v>2338</v>
      </c>
      <c r="F276" t="s">
        <v>444</v>
      </c>
      <c r="G276" t="s">
        <v>529</v>
      </c>
      <c r="H276" t="s">
        <v>2148</v>
      </c>
      <c r="I276" t="s">
        <v>888</v>
      </c>
      <c r="J276"/>
      <c r="K276" t="s">
        <v>884</v>
      </c>
      <c r="L276" t="s">
        <v>887</v>
      </c>
      <c r="M276" t="s">
        <v>886</v>
      </c>
      <c r="N276" t="s">
        <v>470</v>
      </c>
      <c r="O276" t="s">
        <v>531</v>
      </c>
      <c r="P276" t="s">
        <v>735</v>
      </c>
      <c r="Q276"/>
      <c r="R276" t="s">
        <v>444</v>
      </c>
      <c r="S276" t="s">
        <v>885</v>
      </c>
      <c r="T276" s="16">
        <v>44878</v>
      </c>
      <c r="U276"/>
      <c r="V276" s="16">
        <v>45972.697916666664</v>
      </c>
      <c r="W276" t="s">
        <v>884</v>
      </c>
      <c r="X276" s="16">
        <v>45967.697916666664</v>
      </c>
      <c r="Y276">
        <v>11.1</v>
      </c>
      <c r="Z276"/>
      <c r="AA276">
        <v>2</v>
      </c>
      <c r="AB276" t="s">
        <v>997</v>
      </c>
      <c r="AC276" t="s">
        <v>41</v>
      </c>
      <c r="AD276"/>
      <c r="AE276">
        <v>1</v>
      </c>
      <c r="AF276" t="s">
        <v>41</v>
      </c>
      <c r="AG276"/>
      <c r="AH276"/>
      <c r="AI276"/>
      <c r="AJ276"/>
      <c r="AK276">
        <v>361</v>
      </c>
    </row>
    <row r="277" spans="1:37" x14ac:dyDescent="0.2">
      <c r="A277" t="s">
        <v>930</v>
      </c>
      <c r="B277" t="s">
        <v>3038</v>
      </c>
      <c r="C277">
        <v>28</v>
      </c>
      <c r="D277" t="s">
        <v>1763</v>
      </c>
      <c r="E277" t="s">
        <v>1764</v>
      </c>
      <c r="F277" t="s">
        <v>444</v>
      </c>
      <c r="G277" t="s">
        <v>468</v>
      </c>
      <c r="H277" t="s">
        <v>3043</v>
      </c>
      <c r="I277" t="s">
        <v>2019</v>
      </c>
      <c r="J277" t="s">
        <v>884</v>
      </c>
      <c r="K277" t="s">
        <v>884</v>
      </c>
      <c r="L277" t="s">
        <v>887</v>
      </c>
      <c r="M277" t="s">
        <v>886</v>
      </c>
      <c r="N277" t="s">
        <v>494</v>
      </c>
      <c r="O277" t="s">
        <v>531</v>
      </c>
      <c r="P277"/>
      <c r="Q277"/>
      <c r="R277" t="s">
        <v>444</v>
      </c>
      <c r="S277" t="s">
        <v>885</v>
      </c>
      <c r="T277" s="16">
        <v>45597</v>
      </c>
      <c r="U277"/>
      <c r="V277" s="16">
        <v>45967.581250000003</v>
      </c>
      <c r="W277" t="s">
        <v>884</v>
      </c>
      <c r="X277" s="16">
        <v>45962.622916666667</v>
      </c>
      <c r="Y277">
        <v>16.2</v>
      </c>
      <c r="Z277"/>
      <c r="AA277">
        <v>3</v>
      </c>
      <c r="AB277" t="s">
        <v>909</v>
      </c>
      <c r="AC277" t="s">
        <v>41</v>
      </c>
      <c r="AD277"/>
      <c r="AE277">
        <v>1</v>
      </c>
      <c r="AF277" t="s">
        <v>41</v>
      </c>
      <c r="AG277"/>
      <c r="AH277"/>
      <c r="AI277"/>
      <c r="AJ277"/>
      <c r="AK277">
        <v>361</v>
      </c>
    </row>
    <row r="278" spans="1:37" x14ac:dyDescent="0.2">
      <c r="A278" t="s">
        <v>930</v>
      </c>
      <c r="B278" t="s">
        <v>3038</v>
      </c>
      <c r="C278">
        <v>28</v>
      </c>
      <c r="D278" t="s">
        <v>1150</v>
      </c>
      <c r="E278" t="s">
        <v>1151</v>
      </c>
      <c r="F278" t="s">
        <v>444</v>
      </c>
      <c r="G278" t="s">
        <v>451</v>
      </c>
      <c r="H278" t="s">
        <v>2098</v>
      </c>
      <c r="I278" t="s">
        <v>1213</v>
      </c>
      <c r="J278" t="s">
        <v>884</v>
      </c>
      <c r="K278" t="s">
        <v>884</v>
      </c>
      <c r="L278" t="s">
        <v>896</v>
      </c>
      <c r="M278" t="s">
        <v>886</v>
      </c>
      <c r="N278" t="s">
        <v>494</v>
      </c>
      <c r="O278" t="s">
        <v>531</v>
      </c>
      <c r="P278" t="s">
        <v>456</v>
      </c>
      <c r="Q278"/>
      <c r="R278" t="s">
        <v>444</v>
      </c>
      <c r="S278" t="s">
        <v>885</v>
      </c>
      <c r="T278" s="16">
        <v>45846</v>
      </c>
      <c r="U278" t="s">
        <v>969</v>
      </c>
      <c r="V278" s="16"/>
      <c r="W278" t="s">
        <v>884</v>
      </c>
      <c r="X278" s="16">
        <v>45938.584722222222</v>
      </c>
      <c r="Y278">
        <v>40.200000000000003</v>
      </c>
      <c r="Z278"/>
      <c r="AA278">
        <v>4</v>
      </c>
      <c r="AB278" t="s">
        <v>1214</v>
      </c>
      <c r="AC278" t="s">
        <v>41</v>
      </c>
      <c r="AD278"/>
      <c r="AE278">
        <v>1</v>
      </c>
      <c r="AF278" t="s">
        <v>41</v>
      </c>
      <c r="AG278"/>
      <c r="AH278"/>
      <c r="AI278"/>
      <c r="AJ278"/>
      <c r="AK278">
        <v>361</v>
      </c>
    </row>
    <row r="279" spans="1:37" x14ac:dyDescent="0.2">
      <c r="A279" t="s">
        <v>930</v>
      </c>
      <c r="B279" t="s">
        <v>3038</v>
      </c>
      <c r="C279">
        <v>28</v>
      </c>
      <c r="D279" t="s">
        <v>1148</v>
      </c>
      <c r="E279" t="s">
        <v>1149</v>
      </c>
      <c r="F279" t="s">
        <v>444</v>
      </c>
      <c r="G279" t="s">
        <v>451</v>
      </c>
      <c r="H279" t="s">
        <v>2098</v>
      </c>
      <c r="I279" t="s">
        <v>917</v>
      </c>
      <c r="J279" t="s">
        <v>884</v>
      </c>
      <c r="K279" t="s">
        <v>884</v>
      </c>
      <c r="L279" t="s">
        <v>896</v>
      </c>
      <c r="M279" t="s">
        <v>886</v>
      </c>
      <c r="N279" t="s">
        <v>494</v>
      </c>
      <c r="O279" t="s">
        <v>531</v>
      </c>
      <c r="P279" t="s">
        <v>456</v>
      </c>
      <c r="Q279"/>
      <c r="R279" t="s">
        <v>444</v>
      </c>
      <c r="S279" t="s">
        <v>885</v>
      </c>
      <c r="T279" s="16">
        <v>45846</v>
      </c>
      <c r="U279" t="s">
        <v>950</v>
      </c>
      <c r="V279" s="16"/>
      <c r="W279" t="s">
        <v>884</v>
      </c>
      <c r="X279" s="16">
        <v>45938.584722222222</v>
      </c>
      <c r="Y279">
        <v>40.200000000000003</v>
      </c>
      <c r="Z279"/>
      <c r="AA279">
        <v>4</v>
      </c>
      <c r="AB279" t="s">
        <v>968</v>
      </c>
      <c r="AC279" t="s">
        <v>41</v>
      </c>
      <c r="AD279"/>
      <c r="AE279">
        <v>1</v>
      </c>
      <c r="AF279" t="s">
        <v>41</v>
      </c>
      <c r="AG279"/>
      <c r="AH279"/>
      <c r="AI279"/>
      <c r="AJ279"/>
      <c r="AK279">
        <v>361</v>
      </c>
    </row>
    <row r="280" spans="1:37" x14ac:dyDescent="0.2">
      <c r="A280" t="s">
        <v>930</v>
      </c>
      <c r="B280" t="s">
        <v>3038</v>
      </c>
      <c r="C280">
        <v>28</v>
      </c>
      <c r="D280" t="s">
        <v>1147</v>
      </c>
      <c r="E280" t="s">
        <v>810</v>
      </c>
      <c r="F280" t="s">
        <v>444</v>
      </c>
      <c r="G280" t="s">
        <v>451</v>
      </c>
      <c r="H280" t="s">
        <v>2098</v>
      </c>
      <c r="I280" t="s">
        <v>948</v>
      </c>
      <c r="J280" t="s">
        <v>884</v>
      </c>
      <c r="K280" t="s">
        <v>884</v>
      </c>
      <c r="L280" t="s">
        <v>896</v>
      </c>
      <c r="M280" t="s">
        <v>890</v>
      </c>
      <c r="N280" t="s">
        <v>494</v>
      </c>
      <c r="O280" t="s">
        <v>531</v>
      </c>
      <c r="P280" t="s">
        <v>456</v>
      </c>
      <c r="Q280"/>
      <c r="R280" t="s">
        <v>444</v>
      </c>
      <c r="S280" t="s">
        <v>885</v>
      </c>
      <c r="T280" s="16">
        <v>45846</v>
      </c>
      <c r="U280"/>
      <c r="V280" s="16"/>
      <c r="W280" t="s">
        <v>884</v>
      </c>
      <c r="X280" s="16">
        <v>45938.589583333334</v>
      </c>
      <c r="Y280">
        <v>40.200000000000003</v>
      </c>
      <c r="Z280"/>
      <c r="AA280">
        <v>4</v>
      </c>
      <c r="AB280" t="s">
        <v>1215</v>
      </c>
      <c r="AC280" t="s">
        <v>41</v>
      </c>
      <c r="AD280"/>
      <c r="AE280">
        <v>1</v>
      </c>
      <c r="AF280" t="s">
        <v>41</v>
      </c>
      <c r="AG280"/>
      <c r="AH280"/>
      <c r="AI280"/>
      <c r="AJ280"/>
      <c r="AK280">
        <v>361</v>
      </c>
    </row>
    <row r="281" spans="1:37" x14ac:dyDescent="0.2">
      <c r="A281" t="s">
        <v>930</v>
      </c>
      <c r="B281" t="s">
        <v>3038</v>
      </c>
      <c r="C281">
        <v>28</v>
      </c>
      <c r="D281" t="s">
        <v>1145</v>
      </c>
      <c r="E281" t="s">
        <v>1146</v>
      </c>
      <c r="F281" t="s">
        <v>444</v>
      </c>
      <c r="G281" t="s">
        <v>451</v>
      </c>
      <c r="H281" t="s">
        <v>3044</v>
      </c>
      <c r="I281" t="s">
        <v>1216</v>
      </c>
      <c r="J281" t="s">
        <v>884</v>
      </c>
      <c r="K281" t="s">
        <v>884</v>
      </c>
      <c r="L281" t="s">
        <v>896</v>
      </c>
      <c r="M281" t="s">
        <v>890</v>
      </c>
      <c r="N281" t="s">
        <v>494</v>
      </c>
      <c r="O281" t="s">
        <v>531</v>
      </c>
      <c r="P281" t="s">
        <v>456</v>
      </c>
      <c r="Q281"/>
      <c r="R281" t="s">
        <v>444</v>
      </c>
      <c r="S281" t="s">
        <v>885</v>
      </c>
      <c r="T281" s="16">
        <v>45849</v>
      </c>
      <c r="U281"/>
      <c r="V281" s="16"/>
      <c r="W281" t="s">
        <v>884</v>
      </c>
      <c r="X281" s="16">
        <v>45938.589583333334</v>
      </c>
      <c r="Y281">
        <v>40.200000000000003</v>
      </c>
      <c r="Z281"/>
      <c r="AA281">
        <v>4</v>
      </c>
      <c r="AB281" t="s">
        <v>968</v>
      </c>
      <c r="AC281" t="s">
        <v>41</v>
      </c>
      <c r="AD281"/>
      <c r="AE281">
        <v>1</v>
      </c>
      <c r="AF281" t="s">
        <v>41</v>
      </c>
      <c r="AG281"/>
      <c r="AH281"/>
      <c r="AI281"/>
      <c r="AJ281"/>
      <c r="AK281">
        <v>361</v>
      </c>
    </row>
    <row r="282" spans="1:37" x14ac:dyDescent="0.2">
      <c r="A282" t="s">
        <v>930</v>
      </c>
      <c r="B282" t="s">
        <v>3038</v>
      </c>
      <c r="C282">
        <v>28</v>
      </c>
      <c r="D282" t="s">
        <v>1142</v>
      </c>
      <c r="E282" t="s">
        <v>1143</v>
      </c>
      <c r="F282" t="s">
        <v>444</v>
      </c>
      <c r="G282" t="s">
        <v>451</v>
      </c>
      <c r="H282" t="s">
        <v>2098</v>
      </c>
      <c r="I282" t="s">
        <v>917</v>
      </c>
      <c r="J282" t="s">
        <v>884</v>
      </c>
      <c r="K282" t="s">
        <v>884</v>
      </c>
      <c r="L282" t="s">
        <v>896</v>
      </c>
      <c r="M282" t="s">
        <v>886</v>
      </c>
      <c r="N282" t="s">
        <v>494</v>
      </c>
      <c r="O282" t="s">
        <v>531</v>
      </c>
      <c r="P282" t="s">
        <v>456</v>
      </c>
      <c r="Q282"/>
      <c r="R282" t="s">
        <v>444</v>
      </c>
      <c r="S282" t="s">
        <v>885</v>
      </c>
      <c r="T282" s="16">
        <v>45846</v>
      </c>
      <c r="U282" t="s">
        <v>950</v>
      </c>
      <c r="V282" s="16"/>
      <c r="W282" t="s">
        <v>884</v>
      </c>
      <c r="X282" s="16">
        <v>45938.589583333334</v>
      </c>
      <c r="Y282">
        <v>40.200000000000003</v>
      </c>
      <c r="Z282"/>
      <c r="AA282">
        <v>4</v>
      </c>
      <c r="AB282" t="s">
        <v>968</v>
      </c>
      <c r="AC282" t="s">
        <v>41</v>
      </c>
      <c r="AD282"/>
      <c r="AE282">
        <v>1</v>
      </c>
      <c r="AF282" t="s">
        <v>41</v>
      </c>
      <c r="AG282"/>
      <c r="AH282"/>
      <c r="AI282"/>
      <c r="AJ282"/>
      <c r="AK282">
        <v>361</v>
      </c>
    </row>
    <row r="283" spans="1:37" x14ac:dyDescent="0.2">
      <c r="A283" t="s">
        <v>930</v>
      </c>
      <c r="B283" t="s">
        <v>3038</v>
      </c>
      <c r="C283">
        <v>28</v>
      </c>
      <c r="D283" t="s">
        <v>1759</v>
      </c>
      <c r="E283" t="s">
        <v>1760</v>
      </c>
      <c r="F283" t="s">
        <v>444</v>
      </c>
      <c r="G283" t="s">
        <v>1757</v>
      </c>
      <c r="H283" t="s">
        <v>3039</v>
      </c>
      <c r="I283" t="s">
        <v>897</v>
      </c>
      <c r="J283"/>
      <c r="K283" t="s">
        <v>884</v>
      </c>
      <c r="L283" t="s">
        <v>922</v>
      </c>
      <c r="M283" t="s">
        <v>890</v>
      </c>
      <c r="N283" t="s">
        <v>461</v>
      </c>
      <c r="O283" t="s">
        <v>531</v>
      </c>
      <c r="P283"/>
      <c r="Q283">
        <v>941000031683664</v>
      </c>
      <c r="R283" t="s">
        <v>444</v>
      </c>
      <c r="S283" t="s">
        <v>885</v>
      </c>
      <c r="T283" s="16">
        <v>45872</v>
      </c>
      <c r="U283"/>
      <c r="V283" s="16">
        <v>45969.548611111109</v>
      </c>
      <c r="W283" t="s">
        <v>892</v>
      </c>
      <c r="X283" s="16">
        <v>45964.548611111109</v>
      </c>
      <c r="Y283">
        <v>14.2</v>
      </c>
      <c r="Z283"/>
      <c r="AA283">
        <v>5</v>
      </c>
      <c r="AB283" t="s">
        <v>2164</v>
      </c>
      <c r="AC283" t="s">
        <v>41</v>
      </c>
      <c r="AD283"/>
      <c r="AE283">
        <v>1</v>
      </c>
      <c r="AF283" t="s">
        <v>41</v>
      </c>
      <c r="AG283"/>
      <c r="AH283"/>
      <c r="AI283"/>
      <c r="AJ283"/>
      <c r="AK283">
        <v>361</v>
      </c>
    </row>
    <row r="284" spans="1:37" x14ac:dyDescent="0.2">
      <c r="A284" t="s">
        <v>930</v>
      </c>
      <c r="B284" t="s">
        <v>3038</v>
      </c>
      <c r="C284">
        <v>28</v>
      </c>
      <c r="D284" t="s">
        <v>1756</v>
      </c>
      <c r="E284" t="s">
        <v>1758</v>
      </c>
      <c r="F284" t="s">
        <v>444</v>
      </c>
      <c r="G284" t="s">
        <v>1757</v>
      </c>
      <c r="H284" t="s">
        <v>3039</v>
      </c>
      <c r="I284" t="s">
        <v>2132</v>
      </c>
      <c r="J284"/>
      <c r="K284" t="s">
        <v>884</v>
      </c>
      <c r="L284" t="s">
        <v>922</v>
      </c>
      <c r="M284" t="s">
        <v>890</v>
      </c>
      <c r="N284" t="s">
        <v>461</v>
      </c>
      <c r="O284" t="s">
        <v>531</v>
      </c>
      <c r="P284"/>
      <c r="Q284">
        <v>941000031684175</v>
      </c>
      <c r="R284" t="s">
        <v>444</v>
      </c>
      <c r="S284" t="s">
        <v>885</v>
      </c>
      <c r="T284" s="16">
        <v>45872</v>
      </c>
      <c r="U284"/>
      <c r="V284" s="16">
        <v>45969.548611111109</v>
      </c>
      <c r="W284" t="s">
        <v>892</v>
      </c>
      <c r="X284" s="16">
        <v>45964.548611111109</v>
      </c>
      <c r="Y284">
        <v>14.2</v>
      </c>
      <c r="Z284"/>
      <c r="AA284">
        <v>5</v>
      </c>
      <c r="AB284" t="s">
        <v>2133</v>
      </c>
      <c r="AC284" t="s">
        <v>41</v>
      </c>
      <c r="AD284"/>
      <c r="AE284">
        <v>1</v>
      </c>
      <c r="AF284" t="s">
        <v>41</v>
      </c>
      <c r="AG284"/>
      <c r="AH284"/>
      <c r="AI284"/>
      <c r="AJ284"/>
      <c r="AK284">
        <v>361</v>
      </c>
    </row>
    <row r="285" spans="1:37" x14ac:dyDescent="0.2">
      <c r="A285" t="s">
        <v>930</v>
      </c>
      <c r="B285" t="s">
        <v>3038</v>
      </c>
      <c r="C285">
        <v>28</v>
      </c>
      <c r="D285" t="s">
        <v>2290</v>
      </c>
      <c r="E285" t="s">
        <v>2291</v>
      </c>
      <c r="F285" t="s">
        <v>444</v>
      </c>
      <c r="G285" t="s">
        <v>1158</v>
      </c>
      <c r="H285" t="s">
        <v>3045</v>
      </c>
      <c r="I285" t="s">
        <v>3046</v>
      </c>
      <c r="J285"/>
      <c r="K285" t="s">
        <v>884</v>
      </c>
      <c r="L285" t="s">
        <v>937</v>
      </c>
      <c r="M285" t="s">
        <v>890</v>
      </c>
      <c r="N285" t="s">
        <v>1771</v>
      </c>
      <c r="O285" t="s">
        <v>531</v>
      </c>
      <c r="P285"/>
      <c r="Q285"/>
      <c r="R285" t="s">
        <v>444</v>
      </c>
      <c r="S285" t="s">
        <v>885</v>
      </c>
      <c r="T285" s="16">
        <v>45610</v>
      </c>
      <c r="U285"/>
      <c r="V285" s="16"/>
      <c r="W285" t="s">
        <v>884</v>
      </c>
      <c r="X285" s="16">
        <v>45975.613888888889</v>
      </c>
      <c r="Y285">
        <v>3.2</v>
      </c>
      <c r="Z285"/>
      <c r="AA285">
        <v>6</v>
      </c>
      <c r="AB285"/>
      <c r="AC285" t="s">
        <v>41</v>
      </c>
      <c r="AD285"/>
      <c r="AE285">
        <v>1</v>
      </c>
      <c r="AF285" t="s">
        <v>41</v>
      </c>
      <c r="AG285"/>
      <c r="AH285"/>
      <c r="AI285"/>
      <c r="AJ285"/>
      <c r="AK285">
        <v>361</v>
      </c>
    </row>
    <row r="286" spans="1:37" x14ac:dyDescent="0.2">
      <c r="A286" t="s">
        <v>930</v>
      </c>
      <c r="B286" t="s">
        <v>3038</v>
      </c>
      <c r="C286">
        <v>28</v>
      </c>
      <c r="D286" t="s">
        <v>2287</v>
      </c>
      <c r="E286" t="s">
        <v>2288</v>
      </c>
      <c r="F286" t="s">
        <v>444</v>
      </c>
      <c r="G286" t="s">
        <v>1158</v>
      </c>
      <c r="H286" t="s">
        <v>3045</v>
      </c>
      <c r="I286" t="s">
        <v>920</v>
      </c>
      <c r="J286"/>
      <c r="K286" t="s">
        <v>884</v>
      </c>
      <c r="L286" t="s">
        <v>937</v>
      </c>
      <c r="M286" t="s">
        <v>890</v>
      </c>
      <c r="N286" t="s">
        <v>1771</v>
      </c>
      <c r="O286" t="s">
        <v>531</v>
      </c>
      <c r="P286"/>
      <c r="Q286"/>
      <c r="R286" t="s">
        <v>444</v>
      </c>
      <c r="S286" t="s">
        <v>885</v>
      </c>
      <c r="T286" s="16">
        <v>45610</v>
      </c>
      <c r="U286"/>
      <c r="V286" s="16"/>
      <c r="W286" t="s">
        <v>884</v>
      </c>
      <c r="X286" s="16">
        <v>45975.613888888889</v>
      </c>
      <c r="Y286">
        <v>3.2</v>
      </c>
      <c r="Z286"/>
      <c r="AA286">
        <v>6</v>
      </c>
      <c r="AB286"/>
      <c r="AC286" t="s">
        <v>41</v>
      </c>
      <c r="AD286"/>
      <c r="AE286">
        <v>1</v>
      </c>
      <c r="AF286" t="s">
        <v>41</v>
      </c>
      <c r="AG286"/>
      <c r="AH286"/>
      <c r="AI286"/>
      <c r="AJ286"/>
      <c r="AK286">
        <v>361</v>
      </c>
    </row>
    <row r="287" spans="1:37" x14ac:dyDescent="0.2">
      <c r="A287" t="s">
        <v>930</v>
      </c>
      <c r="B287" t="s">
        <v>3038</v>
      </c>
      <c r="C287">
        <v>28</v>
      </c>
      <c r="D287" t="s">
        <v>2283</v>
      </c>
      <c r="E287" t="s">
        <v>2284</v>
      </c>
      <c r="F287" t="s">
        <v>444</v>
      </c>
      <c r="G287" t="s">
        <v>1158</v>
      </c>
      <c r="H287" t="s">
        <v>3047</v>
      </c>
      <c r="I287" t="s">
        <v>897</v>
      </c>
      <c r="J287"/>
      <c r="K287" t="s">
        <v>884</v>
      </c>
      <c r="L287" t="s">
        <v>937</v>
      </c>
      <c r="M287" t="s">
        <v>886</v>
      </c>
      <c r="N287" t="s">
        <v>1771</v>
      </c>
      <c r="O287" t="s">
        <v>531</v>
      </c>
      <c r="P287"/>
      <c r="Q287"/>
      <c r="R287" t="s">
        <v>444</v>
      </c>
      <c r="S287" t="s">
        <v>885</v>
      </c>
      <c r="T287" s="16">
        <v>45791</v>
      </c>
      <c r="U287"/>
      <c r="V287" s="16"/>
      <c r="W287" t="s">
        <v>884</v>
      </c>
      <c r="X287" s="16">
        <v>45975.613888888889</v>
      </c>
      <c r="Y287">
        <v>3.2</v>
      </c>
      <c r="Z287"/>
      <c r="AA287">
        <v>6</v>
      </c>
      <c r="AB287"/>
      <c r="AC287" t="s">
        <v>41</v>
      </c>
      <c r="AD287"/>
      <c r="AE287">
        <v>1</v>
      </c>
      <c r="AF287" t="s">
        <v>41</v>
      </c>
      <c r="AG287"/>
      <c r="AH287"/>
      <c r="AI287"/>
      <c r="AJ287"/>
      <c r="AK287">
        <v>361</v>
      </c>
    </row>
    <row r="288" spans="1:37" x14ac:dyDescent="0.2">
      <c r="A288" t="s">
        <v>930</v>
      </c>
      <c r="B288" t="s">
        <v>3038</v>
      </c>
      <c r="C288">
        <v>28</v>
      </c>
      <c r="D288" t="s">
        <v>1783</v>
      </c>
      <c r="E288" t="s">
        <v>1784</v>
      </c>
      <c r="F288" t="s">
        <v>444</v>
      </c>
      <c r="G288" t="s">
        <v>510</v>
      </c>
      <c r="H288" t="s">
        <v>3048</v>
      </c>
      <c r="I288" t="s">
        <v>888</v>
      </c>
      <c r="J288"/>
      <c r="K288" t="s">
        <v>884</v>
      </c>
      <c r="L288" t="s">
        <v>937</v>
      </c>
      <c r="M288" t="s">
        <v>886</v>
      </c>
      <c r="N288" t="s">
        <v>494</v>
      </c>
      <c r="O288" t="s">
        <v>531</v>
      </c>
      <c r="P288"/>
      <c r="Q288"/>
      <c r="R288" t="s">
        <v>444</v>
      </c>
      <c r="S288" t="s">
        <v>885</v>
      </c>
      <c r="T288" s="16">
        <v>45877</v>
      </c>
      <c r="U288"/>
      <c r="V288" s="16"/>
      <c r="W288" t="s">
        <v>884</v>
      </c>
      <c r="X288" s="16">
        <v>45960.57916666667</v>
      </c>
      <c r="Y288">
        <v>18.2</v>
      </c>
      <c r="Z288"/>
      <c r="AA288">
        <v>7</v>
      </c>
      <c r="AB288" t="s">
        <v>2125</v>
      </c>
      <c r="AC288" t="s">
        <v>41</v>
      </c>
      <c r="AD288"/>
      <c r="AE288">
        <v>2</v>
      </c>
      <c r="AF288" t="s">
        <v>41</v>
      </c>
      <c r="AG288"/>
      <c r="AH288"/>
      <c r="AI288"/>
      <c r="AJ288"/>
      <c r="AK288">
        <v>361</v>
      </c>
    </row>
    <row r="289" spans="1:37" x14ac:dyDescent="0.2">
      <c r="A289" t="s">
        <v>930</v>
      </c>
      <c r="B289" t="s">
        <v>3038</v>
      </c>
      <c r="C289">
        <v>28</v>
      </c>
      <c r="D289" t="s">
        <v>1781</v>
      </c>
      <c r="E289" t="s">
        <v>1782</v>
      </c>
      <c r="F289" t="s">
        <v>444</v>
      </c>
      <c r="G289" t="s">
        <v>510</v>
      </c>
      <c r="H289" t="s">
        <v>3048</v>
      </c>
      <c r="I289" t="s">
        <v>903</v>
      </c>
      <c r="J289"/>
      <c r="K289" t="s">
        <v>884</v>
      </c>
      <c r="L289" t="s">
        <v>937</v>
      </c>
      <c r="M289" t="s">
        <v>890</v>
      </c>
      <c r="N289" t="s">
        <v>494</v>
      </c>
      <c r="O289" t="s">
        <v>531</v>
      </c>
      <c r="P289"/>
      <c r="Q289"/>
      <c r="R289" t="s">
        <v>444</v>
      </c>
      <c r="S289" t="s">
        <v>885</v>
      </c>
      <c r="T289" s="16">
        <v>45877</v>
      </c>
      <c r="U289"/>
      <c r="V289" s="16"/>
      <c r="W289" t="s">
        <v>884</v>
      </c>
      <c r="X289" s="16">
        <v>45960.57916666667</v>
      </c>
      <c r="Y289">
        <v>18.2</v>
      </c>
      <c r="Z289"/>
      <c r="AA289">
        <v>7</v>
      </c>
      <c r="AB289" t="s">
        <v>971</v>
      </c>
      <c r="AC289" t="s">
        <v>41</v>
      </c>
      <c r="AD289"/>
      <c r="AE289">
        <v>2</v>
      </c>
      <c r="AF289" t="s">
        <v>41</v>
      </c>
      <c r="AG289"/>
      <c r="AH289"/>
      <c r="AI289"/>
      <c r="AJ289"/>
      <c r="AK289">
        <v>361</v>
      </c>
    </row>
    <row r="290" spans="1:37" x14ac:dyDescent="0.2">
      <c r="A290" t="s">
        <v>930</v>
      </c>
      <c r="B290" t="s">
        <v>3038</v>
      </c>
      <c r="C290">
        <v>28</v>
      </c>
      <c r="D290" t="s">
        <v>1779</v>
      </c>
      <c r="E290" t="s">
        <v>1780</v>
      </c>
      <c r="F290" t="s">
        <v>444</v>
      </c>
      <c r="G290" t="s">
        <v>510</v>
      </c>
      <c r="H290" t="s">
        <v>3048</v>
      </c>
      <c r="I290" t="s">
        <v>903</v>
      </c>
      <c r="J290"/>
      <c r="K290" t="s">
        <v>884</v>
      </c>
      <c r="L290" t="s">
        <v>937</v>
      </c>
      <c r="M290" t="s">
        <v>890</v>
      </c>
      <c r="N290" t="s">
        <v>494</v>
      </c>
      <c r="O290" t="s">
        <v>531</v>
      </c>
      <c r="P290"/>
      <c r="Q290"/>
      <c r="R290" t="s">
        <v>444</v>
      </c>
      <c r="S290" t="s">
        <v>885</v>
      </c>
      <c r="T290" s="16">
        <v>45877</v>
      </c>
      <c r="U290"/>
      <c r="V290" s="16"/>
      <c r="W290" t="s">
        <v>884</v>
      </c>
      <c r="X290" s="16">
        <v>45960.57916666667</v>
      </c>
      <c r="Y290">
        <v>18.2</v>
      </c>
      <c r="Z290"/>
      <c r="AA290">
        <v>7</v>
      </c>
      <c r="AB290" t="s">
        <v>2126</v>
      </c>
      <c r="AC290" t="s">
        <v>41</v>
      </c>
      <c r="AD290"/>
      <c r="AE290">
        <v>2</v>
      </c>
      <c r="AF290" t="s">
        <v>41</v>
      </c>
      <c r="AG290"/>
      <c r="AH290"/>
      <c r="AI290"/>
      <c r="AJ290"/>
      <c r="AK290">
        <v>361</v>
      </c>
    </row>
    <row r="291" spans="1:37" x14ac:dyDescent="0.2">
      <c r="A291" t="s">
        <v>930</v>
      </c>
      <c r="B291" t="s">
        <v>3038</v>
      </c>
      <c r="C291">
        <v>28</v>
      </c>
      <c r="D291" t="s">
        <v>2946</v>
      </c>
      <c r="E291" t="s">
        <v>2947</v>
      </c>
      <c r="F291" t="s">
        <v>444</v>
      </c>
      <c r="G291" t="s">
        <v>468</v>
      </c>
      <c r="H291" t="s">
        <v>3049</v>
      </c>
      <c r="I291" t="s">
        <v>917</v>
      </c>
      <c r="J291" t="s">
        <v>884</v>
      </c>
      <c r="K291" t="s">
        <v>892</v>
      </c>
      <c r="L291" t="s">
        <v>993</v>
      </c>
      <c r="M291" t="s">
        <v>890</v>
      </c>
      <c r="N291" t="s">
        <v>1771</v>
      </c>
      <c r="O291" t="s">
        <v>531</v>
      </c>
      <c r="P291" t="s">
        <v>2950</v>
      </c>
      <c r="Q291">
        <v>982091070182789</v>
      </c>
      <c r="R291" t="s">
        <v>444</v>
      </c>
      <c r="S291" t="s">
        <v>885</v>
      </c>
      <c r="T291" s="16">
        <v>44195</v>
      </c>
      <c r="U291" t="s">
        <v>950</v>
      </c>
      <c r="V291" s="16"/>
      <c r="W291" t="s">
        <v>892</v>
      </c>
      <c r="X291" s="16">
        <v>45968.45</v>
      </c>
      <c r="Y291">
        <v>10.3</v>
      </c>
      <c r="Z291"/>
      <c r="AA291">
        <v>8</v>
      </c>
      <c r="AB291" t="s">
        <v>3050</v>
      </c>
      <c r="AC291" t="s">
        <v>41</v>
      </c>
      <c r="AD291"/>
      <c r="AE291">
        <v>3</v>
      </c>
      <c r="AF291" t="s">
        <v>41</v>
      </c>
      <c r="AG291"/>
      <c r="AH291"/>
      <c r="AI291"/>
      <c r="AJ291"/>
      <c r="AK291">
        <v>361</v>
      </c>
    </row>
    <row r="292" spans="1:37" x14ac:dyDescent="0.2">
      <c r="A292" t="s">
        <v>930</v>
      </c>
      <c r="B292" t="s">
        <v>3038</v>
      </c>
      <c r="C292">
        <v>28</v>
      </c>
      <c r="D292" t="s">
        <v>2431</v>
      </c>
      <c r="E292" t="s">
        <v>2433</v>
      </c>
      <c r="F292" t="s">
        <v>444</v>
      </c>
      <c r="G292" t="s">
        <v>2432</v>
      </c>
      <c r="H292" t="s">
        <v>3051</v>
      </c>
      <c r="I292" t="s">
        <v>1220</v>
      </c>
      <c r="J292"/>
      <c r="K292" t="s">
        <v>884</v>
      </c>
      <c r="L292" t="s">
        <v>922</v>
      </c>
      <c r="M292" t="s">
        <v>890</v>
      </c>
      <c r="N292" t="s">
        <v>494</v>
      </c>
      <c r="O292" t="s">
        <v>531</v>
      </c>
      <c r="P292" t="s">
        <v>511</v>
      </c>
      <c r="Q292">
        <v>941000031749939</v>
      </c>
      <c r="R292" t="s">
        <v>444</v>
      </c>
      <c r="S292" t="s">
        <v>885</v>
      </c>
      <c r="T292" s="16">
        <v>44139</v>
      </c>
      <c r="U292"/>
      <c r="V292" s="16">
        <v>45970.597916666666</v>
      </c>
      <c r="W292" t="s">
        <v>884</v>
      </c>
      <c r="X292" s="16">
        <v>45965.597916666666</v>
      </c>
      <c r="Y292">
        <v>13.2</v>
      </c>
      <c r="Z292"/>
      <c r="AA292">
        <v>9</v>
      </c>
      <c r="AB292" t="s">
        <v>996</v>
      </c>
      <c r="AC292" t="s">
        <v>41</v>
      </c>
      <c r="AD292"/>
      <c r="AE292">
        <v>1</v>
      </c>
      <c r="AF292" t="s">
        <v>41</v>
      </c>
      <c r="AG292"/>
      <c r="AH292"/>
      <c r="AI292"/>
      <c r="AJ292"/>
      <c r="AK292">
        <v>361</v>
      </c>
    </row>
    <row r="293" spans="1:37" x14ac:dyDescent="0.2">
      <c r="A293" t="s">
        <v>930</v>
      </c>
      <c r="B293" t="s">
        <v>3038</v>
      </c>
      <c r="C293">
        <v>28</v>
      </c>
      <c r="D293" t="s">
        <v>2341</v>
      </c>
      <c r="E293"/>
      <c r="F293" t="s">
        <v>444</v>
      </c>
      <c r="G293" t="s">
        <v>535</v>
      </c>
      <c r="H293" t="s">
        <v>913</v>
      </c>
      <c r="I293" t="s">
        <v>1211</v>
      </c>
      <c r="J293"/>
      <c r="K293" t="s">
        <v>884</v>
      </c>
      <c r="L293" t="s">
        <v>922</v>
      </c>
      <c r="M293" t="s">
        <v>911</v>
      </c>
      <c r="N293" t="s">
        <v>470</v>
      </c>
      <c r="O293" t="s">
        <v>531</v>
      </c>
      <c r="P293"/>
      <c r="Q293"/>
      <c r="R293" t="s">
        <v>444</v>
      </c>
      <c r="S293" t="s">
        <v>885</v>
      </c>
      <c r="T293" s="16"/>
      <c r="U293"/>
      <c r="V293" s="16">
        <v>45976.572916666664</v>
      </c>
      <c r="W293" t="s">
        <v>884</v>
      </c>
      <c r="X293" s="16">
        <v>45971.572916666664</v>
      </c>
      <c r="Y293">
        <v>7.2</v>
      </c>
      <c r="Z293"/>
      <c r="AA293" t="s">
        <v>2342</v>
      </c>
      <c r="AB293"/>
      <c r="AC293" t="s">
        <v>41</v>
      </c>
      <c r="AD293"/>
      <c r="AE293">
        <v>2</v>
      </c>
      <c r="AF293" t="s">
        <v>41</v>
      </c>
      <c r="AG293"/>
      <c r="AH293"/>
      <c r="AI293"/>
      <c r="AJ293"/>
      <c r="AK293">
        <v>361</v>
      </c>
    </row>
    <row r="294" spans="1:37" x14ac:dyDescent="0.2">
      <c r="A294" t="s">
        <v>930</v>
      </c>
      <c r="B294" t="s">
        <v>3038</v>
      </c>
      <c r="C294">
        <v>28</v>
      </c>
      <c r="D294" t="s">
        <v>1829</v>
      </c>
      <c r="E294" t="s">
        <v>1830</v>
      </c>
      <c r="F294" t="s">
        <v>444</v>
      </c>
      <c r="G294" t="s">
        <v>535</v>
      </c>
      <c r="H294" t="s">
        <v>3052</v>
      </c>
      <c r="I294" t="s">
        <v>932</v>
      </c>
      <c r="J294" t="s">
        <v>884</v>
      </c>
      <c r="K294" t="s">
        <v>884</v>
      </c>
      <c r="L294" t="s">
        <v>2121</v>
      </c>
      <c r="M294" t="s">
        <v>890</v>
      </c>
      <c r="N294" t="s">
        <v>494</v>
      </c>
      <c r="O294" t="s">
        <v>531</v>
      </c>
      <c r="P294"/>
      <c r="Q294"/>
      <c r="R294" t="s">
        <v>444</v>
      </c>
      <c r="S294" t="s">
        <v>885</v>
      </c>
      <c r="T294" s="16">
        <v>45799</v>
      </c>
      <c r="U294"/>
      <c r="V294" s="16"/>
      <c r="W294" t="s">
        <v>884</v>
      </c>
      <c r="X294" s="16">
        <v>45952.590277777781</v>
      </c>
      <c r="Y294">
        <v>26.2</v>
      </c>
      <c r="Z294"/>
      <c r="AA294" t="s">
        <v>2522</v>
      </c>
      <c r="AB294" t="s">
        <v>2130</v>
      </c>
      <c r="AC294" t="s">
        <v>41</v>
      </c>
      <c r="AD294"/>
      <c r="AE294">
        <v>1</v>
      </c>
      <c r="AF294" t="s">
        <v>41</v>
      </c>
      <c r="AG294"/>
      <c r="AH294"/>
      <c r="AI294"/>
      <c r="AJ294"/>
      <c r="AK294">
        <v>361</v>
      </c>
    </row>
    <row r="295" spans="1:37" x14ac:dyDescent="0.2">
      <c r="A295" t="s">
        <v>924</v>
      </c>
      <c r="B295" t="s">
        <v>3038</v>
      </c>
      <c r="C295">
        <v>7</v>
      </c>
      <c r="D295" t="s">
        <v>1869</v>
      </c>
      <c r="E295" t="s">
        <v>2561</v>
      </c>
      <c r="F295" t="s">
        <v>444</v>
      </c>
      <c r="G295" t="s">
        <v>468</v>
      </c>
      <c r="H295" t="s">
        <v>3052</v>
      </c>
      <c r="I295" t="s">
        <v>932</v>
      </c>
      <c r="J295" t="s">
        <v>884</v>
      </c>
      <c r="K295" t="s">
        <v>884</v>
      </c>
      <c r="L295" t="s">
        <v>2121</v>
      </c>
      <c r="M295" t="s">
        <v>890</v>
      </c>
      <c r="N295" t="s">
        <v>494</v>
      </c>
      <c r="O295" t="s">
        <v>737</v>
      </c>
      <c r="P295" t="s">
        <v>471</v>
      </c>
      <c r="Q295"/>
      <c r="R295" t="s">
        <v>444</v>
      </c>
      <c r="S295" t="s">
        <v>885</v>
      </c>
      <c r="T295" s="16">
        <v>45799</v>
      </c>
      <c r="U295"/>
      <c r="V295" s="16"/>
      <c r="W295" t="s">
        <v>884</v>
      </c>
      <c r="X295" s="16">
        <v>45950.519444444442</v>
      </c>
      <c r="Y295">
        <v>28.3</v>
      </c>
      <c r="Z295"/>
      <c r="AA295" t="s">
        <v>737</v>
      </c>
      <c r="AB295" t="s">
        <v>1208</v>
      </c>
      <c r="AC295" t="s">
        <v>41</v>
      </c>
      <c r="AD295"/>
      <c r="AE295">
        <v>2</v>
      </c>
      <c r="AF295" t="s">
        <v>41</v>
      </c>
      <c r="AG295"/>
      <c r="AH295"/>
      <c r="AI295"/>
      <c r="AJ295"/>
      <c r="AK295">
        <v>361</v>
      </c>
    </row>
    <row r="296" spans="1:37" x14ac:dyDescent="0.2">
      <c r="A296" t="s">
        <v>924</v>
      </c>
      <c r="B296" t="s">
        <v>3038</v>
      </c>
      <c r="C296">
        <v>7</v>
      </c>
      <c r="D296" t="s">
        <v>1865</v>
      </c>
      <c r="E296" t="s">
        <v>1866</v>
      </c>
      <c r="F296" t="s">
        <v>444</v>
      </c>
      <c r="G296" t="s">
        <v>510</v>
      </c>
      <c r="H296" t="s">
        <v>2995</v>
      </c>
      <c r="I296" t="s">
        <v>948</v>
      </c>
      <c r="J296" t="s">
        <v>884</v>
      </c>
      <c r="K296" t="s">
        <v>884</v>
      </c>
      <c r="L296" t="s">
        <v>922</v>
      </c>
      <c r="M296" t="s">
        <v>886</v>
      </c>
      <c r="N296" t="s">
        <v>494</v>
      </c>
      <c r="O296" t="s">
        <v>737</v>
      </c>
      <c r="P296" t="s">
        <v>735</v>
      </c>
      <c r="Q296"/>
      <c r="R296" t="s">
        <v>444</v>
      </c>
      <c r="S296" t="s">
        <v>885</v>
      </c>
      <c r="T296" s="16">
        <v>44855</v>
      </c>
      <c r="U296"/>
      <c r="V296" s="16">
        <v>45955.609722222223</v>
      </c>
      <c r="W296" t="s">
        <v>884</v>
      </c>
      <c r="X296" s="16">
        <v>45950.609722222223</v>
      </c>
      <c r="Y296">
        <v>28.2</v>
      </c>
      <c r="Z296"/>
      <c r="AA296" t="s">
        <v>737</v>
      </c>
      <c r="AB296" t="s">
        <v>916</v>
      </c>
      <c r="AC296" t="s">
        <v>41</v>
      </c>
      <c r="AD296"/>
      <c r="AE296">
        <v>3</v>
      </c>
      <c r="AF296" t="s">
        <v>41</v>
      </c>
      <c r="AG296"/>
      <c r="AH296"/>
      <c r="AI296"/>
      <c r="AJ296"/>
      <c r="AK296">
        <v>361</v>
      </c>
    </row>
    <row r="297" spans="1:37" x14ac:dyDescent="0.2">
      <c r="A297" t="s">
        <v>924</v>
      </c>
      <c r="B297" t="s">
        <v>3038</v>
      </c>
      <c r="C297">
        <v>7</v>
      </c>
      <c r="D297" t="s">
        <v>1831</v>
      </c>
      <c r="E297" t="s">
        <v>1832</v>
      </c>
      <c r="F297" t="s">
        <v>444</v>
      </c>
      <c r="G297" t="s">
        <v>535</v>
      </c>
      <c r="H297" t="s">
        <v>3052</v>
      </c>
      <c r="I297" t="s">
        <v>932</v>
      </c>
      <c r="J297" t="s">
        <v>884</v>
      </c>
      <c r="K297" t="s">
        <v>884</v>
      </c>
      <c r="L297" t="s">
        <v>2121</v>
      </c>
      <c r="M297" t="s">
        <v>890</v>
      </c>
      <c r="N297" t="s">
        <v>461</v>
      </c>
      <c r="O297" t="s">
        <v>737</v>
      </c>
      <c r="P297"/>
      <c r="Q297">
        <v>941000031683741</v>
      </c>
      <c r="R297" t="s">
        <v>444</v>
      </c>
      <c r="S297" t="s">
        <v>885</v>
      </c>
      <c r="T297" s="16">
        <v>45799</v>
      </c>
      <c r="U297"/>
      <c r="V297" s="16"/>
      <c r="W297" t="s">
        <v>892</v>
      </c>
      <c r="X297" s="16">
        <v>45952.590277777781</v>
      </c>
      <c r="Y297">
        <v>26.2</v>
      </c>
      <c r="Z297"/>
      <c r="AA297" t="s">
        <v>737</v>
      </c>
      <c r="AB297" t="s">
        <v>2128</v>
      </c>
      <c r="AC297" t="s">
        <v>41</v>
      </c>
      <c r="AD297"/>
      <c r="AE297">
        <v>1</v>
      </c>
      <c r="AF297" t="s">
        <v>41</v>
      </c>
      <c r="AG297"/>
      <c r="AH297"/>
      <c r="AI297"/>
      <c r="AJ297"/>
      <c r="AK297">
        <v>361</v>
      </c>
    </row>
    <row r="298" spans="1:37" x14ac:dyDescent="0.2">
      <c r="A298" t="s">
        <v>924</v>
      </c>
      <c r="B298" t="s">
        <v>3038</v>
      </c>
      <c r="C298">
        <v>7</v>
      </c>
      <c r="D298" t="s">
        <v>1808</v>
      </c>
      <c r="E298" t="s">
        <v>1809</v>
      </c>
      <c r="F298" t="s">
        <v>444</v>
      </c>
      <c r="G298" t="s">
        <v>451</v>
      </c>
      <c r="H298" t="s">
        <v>3006</v>
      </c>
      <c r="I298" t="s">
        <v>903</v>
      </c>
      <c r="J298"/>
      <c r="K298" t="s">
        <v>884</v>
      </c>
      <c r="L298" t="s">
        <v>2052</v>
      </c>
      <c r="M298" t="s">
        <v>886</v>
      </c>
      <c r="N298" t="s">
        <v>494</v>
      </c>
      <c r="O298" t="s">
        <v>737</v>
      </c>
      <c r="P298"/>
      <c r="Q298"/>
      <c r="R298" t="s">
        <v>444</v>
      </c>
      <c r="S298" t="s">
        <v>885</v>
      </c>
      <c r="T298" s="16">
        <v>45866</v>
      </c>
      <c r="U298"/>
      <c r="V298" s="16">
        <v>45956.645138888889</v>
      </c>
      <c r="W298" t="s">
        <v>884</v>
      </c>
      <c r="X298" s="16">
        <v>45951.645138888889</v>
      </c>
      <c r="Y298">
        <v>27.1</v>
      </c>
      <c r="Z298"/>
      <c r="AA298" t="s">
        <v>737</v>
      </c>
      <c r="AB298" t="s">
        <v>2036</v>
      </c>
      <c r="AC298" t="s">
        <v>41</v>
      </c>
      <c r="AD298"/>
      <c r="AE298">
        <v>1</v>
      </c>
      <c r="AF298" t="s">
        <v>41</v>
      </c>
      <c r="AG298"/>
      <c r="AH298"/>
      <c r="AI298"/>
      <c r="AJ298"/>
      <c r="AK298">
        <v>361</v>
      </c>
    </row>
    <row r="299" spans="1:37" x14ac:dyDescent="0.2">
      <c r="A299" t="s">
        <v>924</v>
      </c>
      <c r="B299" t="s">
        <v>3038</v>
      </c>
      <c r="C299">
        <v>7</v>
      </c>
      <c r="D299" t="s">
        <v>2375</v>
      </c>
      <c r="E299" t="s">
        <v>2376</v>
      </c>
      <c r="F299" t="s">
        <v>444</v>
      </c>
      <c r="G299" t="s">
        <v>649</v>
      </c>
      <c r="H299" t="s">
        <v>3053</v>
      </c>
      <c r="I299" t="s">
        <v>2129</v>
      </c>
      <c r="J299"/>
      <c r="K299" t="s">
        <v>884</v>
      </c>
      <c r="L299" t="s">
        <v>887</v>
      </c>
      <c r="M299" t="s">
        <v>890</v>
      </c>
      <c r="N299" t="s">
        <v>470</v>
      </c>
      <c r="O299" t="s">
        <v>737</v>
      </c>
      <c r="P299" t="s">
        <v>679</v>
      </c>
      <c r="Q299"/>
      <c r="R299" t="s">
        <v>444</v>
      </c>
      <c r="S299" t="s">
        <v>885</v>
      </c>
      <c r="T299" s="16">
        <v>44149</v>
      </c>
      <c r="U299"/>
      <c r="V299" s="16">
        <v>45972.638888888891</v>
      </c>
      <c r="W299" t="s">
        <v>884</v>
      </c>
      <c r="X299" s="16">
        <v>45967.638888888891</v>
      </c>
      <c r="Y299">
        <v>11.1</v>
      </c>
      <c r="Z299"/>
      <c r="AA299" t="s">
        <v>737</v>
      </c>
      <c r="AB299" t="s">
        <v>3054</v>
      </c>
      <c r="AC299" t="s">
        <v>41</v>
      </c>
      <c r="AD299"/>
      <c r="AE299">
        <v>2</v>
      </c>
      <c r="AF299" t="s">
        <v>41</v>
      </c>
      <c r="AG299"/>
      <c r="AH299"/>
      <c r="AI299"/>
      <c r="AJ299"/>
      <c r="AK299">
        <v>361</v>
      </c>
    </row>
    <row r="300" spans="1:37" x14ac:dyDescent="0.2">
      <c r="A300" t="s">
        <v>924</v>
      </c>
      <c r="B300" t="s">
        <v>3038</v>
      </c>
      <c r="C300">
        <v>7</v>
      </c>
      <c r="D300" t="s">
        <v>2358</v>
      </c>
      <c r="E300"/>
      <c r="F300" t="s">
        <v>444</v>
      </c>
      <c r="G300" t="s">
        <v>397</v>
      </c>
      <c r="H300" t="s">
        <v>3055</v>
      </c>
      <c r="I300" t="s">
        <v>2129</v>
      </c>
      <c r="J300"/>
      <c r="K300" t="s">
        <v>884</v>
      </c>
      <c r="L300" t="s">
        <v>887</v>
      </c>
      <c r="M300" t="s">
        <v>886</v>
      </c>
      <c r="N300" t="s">
        <v>470</v>
      </c>
      <c r="O300" t="s">
        <v>737</v>
      </c>
      <c r="P300"/>
      <c r="Q300"/>
      <c r="R300" t="s">
        <v>444</v>
      </c>
      <c r="S300" t="s">
        <v>885</v>
      </c>
      <c r="T300" s="16">
        <v>43048</v>
      </c>
      <c r="U300"/>
      <c r="V300" s="16">
        <v>45975.570138888892</v>
      </c>
      <c r="W300" t="s">
        <v>884</v>
      </c>
      <c r="X300" s="16">
        <v>45970.570138888892</v>
      </c>
      <c r="Y300">
        <v>8.1999999999999993</v>
      </c>
      <c r="Z300"/>
      <c r="AA300" t="s">
        <v>737</v>
      </c>
      <c r="AB300" t="s">
        <v>909</v>
      </c>
      <c r="AC300" t="s">
        <v>41</v>
      </c>
      <c r="AD300"/>
      <c r="AE300">
        <v>1</v>
      </c>
      <c r="AF300" t="s">
        <v>41</v>
      </c>
      <c r="AG300"/>
      <c r="AH300"/>
      <c r="AI300"/>
      <c r="AJ300"/>
      <c r="AK300">
        <v>361</v>
      </c>
    </row>
    <row r="301" spans="1:37" x14ac:dyDescent="0.2">
      <c r="A301" t="s">
        <v>924</v>
      </c>
      <c r="B301" t="s">
        <v>3038</v>
      </c>
      <c r="C301">
        <v>7</v>
      </c>
      <c r="D301" t="s">
        <v>2259</v>
      </c>
      <c r="E301"/>
      <c r="F301" t="s">
        <v>444</v>
      </c>
      <c r="G301" t="s">
        <v>460</v>
      </c>
      <c r="H301" t="s">
        <v>2988</v>
      </c>
      <c r="I301" t="s">
        <v>903</v>
      </c>
      <c r="J301"/>
      <c r="K301" t="s">
        <v>884</v>
      </c>
      <c r="L301" t="s">
        <v>922</v>
      </c>
      <c r="M301" t="s">
        <v>886</v>
      </c>
      <c r="N301" t="s">
        <v>749</v>
      </c>
      <c r="O301" t="s">
        <v>737</v>
      </c>
      <c r="P301"/>
      <c r="Q301"/>
      <c r="R301" t="s">
        <v>444</v>
      </c>
      <c r="S301" t="s">
        <v>885</v>
      </c>
      <c r="T301" s="16">
        <v>45613</v>
      </c>
      <c r="U301"/>
      <c r="V301" s="16">
        <v>45983.507638888892</v>
      </c>
      <c r="W301" t="s">
        <v>884</v>
      </c>
      <c r="X301" s="16">
        <v>45978.507638888892</v>
      </c>
      <c r="Y301">
        <v>0.3</v>
      </c>
      <c r="Z301"/>
      <c r="AA301" t="s">
        <v>737</v>
      </c>
      <c r="AB301"/>
      <c r="AC301" t="s">
        <v>41</v>
      </c>
      <c r="AD301"/>
      <c r="AE301">
        <v>1</v>
      </c>
      <c r="AF301" t="s">
        <v>41</v>
      </c>
      <c r="AG301"/>
      <c r="AH301"/>
      <c r="AI301"/>
      <c r="AJ301"/>
      <c r="AK301">
        <v>361</v>
      </c>
    </row>
    <row r="302" spans="1:37" x14ac:dyDescent="0.2">
      <c r="A302" t="s">
        <v>2134</v>
      </c>
      <c r="B302" t="s">
        <v>3056</v>
      </c>
      <c r="C302">
        <v>23</v>
      </c>
      <c r="D302" t="s">
        <v>2409</v>
      </c>
      <c r="E302" t="s">
        <v>2410</v>
      </c>
      <c r="F302" t="s">
        <v>443</v>
      </c>
      <c r="G302" t="s">
        <v>34</v>
      </c>
      <c r="H302" t="s">
        <v>3005</v>
      </c>
      <c r="I302" t="s">
        <v>903</v>
      </c>
      <c r="J302"/>
      <c r="K302" t="s">
        <v>884</v>
      </c>
      <c r="L302" t="s">
        <v>922</v>
      </c>
      <c r="M302" t="s">
        <v>890</v>
      </c>
      <c r="N302" t="s">
        <v>494</v>
      </c>
      <c r="O302" t="s">
        <v>502</v>
      </c>
      <c r="P302"/>
      <c r="Q302"/>
      <c r="R302" t="s">
        <v>443</v>
      </c>
      <c r="S302" t="s">
        <v>885</v>
      </c>
      <c r="T302" s="16">
        <v>45874</v>
      </c>
      <c r="U302"/>
      <c r="V302" s="16">
        <v>45971.487500000003</v>
      </c>
      <c r="W302" t="s">
        <v>884</v>
      </c>
      <c r="X302" s="16">
        <v>45966.487500000003</v>
      </c>
      <c r="Y302">
        <v>12.3</v>
      </c>
      <c r="Z302"/>
      <c r="AA302">
        <v>1</v>
      </c>
      <c r="AB302" t="s">
        <v>3057</v>
      </c>
      <c r="AC302" t="s">
        <v>41</v>
      </c>
      <c r="AD302"/>
      <c r="AE302">
        <v>2</v>
      </c>
      <c r="AF302" t="s">
        <v>41</v>
      </c>
      <c r="AG302"/>
      <c r="AH302"/>
      <c r="AI302"/>
      <c r="AJ302"/>
      <c r="AK302">
        <v>361</v>
      </c>
    </row>
    <row r="303" spans="1:37" x14ac:dyDescent="0.2">
      <c r="A303" t="s">
        <v>2134</v>
      </c>
      <c r="B303" t="s">
        <v>3056</v>
      </c>
      <c r="C303">
        <v>23</v>
      </c>
      <c r="D303" t="s">
        <v>2406</v>
      </c>
      <c r="E303" t="s">
        <v>2407</v>
      </c>
      <c r="F303" t="s">
        <v>443</v>
      </c>
      <c r="G303" t="s">
        <v>34</v>
      </c>
      <c r="H303" t="s">
        <v>3005</v>
      </c>
      <c r="I303" t="s">
        <v>897</v>
      </c>
      <c r="J303"/>
      <c r="K303" t="s">
        <v>884</v>
      </c>
      <c r="L303" t="s">
        <v>922</v>
      </c>
      <c r="M303" t="s">
        <v>886</v>
      </c>
      <c r="N303" t="s">
        <v>494</v>
      </c>
      <c r="O303" t="s">
        <v>502</v>
      </c>
      <c r="P303"/>
      <c r="Q303"/>
      <c r="R303" t="s">
        <v>443</v>
      </c>
      <c r="S303" t="s">
        <v>885</v>
      </c>
      <c r="T303" s="16">
        <v>45874</v>
      </c>
      <c r="U303"/>
      <c r="V303" s="16">
        <v>45971.487500000003</v>
      </c>
      <c r="W303" t="s">
        <v>884</v>
      </c>
      <c r="X303" s="16">
        <v>45966.487500000003</v>
      </c>
      <c r="Y303">
        <v>12.3</v>
      </c>
      <c r="Z303"/>
      <c r="AA303">
        <v>1</v>
      </c>
      <c r="AB303" t="s">
        <v>3058</v>
      </c>
      <c r="AC303" t="s">
        <v>41</v>
      </c>
      <c r="AD303"/>
      <c r="AE303">
        <v>2</v>
      </c>
      <c r="AF303" t="s">
        <v>41</v>
      </c>
      <c r="AG303"/>
      <c r="AH303"/>
      <c r="AI303"/>
      <c r="AJ303"/>
      <c r="AK303">
        <v>361</v>
      </c>
    </row>
    <row r="304" spans="1:37" x14ac:dyDescent="0.2">
      <c r="A304" t="s">
        <v>2134</v>
      </c>
      <c r="B304" t="s">
        <v>3056</v>
      </c>
      <c r="C304">
        <v>23</v>
      </c>
      <c r="D304" t="s">
        <v>2402</v>
      </c>
      <c r="E304" t="s">
        <v>2403</v>
      </c>
      <c r="F304" t="s">
        <v>443</v>
      </c>
      <c r="G304" t="s">
        <v>34</v>
      </c>
      <c r="H304" t="s">
        <v>3005</v>
      </c>
      <c r="I304" t="s">
        <v>897</v>
      </c>
      <c r="J304"/>
      <c r="K304" t="s">
        <v>884</v>
      </c>
      <c r="L304" t="s">
        <v>922</v>
      </c>
      <c r="M304" t="s">
        <v>890</v>
      </c>
      <c r="N304" t="s">
        <v>494</v>
      </c>
      <c r="O304" t="s">
        <v>502</v>
      </c>
      <c r="P304"/>
      <c r="Q304"/>
      <c r="R304" t="s">
        <v>443</v>
      </c>
      <c r="S304" t="s">
        <v>885</v>
      </c>
      <c r="T304" s="16">
        <v>45874</v>
      </c>
      <c r="U304"/>
      <c r="V304" s="16">
        <v>45971.487500000003</v>
      </c>
      <c r="W304" t="s">
        <v>884</v>
      </c>
      <c r="X304" s="16">
        <v>45966.487500000003</v>
      </c>
      <c r="Y304">
        <v>12.3</v>
      </c>
      <c r="Z304"/>
      <c r="AA304">
        <v>1</v>
      </c>
      <c r="AB304" t="s">
        <v>3059</v>
      </c>
      <c r="AC304" t="s">
        <v>41</v>
      </c>
      <c r="AD304"/>
      <c r="AE304">
        <v>2</v>
      </c>
      <c r="AF304" t="s">
        <v>41</v>
      </c>
      <c r="AG304"/>
      <c r="AH304"/>
      <c r="AI304"/>
      <c r="AJ304"/>
      <c r="AK304">
        <v>361</v>
      </c>
    </row>
    <row r="305" spans="1:37" x14ac:dyDescent="0.2">
      <c r="A305" t="s">
        <v>2134</v>
      </c>
      <c r="B305" t="s">
        <v>3056</v>
      </c>
      <c r="C305">
        <v>23</v>
      </c>
      <c r="D305" t="s">
        <v>806</v>
      </c>
      <c r="E305" t="s">
        <v>805</v>
      </c>
      <c r="F305" t="s">
        <v>443</v>
      </c>
      <c r="G305" t="s">
        <v>34</v>
      </c>
      <c r="H305" t="s">
        <v>2696</v>
      </c>
      <c r="I305" t="s">
        <v>894</v>
      </c>
      <c r="J305"/>
      <c r="K305" t="s">
        <v>884</v>
      </c>
      <c r="L305" t="s">
        <v>887</v>
      </c>
      <c r="M305" t="s">
        <v>886</v>
      </c>
      <c r="N305" t="s">
        <v>494</v>
      </c>
      <c r="O305" t="s">
        <v>502</v>
      </c>
      <c r="P305"/>
      <c r="Q305"/>
      <c r="R305" t="s">
        <v>443</v>
      </c>
      <c r="S305" t="s">
        <v>885</v>
      </c>
      <c r="T305" s="16">
        <v>44835</v>
      </c>
      <c r="U305"/>
      <c r="V305" s="16">
        <v>45920.652777777781</v>
      </c>
      <c r="W305" t="s">
        <v>884</v>
      </c>
      <c r="X305" s="16">
        <v>45915.652777777781</v>
      </c>
      <c r="Y305">
        <v>63.1</v>
      </c>
      <c r="Z305"/>
      <c r="AA305">
        <v>2</v>
      </c>
      <c r="AB305" t="s">
        <v>2003</v>
      </c>
      <c r="AC305" t="s">
        <v>41</v>
      </c>
      <c r="AD305"/>
      <c r="AE305">
        <v>1</v>
      </c>
      <c r="AF305" t="s">
        <v>41</v>
      </c>
      <c r="AG305"/>
      <c r="AH305"/>
      <c r="AI305"/>
      <c r="AJ305"/>
      <c r="AK305">
        <v>361</v>
      </c>
    </row>
    <row r="306" spans="1:37" x14ac:dyDescent="0.2">
      <c r="A306" t="s">
        <v>2134</v>
      </c>
      <c r="B306" t="s">
        <v>3056</v>
      </c>
      <c r="C306">
        <v>23</v>
      </c>
      <c r="D306" t="s">
        <v>808</v>
      </c>
      <c r="E306" t="s">
        <v>807</v>
      </c>
      <c r="F306" t="s">
        <v>443</v>
      </c>
      <c r="G306" t="s">
        <v>34</v>
      </c>
      <c r="H306" t="s">
        <v>2104</v>
      </c>
      <c r="I306" t="s">
        <v>894</v>
      </c>
      <c r="J306"/>
      <c r="K306" t="s">
        <v>884</v>
      </c>
      <c r="L306" t="s">
        <v>887</v>
      </c>
      <c r="M306" t="s">
        <v>886</v>
      </c>
      <c r="N306" t="s">
        <v>731</v>
      </c>
      <c r="O306" t="s">
        <v>502</v>
      </c>
      <c r="P306"/>
      <c r="Q306"/>
      <c r="R306" t="s">
        <v>443</v>
      </c>
      <c r="S306" t="s">
        <v>885</v>
      </c>
      <c r="T306" s="16">
        <v>45901</v>
      </c>
      <c r="U306"/>
      <c r="V306" s="16">
        <v>45920.652777777781</v>
      </c>
      <c r="W306" t="s">
        <v>884</v>
      </c>
      <c r="X306" s="16">
        <v>45915.652777777781</v>
      </c>
      <c r="Y306">
        <v>63.1</v>
      </c>
      <c r="Z306"/>
      <c r="AA306">
        <v>2</v>
      </c>
      <c r="AB306" t="s">
        <v>2135</v>
      </c>
      <c r="AC306" t="s">
        <v>41</v>
      </c>
      <c r="AD306"/>
      <c r="AE306">
        <v>2</v>
      </c>
      <c r="AF306" t="s">
        <v>41</v>
      </c>
      <c r="AG306"/>
      <c r="AH306"/>
      <c r="AI306"/>
      <c r="AJ306"/>
      <c r="AK306">
        <v>361</v>
      </c>
    </row>
    <row r="307" spans="1:37" x14ac:dyDescent="0.2">
      <c r="A307" t="s">
        <v>2134</v>
      </c>
      <c r="B307" t="s">
        <v>3056</v>
      </c>
      <c r="C307">
        <v>23</v>
      </c>
      <c r="D307" t="s">
        <v>809</v>
      </c>
      <c r="E307" t="s">
        <v>2693</v>
      </c>
      <c r="F307" t="s">
        <v>443</v>
      </c>
      <c r="G307" t="s">
        <v>34</v>
      </c>
      <c r="H307" t="s">
        <v>2104</v>
      </c>
      <c r="I307" t="s">
        <v>894</v>
      </c>
      <c r="J307"/>
      <c r="K307" t="s">
        <v>884</v>
      </c>
      <c r="L307" t="s">
        <v>887</v>
      </c>
      <c r="M307" t="s">
        <v>890</v>
      </c>
      <c r="N307" t="s">
        <v>494</v>
      </c>
      <c r="O307" t="s">
        <v>502</v>
      </c>
      <c r="P307"/>
      <c r="Q307"/>
      <c r="R307" t="s">
        <v>443</v>
      </c>
      <c r="S307" t="s">
        <v>885</v>
      </c>
      <c r="T307" s="16">
        <v>45901</v>
      </c>
      <c r="U307"/>
      <c r="V307" s="16">
        <v>45920.657638888886</v>
      </c>
      <c r="W307" t="s">
        <v>884</v>
      </c>
      <c r="X307" s="16">
        <v>45915.657638888886</v>
      </c>
      <c r="Y307">
        <v>63.1</v>
      </c>
      <c r="Z307"/>
      <c r="AA307">
        <v>2</v>
      </c>
      <c r="AB307" t="s">
        <v>2090</v>
      </c>
      <c r="AC307" t="s">
        <v>41</v>
      </c>
      <c r="AD307"/>
      <c r="AE307">
        <v>2</v>
      </c>
      <c r="AF307" t="s">
        <v>41</v>
      </c>
      <c r="AG307"/>
      <c r="AH307"/>
      <c r="AI307"/>
      <c r="AJ307"/>
      <c r="AK307">
        <v>361</v>
      </c>
    </row>
    <row r="308" spans="1:37" x14ac:dyDescent="0.2">
      <c r="A308" t="s">
        <v>2134</v>
      </c>
      <c r="B308" t="s">
        <v>3056</v>
      </c>
      <c r="C308">
        <v>23</v>
      </c>
      <c r="D308" t="s">
        <v>811</v>
      </c>
      <c r="E308" t="s">
        <v>810</v>
      </c>
      <c r="F308" t="s">
        <v>443</v>
      </c>
      <c r="G308" t="s">
        <v>34</v>
      </c>
      <c r="H308" t="s">
        <v>2104</v>
      </c>
      <c r="I308" t="s">
        <v>2019</v>
      </c>
      <c r="J308"/>
      <c r="K308" t="s">
        <v>884</v>
      </c>
      <c r="L308" t="s">
        <v>887</v>
      </c>
      <c r="M308" t="s">
        <v>890</v>
      </c>
      <c r="N308" t="s">
        <v>731</v>
      </c>
      <c r="O308" t="s">
        <v>502</v>
      </c>
      <c r="P308"/>
      <c r="Q308"/>
      <c r="R308" t="s">
        <v>443</v>
      </c>
      <c r="S308" t="s">
        <v>885</v>
      </c>
      <c r="T308" s="16">
        <v>45901</v>
      </c>
      <c r="U308"/>
      <c r="V308" s="16">
        <v>45920.657638888886</v>
      </c>
      <c r="W308" t="s">
        <v>884</v>
      </c>
      <c r="X308" s="16">
        <v>45915.657638888886</v>
      </c>
      <c r="Y308">
        <v>63.1</v>
      </c>
      <c r="Z308"/>
      <c r="AA308">
        <v>2</v>
      </c>
      <c r="AB308" t="s">
        <v>2090</v>
      </c>
      <c r="AC308" t="s">
        <v>41</v>
      </c>
      <c r="AD308"/>
      <c r="AE308">
        <v>2</v>
      </c>
      <c r="AF308" t="s">
        <v>41</v>
      </c>
      <c r="AG308"/>
      <c r="AH308"/>
      <c r="AI308"/>
      <c r="AJ308"/>
      <c r="AK308">
        <v>361</v>
      </c>
    </row>
    <row r="309" spans="1:37" x14ac:dyDescent="0.2">
      <c r="A309" t="s">
        <v>2134</v>
      </c>
      <c r="B309" t="s">
        <v>3056</v>
      </c>
      <c r="C309">
        <v>23</v>
      </c>
      <c r="D309" t="s">
        <v>813</v>
      </c>
      <c r="E309" t="s">
        <v>812</v>
      </c>
      <c r="F309" t="s">
        <v>443</v>
      </c>
      <c r="G309" t="s">
        <v>34</v>
      </c>
      <c r="H309" t="s">
        <v>2104</v>
      </c>
      <c r="I309" t="s">
        <v>894</v>
      </c>
      <c r="J309"/>
      <c r="K309" t="s">
        <v>884</v>
      </c>
      <c r="L309" t="s">
        <v>887</v>
      </c>
      <c r="M309" t="s">
        <v>890</v>
      </c>
      <c r="N309" t="s">
        <v>731</v>
      </c>
      <c r="O309" t="s">
        <v>502</v>
      </c>
      <c r="P309"/>
      <c r="Q309"/>
      <c r="R309" t="s">
        <v>443</v>
      </c>
      <c r="S309" t="s">
        <v>885</v>
      </c>
      <c r="T309" s="16">
        <v>45901</v>
      </c>
      <c r="U309"/>
      <c r="V309" s="16">
        <v>45920.657638888886</v>
      </c>
      <c r="W309" t="s">
        <v>884</v>
      </c>
      <c r="X309" s="16">
        <v>45915.657638888886</v>
      </c>
      <c r="Y309">
        <v>63.1</v>
      </c>
      <c r="Z309"/>
      <c r="AA309">
        <v>2</v>
      </c>
      <c r="AB309" t="s">
        <v>2090</v>
      </c>
      <c r="AC309" t="s">
        <v>41</v>
      </c>
      <c r="AD309"/>
      <c r="AE309">
        <v>2</v>
      </c>
      <c r="AF309" t="s">
        <v>41</v>
      </c>
      <c r="AG309"/>
      <c r="AH309"/>
      <c r="AI309"/>
      <c r="AJ309"/>
      <c r="AK309">
        <v>361</v>
      </c>
    </row>
    <row r="310" spans="1:37" x14ac:dyDescent="0.2">
      <c r="A310" t="s">
        <v>2134</v>
      </c>
      <c r="B310" t="s">
        <v>3056</v>
      </c>
      <c r="C310">
        <v>23</v>
      </c>
      <c r="D310" t="s">
        <v>1852</v>
      </c>
      <c r="E310" t="s">
        <v>1853</v>
      </c>
      <c r="F310" t="s">
        <v>443</v>
      </c>
      <c r="G310" t="s">
        <v>34</v>
      </c>
      <c r="H310" t="s">
        <v>1483</v>
      </c>
      <c r="I310" t="s">
        <v>897</v>
      </c>
      <c r="J310"/>
      <c r="K310" t="s">
        <v>884</v>
      </c>
      <c r="L310" t="s">
        <v>922</v>
      </c>
      <c r="M310" t="s">
        <v>886</v>
      </c>
      <c r="N310" t="s">
        <v>749</v>
      </c>
      <c r="O310" t="s">
        <v>502</v>
      </c>
      <c r="P310"/>
      <c r="Q310"/>
      <c r="R310" t="s">
        <v>443</v>
      </c>
      <c r="S310" t="s">
        <v>885</v>
      </c>
      <c r="T310" s="16">
        <v>45910</v>
      </c>
      <c r="U310"/>
      <c r="V310" s="16">
        <v>45956.593055555553</v>
      </c>
      <c r="W310" t="s">
        <v>884</v>
      </c>
      <c r="X310" s="16">
        <v>45951.593055555553</v>
      </c>
      <c r="Y310">
        <v>27.2</v>
      </c>
      <c r="Z310"/>
      <c r="AA310">
        <v>3</v>
      </c>
      <c r="AB310" t="s">
        <v>2137</v>
      </c>
      <c r="AC310" t="s">
        <v>41</v>
      </c>
      <c r="AD310"/>
      <c r="AE310">
        <v>2</v>
      </c>
      <c r="AF310" t="s">
        <v>41</v>
      </c>
      <c r="AG310"/>
      <c r="AH310"/>
      <c r="AI310"/>
      <c r="AJ310"/>
      <c r="AK310">
        <v>361</v>
      </c>
    </row>
    <row r="311" spans="1:37" x14ac:dyDescent="0.2">
      <c r="A311" t="s">
        <v>2134</v>
      </c>
      <c r="B311" t="s">
        <v>3056</v>
      </c>
      <c r="C311">
        <v>23</v>
      </c>
      <c r="D311" t="s">
        <v>1850</v>
      </c>
      <c r="E311" t="s">
        <v>1851</v>
      </c>
      <c r="F311" t="s">
        <v>443</v>
      </c>
      <c r="G311" t="s">
        <v>34</v>
      </c>
      <c r="H311" t="s">
        <v>1483</v>
      </c>
      <c r="I311" t="s">
        <v>897</v>
      </c>
      <c r="J311"/>
      <c r="K311" t="s">
        <v>884</v>
      </c>
      <c r="L311" t="s">
        <v>922</v>
      </c>
      <c r="M311" t="s">
        <v>890</v>
      </c>
      <c r="N311" t="s">
        <v>749</v>
      </c>
      <c r="O311" t="s">
        <v>502</v>
      </c>
      <c r="P311"/>
      <c r="Q311"/>
      <c r="R311" t="s">
        <v>443</v>
      </c>
      <c r="S311" t="s">
        <v>885</v>
      </c>
      <c r="T311" s="16">
        <v>45910</v>
      </c>
      <c r="U311"/>
      <c r="V311" s="16">
        <v>45956.593055555553</v>
      </c>
      <c r="W311" t="s">
        <v>884</v>
      </c>
      <c r="X311" s="16">
        <v>45951.593055555553</v>
      </c>
      <c r="Y311">
        <v>27.2</v>
      </c>
      <c r="Z311"/>
      <c r="AA311">
        <v>3</v>
      </c>
      <c r="AB311" t="s">
        <v>2138</v>
      </c>
      <c r="AC311" t="s">
        <v>41</v>
      </c>
      <c r="AD311"/>
      <c r="AE311">
        <v>2</v>
      </c>
      <c r="AF311" t="s">
        <v>41</v>
      </c>
      <c r="AG311"/>
      <c r="AH311"/>
      <c r="AI311"/>
      <c r="AJ311"/>
      <c r="AK311">
        <v>361</v>
      </c>
    </row>
    <row r="312" spans="1:37" x14ac:dyDescent="0.2">
      <c r="A312" t="s">
        <v>2134</v>
      </c>
      <c r="B312" t="s">
        <v>3056</v>
      </c>
      <c r="C312">
        <v>23</v>
      </c>
      <c r="D312" t="s">
        <v>1848</v>
      </c>
      <c r="E312" t="s">
        <v>1849</v>
      </c>
      <c r="F312" t="s">
        <v>443</v>
      </c>
      <c r="G312" t="s">
        <v>34</v>
      </c>
      <c r="H312" t="s">
        <v>1483</v>
      </c>
      <c r="I312" t="s">
        <v>1999</v>
      </c>
      <c r="J312"/>
      <c r="K312" t="s">
        <v>884</v>
      </c>
      <c r="L312" t="s">
        <v>922</v>
      </c>
      <c r="M312" t="s">
        <v>890</v>
      </c>
      <c r="N312" t="s">
        <v>749</v>
      </c>
      <c r="O312" t="s">
        <v>502</v>
      </c>
      <c r="P312"/>
      <c r="Q312"/>
      <c r="R312" t="s">
        <v>443</v>
      </c>
      <c r="S312" t="s">
        <v>885</v>
      </c>
      <c r="T312" s="16">
        <v>45910</v>
      </c>
      <c r="U312"/>
      <c r="V312">
        <v>45956.593055555553</v>
      </c>
      <c r="W312" t="s">
        <v>884</v>
      </c>
      <c r="X312" s="16">
        <v>45951.593055555553</v>
      </c>
      <c r="Y312">
        <v>27.2</v>
      </c>
      <c r="Z312"/>
      <c r="AA312">
        <v>3</v>
      </c>
      <c r="AB312" t="s">
        <v>2139</v>
      </c>
      <c r="AC312" t="s">
        <v>41</v>
      </c>
      <c r="AD312"/>
      <c r="AE312">
        <v>2</v>
      </c>
      <c r="AF312" t="s">
        <v>41</v>
      </c>
      <c r="AG312"/>
      <c r="AH312"/>
      <c r="AI312"/>
      <c r="AJ312"/>
      <c r="AK312">
        <v>361</v>
      </c>
    </row>
    <row r="313" spans="1:37" x14ac:dyDescent="0.2">
      <c r="A313" t="s">
        <v>2134</v>
      </c>
      <c r="B313" t="s">
        <v>3056</v>
      </c>
      <c r="C313">
        <v>23</v>
      </c>
      <c r="D313" t="s">
        <v>1846</v>
      </c>
      <c r="E313" t="s">
        <v>1847</v>
      </c>
      <c r="F313" t="s">
        <v>443</v>
      </c>
      <c r="G313" t="s">
        <v>34</v>
      </c>
      <c r="H313" t="s">
        <v>1483</v>
      </c>
      <c r="I313" t="s">
        <v>1999</v>
      </c>
      <c r="J313"/>
      <c r="K313" t="s">
        <v>884</v>
      </c>
      <c r="L313" t="s">
        <v>922</v>
      </c>
      <c r="M313" t="s">
        <v>890</v>
      </c>
      <c r="N313" t="s">
        <v>749</v>
      </c>
      <c r="O313" t="s">
        <v>502</v>
      </c>
      <c r="P313"/>
      <c r="Q313"/>
      <c r="R313" t="s">
        <v>443</v>
      </c>
      <c r="S313" t="s">
        <v>885</v>
      </c>
      <c r="T313" s="16">
        <v>45910</v>
      </c>
      <c r="U313"/>
      <c r="V313" s="16">
        <v>45956.593055555553</v>
      </c>
      <c r="W313" t="s">
        <v>884</v>
      </c>
      <c r="X313" s="16">
        <v>45951.593055555553</v>
      </c>
      <c r="Y313">
        <v>27.2</v>
      </c>
      <c r="Z313"/>
      <c r="AA313">
        <v>3</v>
      </c>
      <c r="AB313" t="s">
        <v>2140</v>
      </c>
      <c r="AC313" t="s">
        <v>41</v>
      </c>
      <c r="AD313"/>
      <c r="AE313">
        <v>2</v>
      </c>
      <c r="AF313" t="s">
        <v>41</v>
      </c>
      <c r="AG313"/>
      <c r="AH313"/>
      <c r="AI313"/>
      <c r="AJ313"/>
      <c r="AK313">
        <v>361</v>
      </c>
    </row>
    <row r="314" spans="1:37" x14ac:dyDescent="0.2">
      <c r="A314" t="s">
        <v>2134</v>
      </c>
      <c r="B314" t="s">
        <v>3056</v>
      </c>
      <c r="C314">
        <v>23</v>
      </c>
      <c r="D314" t="s">
        <v>2371</v>
      </c>
      <c r="E314"/>
      <c r="F314" t="s">
        <v>443</v>
      </c>
      <c r="G314" t="s">
        <v>34</v>
      </c>
      <c r="H314" t="s">
        <v>3060</v>
      </c>
      <c r="I314" t="s">
        <v>1999</v>
      </c>
      <c r="J314"/>
      <c r="K314" t="s">
        <v>884</v>
      </c>
      <c r="L314" t="s">
        <v>922</v>
      </c>
      <c r="M314" t="s">
        <v>911</v>
      </c>
      <c r="N314" t="s">
        <v>749</v>
      </c>
      <c r="O314" t="s">
        <v>502</v>
      </c>
      <c r="P314"/>
      <c r="Q314"/>
      <c r="R314" t="s">
        <v>443</v>
      </c>
      <c r="S314" t="s">
        <v>885</v>
      </c>
      <c r="T314" s="16">
        <v>45603</v>
      </c>
      <c r="U314"/>
      <c r="V314" s="16">
        <v>45973.580555555556</v>
      </c>
      <c r="W314" t="s">
        <v>884</v>
      </c>
      <c r="X314" s="16">
        <v>45968.580555555556</v>
      </c>
      <c r="Y314">
        <v>10.199999999999999</v>
      </c>
      <c r="Z314"/>
      <c r="AA314" t="s">
        <v>1837</v>
      </c>
      <c r="AB314"/>
      <c r="AC314" t="s">
        <v>41</v>
      </c>
      <c r="AD314"/>
      <c r="AE314">
        <v>1</v>
      </c>
      <c r="AF314" t="s">
        <v>41</v>
      </c>
      <c r="AG314"/>
      <c r="AH314"/>
      <c r="AI314"/>
      <c r="AJ314"/>
      <c r="AK314">
        <v>361</v>
      </c>
    </row>
    <row r="315" spans="1:37" x14ac:dyDescent="0.2">
      <c r="A315" t="s">
        <v>2134</v>
      </c>
      <c r="B315" t="s">
        <v>3056</v>
      </c>
      <c r="C315">
        <v>23</v>
      </c>
      <c r="D315" t="s">
        <v>2369</v>
      </c>
      <c r="E315"/>
      <c r="F315" t="s">
        <v>443</v>
      </c>
      <c r="G315" t="s">
        <v>34</v>
      </c>
      <c r="H315" t="s">
        <v>3061</v>
      </c>
      <c r="I315" t="s">
        <v>1999</v>
      </c>
      <c r="J315"/>
      <c r="K315" t="s">
        <v>884</v>
      </c>
      <c r="L315" t="s">
        <v>922</v>
      </c>
      <c r="M315" t="s">
        <v>911</v>
      </c>
      <c r="N315" t="s">
        <v>749</v>
      </c>
      <c r="O315" t="s">
        <v>502</v>
      </c>
      <c r="P315"/>
      <c r="Q315"/>
      <c r="R315" t="s">
        <v>443</v>
      </c>
      <c r="S315" t="s">
        <v>885</v>
      </c>
      <c r="T315" s="16">
        <v>45723</v>
      </c>
      <c r="U315"/>
      <c r="V315" s="16">
        <v>45973.580555555556</v>
      </c>
      <c r="W315" t="s">
        <v>884</v>
      </c>
      <c r="X315" s="16">
        <v>45968.580555555556</v>
      </c>
      <c r="Y315">
        <v>10.199999999999999</v>
      </c>
      <c r="Z315"/>
      <c r="AA315" t="s">
        <v>1837</v>
      </c>
      <c r="AB315"/>
      <c r="AC315" t="s">
        <v>41</v>
      </c>
      <c r="AD315"/>
      <c r="AE315">
        <v>1</v>
      </c>
      <c r="AF315" t="s">
        <v>41</v>
      </c>
      <c r="AG315"/>
      <c r="AH315"/>
      <c r="AI315"/>
      <c r="AJ315"/>
      <c r="AK315">
        <v>361</v>
      </c>
    </row>
    <row r="316" spans="1:37" x14ac:dyDescent="0.2">
      <c r="A316" t="s">
        <v>2134</v>
      </c>
      <c r="B316" t="s">
        <v>3056</v>
      </c>
      <c r="C316">
        <v>23</v>
      </c>
      <c r="D316" t="s">
        <v>2367</v>
      </c>
      <c r="E316"/>
      <c r="F316" t="s">
        <v>443</v>
      </c>
      <c r="G316" t="s">
        <v>34</v>
      </c>
      <c r="H316" t="s">
        <v>3061</v>
      </c>
      <c r="I316" t="s">
        <v>2039</v>
      </c>
      <c r="J316"/>
      <c r="K316" t="s">
        <v>884</v>
      </c>
      <c r="L316" t="s">
        <v>922</v>
      </c>
      <c r="M316" t="s">
        <v>911</v>
      </c>
      <c r="N316" t="s">
        <v>749</v>
      </c>
      <c r="O316" t="s">
        <v>502</v>
      </c>
      <c r="P316"/>
      <c r="Q316"/>
      <c r="R316" t="s">
        <v>443</v>
      </c>
      <c r="S316" t="s">
        <v>885</v>
      </c>
      <c r="T316" s="16">
        <v>45723</v>
      </c>
      <c r="U316"/>
      <c r="V316">
        <v>45973.580555555556</v>
      </c>
      <c r="W316" t="s">
        <v>884</v>
      </c>
      <c r="X316" s="16">
        <v>45968.580555555556</v>
      </c>
      <c r="Y316">
        <v>10.199999999999999</v>
      </c>
      <c r="Z316"/>
      <c r="AA316" t="s">
        <v>1837</v>
      </c>
      <c r="AB316"/>
      <c r="AC316" t="s">
        <v>41</v>
      </c>
      <c r="AD316"/>
      <c r="AE316">
        <v>1</v>
      </c>
      <c r="AF316" t="s">
        <v>41</v>
      </c>
      <c r="AG316"/>
      <c r="AH316"/>
      <c r="AI316"/>
      <c r="AJ316"/>
      <c r="AK316">
        <v>361</v>
      </c>
    </row>
    <row r="317" spans="1:37" x14ac:dyDescent="0.2">
      <c r="A317" t="s">
        <v>2134</v>
      </c>
      <c r="B317" t="s">
        <v>3056</v>
      </c>
      <c r="C317">
        <v>23</v>
      </c>
      <c r="D317" t="s">
        <v>2364</v>
      </c>
      <c r="E317"/>
      <c r="F317" t="s">
        <v>443</v>
      </c>
      <c r="G317" t="s">
        <v>34</v>
      </c>
      <c r="H317" t="s">
        <v>3061</v>
      </c>
      <c r="I317" t="s">
        <v>935</v>
      </c>
      <c r="J317"/>
      <c r="K317" t="s">
        <v>884</v>
      </c>
      <c r="L317" t="s">
        <v>922</v>
      </c>
      <c r="M317" t="s">
        <v>886</v>
      </c>
      <c r="N317" t="s">
        <v>749</v>
      </c>
      <c r="O317" t="s">
        <v>502</v>
      </c>
      <c r="P317"/>
      <c r="Q317"/>
      <c r="R317" t="s">
        <v>443</v>
      </c>
      <c r="S317" t="s">
        <v>885</v>
      </c>
      <c r="T317" s="16">
        <v>45723</v>
      </c>
      <c r="U317" t="s">
        <v>2013</v>
      </c>
      <c r="V317" s="16">
        <v>45973.580555555556</v>
      </c>
      <c r="W317" t="s">
        <v>884</v>
      </c>
      <c r="X317" s="16">
        <v>45968.580555555556</v>
      </c>
      <c r="Y317">
        <v>10.199999999999999</v>
      </c>
      <c r="Z317"/>
      <c r="AA317" t="s">
        <v>1837</v>
      </c>
      <c r="AB317"/>
      <c r="AC317" t="s">
        <v>41</v>
      </c>
      <c r="AD317"/>
      <c r="AE317">
        <v>1</v>
      </c>
      <c r="AF317" t="s">
        <v>41</v>
      </c>
      <c r="AG317"/>
      <c r="AH317"/>
      <c r="AI317"/>
      <c r="AJ317"/>
      <c r="AK317">
        <v>361</v>
      </c>
    </row>
    <row r="318" spans="1:37" x14ac:dyDescent="0.2">
      <c r="A318" t="s">
        <v>2134</v>
      </c>
      <c r="B318" t="s">
        <v>3056</v>
      </c>
      <c r="C318">
        <v>23</v>
      </c>
      <c r="D318" t="s">
        <v>1843</v>
      </c>
      <c r="E318" t="s">
        <v>2540</v>
      </c>
      <c r="F318" t="s">
        <v>443</v>
      </c>
      <c r="G318" t="s">
        <v>34</v>
      </c>
      <c r="H318" t="s">
        <v>2999</v>
      </c>
      <c r="I318" t="s">
        <v>2030</v>
      </c>
      <c r="J318"/>
      <c r="K318" t="s">
        <v>884</v>
      </c>
      <c r="L318" t="s">
        <v>922</v>
      </c>
      <c r="M318" t="s">
        <v>886</v>
      </c>
      <c r="N318" t="s">
        <v>494</v>
      </c>
      <c r="O318" t="s">
        <v>502</v>
      </c>
      <c r="P318"/>
      <c r="Q318"/>
      <c r="R318" t="s">
        <v>443</v>
      </c>
      <c r="S318" t="s">
        <v>885</v>
      </c>
      <c r="T318" s="16">
        <v>45586</v>
      </c>
      <c r="U318"/>
      <c r="V318" s="16">
        <v>45956.646527777775</v>
      </c>
      <c r="W318" t="s">
        <v>884</v>
      </c>
      <c r="X318" s="16">
        <v>45951.646527777775</v>
      </c>
      <c r="Y318">
        <v>27.1</v>
      </c>
      <c r="Z318"/>
      <c r="AA318" t="s">
        <v>501</v>
      </c>
      <c r="AB318"/>
      <c r="AC318" t="s">
        <v>41</v>
      </c>
      <c r="AD318"/>
      <c r="AE318">
        <v>1</v>
      </c>
      <c r="AF318" t="s">
        <v>41</v>
      </c>
      <c r="AG318"/>
      <c r="AH318"/>
      <c r="AI318"/>
      <c r="AJ318"/>
      <c r="AK318">
        <v>361</v>
      </c>
    </row>
    <row r="319" spans="1:37" x14ac:dyDescent="0.2">
      <c r="A319" t="s">
        <v>2134</v>
      </c>
      <c r="B319" t="s">
        <v>3056</v>
      </c>
      <c r="C319">
        <v>23</v>
      </c>
      <c r="D319" t="s">
        <v>2356</v>
      </c>
      <c r="E319"/>
      <c r="F319" t="s">
        <v>443</v>
      </c>
      <c r="G319" t="s">
        <v>34</v>
      </c>
      <c r="H319" t="s">
        <v>913</v>
      </c>
      <c r="I319" t="s">
        <v>1999</v>
      </c>
      <c r="J319"/>
      <c r="K319" t="s">
        <v>884</v>
      </c>
      <c r="L319" t="s">
        <v>887</v>
      </c>
      <c r="M319" t="s">
        <v>886</v>
      </c>
      <c r="N319" t="s">
        <v>749</v>
      </c>
      <c r="O319" t="s">
        <v>502</v>
      </c>
      <c r="P319"/>
      <c r="Q319"/>
      <c r="R319" t="s">
        <v>443</v>
      </c>
      <c r="S319" t="s">
        <v>885</v>
      </c>
      <c r="T319" s="16"/>
      <c r="U319"/>
      <c r="V319" s="16">
        <v>45975.574305555558</v>
      </c>
      <c r="W319" t="s">
        <v>884</v>
      </c>
      <c r="X319" s="16">
        <v>45970.574305555558</v>
      </c>
      <c r="Y319">
        <v>8.1999999999999993</v>
      </c>
      <c r="Z319"/>
      <c r="AA319" t="s">
        <v>501</v>
      </c>
      <c r="AB319" t="s">
        <v>976</v>
      </c>
      <c r="AC319" t="s">
        <v>41</v>
      </c>
      <c r="AD319"/>
      <c r="AE319">
        <v>1</v>
      </c>
      <c r="AF319" t="s">
        <v>41</v>
      </c>
      <c r="AG319"/>
      <c r="AH319"/>
      <c r="AI319"/>
      <c r="AJ319"/>
      <c r="AK319">
        <v>361</v>
      </c>
    </row>
    <row r="320" spans="1:37" x14ac:dyDescent="0.2">
      <c r="A320" t="s">
        <v>2134</v>
      </c>
      <c r="B320" t="s">
        <v>3056</v>
      </c>
      <c r="C320">
        <v>23</v>
      </c>
      <c r="D320" t="s">
        <v>2347</v>
      </c>
      <c r="E320"/>
      <c r="F320" t="s">
        <v>443</v>
      </c>
      <c r="G320" t="s">
        <v>34</v>
      </c>
      <c r="H320" t="s">
        <v>2086</v>
      </c>
      <c r="I320" t="s">
        <v>935</v>
      </c>
      <c r="J320"/>
      <c r="K320" t="s">
        <v>884</v>
      </c>
      <c r="L320" t="s">
        <v>922</v>
      </c>
      <c r="M320" t="s">
        <v>886</v>
      </c>
      <c r="N320" t="s">
        <v>749</v>
      </c>
      <c r="O320" t="s">
        <v>502</v>
      </c>
      <c r="P320"/>
      <c r="Q320"/>
      <c r="R320" t="s">
        <v>443</v>
      </c>
      <c r="S320" t="s">
        <v>885</v>
      </c>
      <c r="T320" s="16">
        <v>45915</v>
      </c>
      <c r="U320" t="s">
        <v>2013</v>
      </c>
      <c r="V320" s="16">
        <v>45976.501388888886</v>
      </c>
      <c r="W320" t="s">
        <v>884</v>
      </c>
      <c r="X320" s="16">
        <v>45971.501388888886</v>
      </c>
      <c r="Y320">
        <v>7.3</v>
      </c>
      <c r="Z320"/>
      <c r="AA320" t="s">
        <v>501</v>
      </c>
      <c r="AB320"/>
      <c r="AC320" t="s">
        <v>41</v>
      </c>
      <c r="AD320"/>
      <c r="AE320">
        <v>1</v>
      </c>
      <c r="AF320" t="s">
        <v>41</v>
      </c>
      <c r="AG320"/>
      <c r="AH320"/>
      <c r="AI320"/>
      <c r="AJ320"/>
      <c r="AK320">
        <v>361</v>
      </c>
    </row>
    <row r="321" spans="1:37" x14ac:dyDescent="0.2">
      <c r="A321" t="s">
        <v>2134</v>
      </c>
      <c r="B321" t="s">
        <v>3056</v>
      </c>
      <c r="C321">
        <v>23</v>
      </c>
      <c r="D321" t="s">
        <v>2383</v>
      </c>
      <c r="E321"/>
      <c r="F321" t="s">
        <v>443</v>
      </c>
      <c r="G321" t="s">
        <v>34</v>
      </c>
      <c r="H321" t="s">
        <v>2059</v>
      </c>
      <c r="I321" t="s">
        <v>897</v>
      </c>
      <c r="J321"/>
      <c r="K321" t="s">
        <v>884</v>
      </c>
      <c r="L321" t="s">
        <v>922</v>
      </c>
      <c r="M321" t="s">
        <v>911</v>
      </c>
      <c r="N321" t="s">
        <v>749</v>
      </c>
      <c r="O321" t="s">
        <v>502</v>
      </c>
      <c r="P321"/>
      <c r="Q321"/>
      <c r="R321" t="s">
        <v>443</v>
      </c>
      <c r="S321" t="s">
        <v>885</v>
      </c>
      <c r="T321" s="16">
        <v>45602</v>
      </c>
      <c r="U321"/>
      <c r="V321" s="16">
        <v>45972.59375</v>
      </c>
      <c r="W321" t="s">
        <v>884</v>
      </c>
      <c r="X321" s="16">
        <v>45967.59375</v>
      </c>
      <c r="Y321">
        <v>11.2</v>
      </c>
      <c r="Z321"/>
      <c r="AA321" t="s">
        <v>778</v>
      </c>
      <c r="AB321"/>
      <c r="AC321" t="s">
        <v>41</v>
      </c>
      <c r="AD321"/>
      <c r="AE321">
        <v>1</v>
      </c>
      <c r="AF321" t="s">
        <v>41</v>
      </c>
      <c r="AG321"/>
      <c r="AH321"/>
      <c r="AI321"/>
      <c r="AJ321"/>
      <c r="AK321">
        <v>361</v>
      </c>
    </row>
    <row r="322" spans="1:37" x14ac:dyDescent="0.2">
      <c r="A322" t="s">
        <v>2134</v>
      </c>
      <c r="B322" t="s">
        <v>3056</v>
      </c>
      <c r="C322">
        <v>23</v>
      </c>
      <c r="D322" t="s">
        <v>2381</v>
      </c>
      <c r="E322"/>
      <c r="F322" t="s">
        <v>443</v>
      </c>
      <c r="G322" t="s">
        <v>34</v>
      </c>
      <c r="H322" t="s">
        <v>2059</v>
      </c>
      <c r="I322" t="s">
        <v>923</v>
      </c>
      <c r="J322"/>
      <c r="K322" t="s">
        <v>884</v>
      </c>
      <c r="L322" t="s">
        <v>922</v>
      </c>
      <c r="M322" t="s">
        <v>911</v>
      </c>
      <c r="N322" t="s">
        <v>749</v>
      </c>
      <c r="O322" t="s">
        <v>502</v>
      </c>
      <c r="P322"/>
      <c r="Q322"/>
      <c r="R322" t="s">
        <v>443</v>
      </c>
      <c r="S322" t="s">
        <v>885</v>
      </c>
      <c r="T322" s="16">
        <v>45602</v>
      </c>
      <c r="U322"/>
      <c r="V322" s="16">
        <v>45972.59375</v>
      </c>
      <c r="W322" t="s">
        <v>884</v>
      </c>
      <c r="X322" s="16">
        <v>45967.59375</v>
      </c>
      <c r="Y322">
        <v>11.2</v>
      </c>
      <c r="Z322"/>
      <c r="AA322" t="s">
        <v>778</v>
      </c>
      <c r="AB322"/>
      <c r="AC322" t="s">
        <v>41</v>
      </c>
      <c r="AD322"/>
      <c r="AE322">
        <v>1</v>
      </c>
      <c r="AF322" t="s">
        <v>41</v>
      </c>
      <c r="AG322"/>
      <c r="AH322"/>
      <c r="AI322"/>
      <c r="AJ322"/>
      <c r="AK322">
        <v>361</v>
      </c>
    </row>
    <row r="323" spans="1:37" x14ac:dyDescent="0.2">
      <c r="A323" t="s">
        <v>2134</v>
      </c>
      <c r="B323" t="s">
        <v>3056</v>
      </c>
      <c r="C323">
        <v>23</v>
      </c>
      <c r="D323" t="s">
        <v>2361</v>
      </c>
      <c r="E323"/>
      <c r="F323" t="s">
        <v>443</v>
      </c>
      <c r="G323" t="s">
        <v>34</v>
      </c>
      <c r="H323" t="s">
        <v>3060</v>
      </c>
      <c r="I323" t="s">
        <v>897</v>
      </c>
      <c r="J323"/>
      <c r="K323" t="s">
        <v>884</v>
      </c>
      <c r="L323" t="s">
        <v>922</v>
      </c>
      <c r="M323" t="s">
        <v>911</v>
      </c>
      <c r="N323" t="s">
        <v>749</v>
      </c>
      <c r="O323" t="s">
        <v>502</v>
      </c>
      <c r="P323"/>
      <c r="Q323"/>
      <c r="R323" t="s">
        <v>443</v>
      </c>
      <c r="S323" t="s">
        <v>885</v>
      </c>
      <c r="T323" s="16">
        <v>45603</v>
      </c>
      <c r="U323"/>
      <c r="V323">
        <v>45973.617361111108</v>
      </c>
      <c r="W323" t="s">
        <v>884</v>
      </c>
      <c r="X323" s="16">
        <v>45968.617361111108</v>
      </c>
      <c r="Y323">
        <v>10.199999999999999</v>
      </c>
      <c r="Z323"/>
      <c r="AA323" t="s">
        <v>778</v>
      </c>
      <c r="AB323"/>
      <c r="AC323" t="s">
        <v>41</v>
      </c>
      <c r="AD323"/>
      <c r="AE323">
        <v>1</v>
      </c>
      <c r="AF323" t="s">
        <v>41</v>
      </c>
      <c r="AG323"/>
      <c r="AH323"/>
      <c r="AI323"/>
      <c r="AJ323"/>
      <c r="AK323">
        <v>361</v>
      </c>
    </row>
    <row r="324" spans="1:37" x14ac:dyDescent="0.2">
      <c r="A324" t="s">
        <v>2134</v>
      </c>
      <c r="B324" t="s">
        <v>3056</v>
      </c>
      <c r="C324">
        <v>23</v>
      </c>
      <c r="D324" t="s">
        <v>2344</v>
      </c>
      <c r="E324"/>
      <c r="F324" t="s">
        <v>443</v>
      </c>
      <c r="G324" t="s">
        <v>34</v>
      </c>
      <c r="H324" t="s">
        <v>3062</v>
      </c>
      <c r="I324" t="s">
        <v>923</v>
      </c>
      <c r="J324"/>
      <c r="K324" t="s">
        <v>884</v>
      </c>
      <c r="L324" t="s">
        <v>922</v>
      </c>
      <c r="M324" t="s">
        <v>911</v>
      </c>
      <c r="N324" t="s">
        <v>749</v>
      </c>
      <c r="O324" t="s">
        <v>502</v>
      </c>
      <c r="P324"/>
      <c r="Q324"/>
      <c r="R324" t="s">
        <v>443</v>
      </c>
      <c r="S324" t="s">
        <v>885</v>
      </c>
      <c r="T324" s="16">
        <v>45606</v>
      </c>
      <c r="U324"/>
      <c r="V324">
        <v>45976.504166666666</v>
      </c>
      <c r="W324" t="s">
        <v>884</v>
      </c>
      <c r="X324" s="16">
        <v>45971.504166666666</v>
      </c>
      <c r="Y324">
        <v>7.3</v>
      </c>
      <c r="Z324"/>
      <c r="AA324" t="s">
        <v>778</v>
      </c>
      <c r="AB324"/>
      <c r="AC324" t="s">
        <v>41</v>
      </c>
      <c r="AD324"/>
      <c r="AE324">
        <v>1</v>
      </c>
      <c r="AF324" t="s">
        <v>41</v>
      </c>
      <c r="AG324"/>
      <c r="AH324"/>
      <c r="AI324"/>
      <c r="AJ324"/>
      <c r="AK324">
        <v>361</v>
      </c>
    </row>
    <row r="325" spans="1:37" x14ac:dyDescent="0.2">
      <c r="A325" t="s">
        <v>2142</v>
      </c>
      <c r="B325" t="s">
        <v>3063</v>
      </c>
      <c r="C325">
        <v>11</v>
      </c>
      <c r="D325" t="s">
        <v>1815</v>
      </c>
      <c r="E325" t="s">
        <v>1816</v>
      </c>
      <c r="F325" t="s">
        <v>443</v>
      </c>
      <c r="G325" t="s">
        <v>34</v>
      </c>
      <c r="H325" t="s">
        <v>3064</v>
      </c>
      <c r="I325" t="s">
        <v>897</v>
      </c>
      <c r="J325"/>
      <c r="K325" t="s">
        <v>884</v>
      </c>
      <c r="L325" t="s">
        <v>922</v>
      </c>
      <c r="M325" t="s">
        <v>886</v>
      </c>
      <c r="N325" t="s">
        <v>494</v>
      </c>
      <c r="O325" t="s">
        <v>639</v>
      </c>
      <c r="P325"/>
      <c r="Q325"/>
      <c r="R325" t="s">
        <v>443</v>
      </c>
      <c r="S325" t="s">
        <v>885</v>
      </c>
      <c r="T325" s="16">
        <v>44865</v>
      </c>
      <c r="U325"/>
      <c r="V325">
        <v>45959.469444444447</v>
      </c>
      <c r="W325" t="s">
        <v>884</v>
      </c>
      <c r="X325" s="16">
        <v>45954.469444444447</v>
      </c>
      <c r="Y325">
        <v>24.3</v>
      </c>
      <c r="Z325"/>
      <c r="AA325">
        <v>2</v>
      </c>
      <c r="AB325" t="s">
        <v>2067</v>
      </c>
      <c r="AC325" t="s">
        <v>41</v>
      </c>
      <c r="AD325"/>
      <c r="AE325">
        <v>1</v>
      </c>
      <c r="AF325" t="s">
        <v>41</v>
      </c>
      <c r="AG325"/>
      <c r="AH325"/>
      <c r="AI325"/>
      <c r="AJ325"/>
      <c r="AK325">
        <v>361</v>
      </c>
    </row>
    <row r="326" spans="1:37" x14ac:dyDescent="0.2">
      <c r="A326" t="s">
        <v>2142</v>
      </c>
      <c r="B326" t="s">
        <v>3063</v>
      </c>
      <c r="C326">
        <v>11</v>
      </c>
      <c r="D326" t="s">
        <v>1820</v>
      </c>
      <c r="E326" t="s">
        <v>1821</v>
      </c>
      <c r="F326" t="s">
        <v>443</v>
      </c>
      <c r="G326" t="s">
        <v>34</v>
      </c>
      <c r="H326" t="s">
        <v>3065</v>
      </c>
      <c r="I326" t="s">
        <v>2019</v>
      </c>
      <c r="J326"/>
      <c r="K326" t="s">
        <v>884</v>
      </c>
      <c r="L326" t="s">
        <v>922</v>
      </c>
      <c r="M326" t="s">
        <v>886</v>
      </c>
      <c r="N326" t="s">
        <v>749</v>
      </c>
      <c r="O326" t="s">
        <v>639</v>
      </c>
      <c r="P326"/>
      <c r="Q326"/>
      <c r="R326" t="s">
        <v>443</v>
      </c>
      <c r="S326" t="s">
        <v>885</v>
      </c>
      <c r="T326" s="16">
        <v>45222</v>
      </c>
      <c r="U326"/>
      <c r="V326">
        <v>45958.52847222222</v>
      </c>
      <c r="W326" t="s">
        <v>892</v>
      </c>
      <c r="X326" s="16">
        <v>45953.52847222222</v>
      </c>
      <c r="Y326">
        <v>25.3</v>
      </c>
      <c r="Z326"/>
      <c r="AA326">
        <v>3</v>
      </c>
      <c r="AB326"/>
      <c r="AC326" t="s">
        <v>41</v>
      </c>
      <c r="AD326"/>
      <c r="AE326">
        <v>1</v>
      </c>
      <c r="AF326" t="s">
        <v>41</v>
      </c>
      <c r="AG326"/>
      <c r="AH326"/>
      <c r="AI326"/>
      <c r="AJ326"/>
      <c r="AK326">
        <v>361</v>
      </c>
    </row>
    <row r="327" spans="1:37" x14ac:dyDescent="0.2">
      <c r="A327" t="s">
        <v>2142</v>
      </c>
      <c r="B327" t="s">
        <v>3063</v>
      </c>
      <c r="C327">
        <v>11</v>
      </c>
      <c r="D327" t="s">
        <v>1818</v>
      </c>
      <c r="E327" t="s">
        <v>1819</v>
      </c>
      <c r="F327" t="s">
        <v>443</v>
      </c>
      <c r="G327" t="s">
        <v>34</v>
      </c>
      <c r="H327" t="s">
        <v>3064</v>
      </c>
      <c r="I327" t="s">
        <v>2039</v>
      </c>
      <c r="J327"/>
      <c r="K327" t="s">
        <v>884</v>
      </c>
      <c r="L327" t="s">
        <v>922</v>
      </c>
      <c r="M327" t="s">
        <v>890</v>
      </c>
      <c r="N327" t="s">
        <v>494</v>
      </c>
      <c r="O327" t="s">
        <v>639</v>
      </c>
      <c r="P327"/>
      <c r="Q327"/>
      <c r="R327" t="s">
        <v>443</v>
      </c>
      <c r="S327" t="s">
        <v>885</v>
      </c>
      <c r="T327" s="16">
        <v>44865</v>
      </c>
      <c r="U327"/>
      <c r="V327">
        <v>45958.52847222222</v>
      </c>
      <c r="W327" t="s">
        <v>892</v>
      </c>
      <c r="X327" s="16">
        <v>45953.52847222222</v>
      </c>
      <c r="Y327">
        <v>25.3</v>
      </c>
      <c r="Z327"/>
      <c r="AA327">
        <v>3</v>
      </c>
      <c r="AB327" t="s">
        <v>2149</v>
      </c>
      <c r="AC327" t="s">
        <v>41</v>
      </c>
      <c r="AD327"/>
      <c r="AE327">
        <v>1</v>
      </c>
      <c r="AF327" t="s">
        <v>41</v>
      </c>
      <c r="AG327"/>
      <c r="AH327"/>
      <c r="AI327"/>
      <c r="AJ327"/>
      <c r="AK327">
        <v>361</v>
      </c>
    </row>
    <row r="328" spans="1:37" x14ac:dyDescent="0.2">
      <c r="A328" t="s">
        <v>2142</v>
      </c>
      <c r="B328" t="s">
        <v>3063</v>
      </c>
      <c r="C328">
        <v>11</v>
      </c>
      <c r="D328" t="s">
        <v>2412</v>
      </c>
      <c r="E328" t="s">
        <v>1165</v>
      </c>
      <c r="F328" t="s">
        <v>443</v>
      </c>
      <c r="G328" t="s">
        <v>34</v>
      </c>
      <c r="H328" t="s">
        <v>3066</v>
      </c>
      <c r="I328" t="s">
        <v>2019</v>
      </c>
      <c r="J328"/>
      <c r="K328" t="s">
        <v>884</v>
      </c>
      <c r="L328" t="s">
        <v>937</v>
      </c>
      <c r="M328" t="s">
        <v>890</v>
      </c>
      <c r="N328" t="s">
        <v>1771</v>
      </c>
      <c r="O328" t="s">
        <v>639</v>
      </c>
      <c r="P328"/>
      <c r="Q328"/>
      <c r="R328" t="s">
        <v>443</v>
      </c>
      <c r="S328" t="s">
        <v>885</v>
      </c>
      <c r="T328" s="16">
        <v>45752</v>
      </c>
      <c r="U328"/>
      <c r="V328"/>
      <c r="W328" t="s">
        <v>884</v>
      </c>
      <c r="X328" s="16">
        <v>45966.479166666664</v>
      </c>
      <c r="Y328">
        <v>12.3</v>
      </c>
      <c r="Z328"/>
      <c r="AA328">
        <v>4</v>
      </c>
      <c r="AB328"/>
      <c r="AC328" t="s">
        <v>41</v>
      </c>
      <c r="AD328"/>
      <c r="AE328">
        <v>1</v>
      </c>
      <c r="AF328" t="s">
        <v>41</v>
      </c>
      <c r="AG328"/>
      <c r="AH328"/>
      <c r="AI328"/>
      <c r="AJ328"/>
      <c r="AK328">
        <v>361</v>
      </c>
    </row>
    <row r="329" spans="1:37" x14ac:dyDescent="0.2">
      <c r="A329" t="s">
        <v>2142</v>
      </c>
      <c r="B329" t="s">
        <v>3063</v>
      </c>
      <c r="C329">
        <v>11</v>
      </c>
      <c r="D329" t="s">
        <v>743</v>
      </c>
      <c r="E329" t="s">
        <v>1868</v>
      </c>
      <c r="F329" t="s">
        <v>443</v>
      </c>
      <c r="G329" t="s">
        <v>34</v>
      </c>
      <c r="H329" t="s">
        <v>2073</v>
      </c>
      <c r="I329" t="s">
        <v>910</v>
      </c>
      <c r="J329"/>
      <c r="K329" t="s">
        <v>884</v>
      </c>
      <c r="L329" t="s">
        <v>922</v>
      </c>
      <c r="M329" t="s">
        <v>886</v>
      </c>
      <c r="N329" t="s">
        <v>494</v>
      </c>
      <c r="O329" t="s">
        <v>639</v>
      </c>
      <c r="P329"/>
      <c r="Q329"/>
      <c r="R329" t="s">
        <v>443</v>
      </c>
      <c r="S329" t="s">
        <v>885</v>
      </c>
      <c r="T329" s="16">
        <v>45856</v>
      </c>
      <c r="U329" t="s">
        <v>2004</v>
      </c>
      <c r="V329">
        <v>45896.538194444445</v>
      </c>
      <c r="W329" t="s">
        <v>884</v>
      </c>
      <c r="X329" s="16">
        <v>45891.538194444445</v>
      </c>
      <c r="Y329">
        <v>87.3</v>
      </c>
      <c r="Z329"/>
      <c r="AA329">
        <v>5</v>
      </c>
      <c r="AB329" t="s">
        <v>2146</v>
      </c>
      <c r="AC329" t="s">
        <v>41</v>
      </c>
      <c r="AD329"/>
      <c r="AE329">
        <v>1</v>
      </c>
      <c r="AF329" t="s">
        <v>41</v>
      </c>
      <c r="AG329"/>
      <c r="AH329"/>
      <c r="AI329"/>
      <c r="AJ329"/>
      <c r="AK329">
        <v>361</v>
      </c>
    </row>
    <row r="330" spans="1:37" x14ac:dyDescent="0.2">
      <c r="A330" t="s">
        <v>2142</v>
      </c>
      <c r="B330" t="s">
        <v>3063</v>
      </c>
      <c r="C330">
        <v>11</v>
      </c>
      <c r="D330" t="s">
        <v>2397</v>
      </c>
      <c r="E330"/>
      <c r="F330" t="s">
        <v>443</v>
      </c>
      <c r="G330" t="s">
        <v>34</v>
      </c>
      <c r="H330" t="s">
        <v>2147</v>
      </c>
      <c r="I330" t="s">
        <v>910</v>
      </c>
      <c r="J330"/>
      <c r="K330" t="s">
        <v>884</v>
      </c>
      <c r="L330" t="s">
        <v>922</v>
      </c>
      <c r="M330" t="s">
        <v>911</v>
      </c>
      <c r="N330" t="s">
        <v>749</v>
      </c>
      <c r="O330" t="s">
        <v>639</v>
      </c>
      <c r="P330"/>
      <c r="Q330"/>
      <c r="R330" t="s">
        <v>443</v>
      </c>
      <c r="S330" t="s">
        <v>885</v>
      </c>
      <c r="T330" s="16">
        <v>45236</v>
      </c>
      <c r="U330" t="s">
        <v>2004</v>
      </c>
      <c r="V330">
        <v>45972.470833333333</v>
      </c>
      <c r="W330" t="s">
        <v>884</v>
      </c>
      <c r="X330" s="16">
        <v>45967.470833333333</v>
      </c>
      <c r="Y330">
        <v>11.3</v>
      </c>
      <c r="Z330"/>
      <c r="AA330">
        <v>6</v>
      </c>
      <c r="AB330"/>
      <c r="AC330" t="s">
        <v>41</v>
      </c>
      <c r="AD330"/>
      <c r="AE330">
        <v>1</v>
      </c>
      <c r="AF330" t="s">
        <v>41</v>
      </c>
      <c r="AG330"/>
      <c r="AH330"/>
      <c r="AI330"/>
      <c r="AJ330"/>
      <c r="AK330">
        <v>361</v>
      </c>
    </row>
    <row r="331" spans="1:37" x14ac:dyDescent="0.2">
      <c r="A331" t="s">
        <v>2142</v>
      </c>
      <c r="B331" t="s">
        <v>3063</v>
      </c>
      <c r="C331">
        <v>11</v>
      </c>
      <c r="D331" t="s">
        <v>1789</v>
      </c>
      <c r="E331" t="s">
        <v>1790</v>
      </c>
      <c r="F331" t="s">
        <v>443</v>
      </c>
      <c r="G331" t="s">
        <v>34</v>
      </c>
      <c r="H331" t="s">
        <v>2960</v>
      </c>
      <c r="I331" t="s">
        <v>2019</v>
      </c>
      <c r="J331"/>
      <c r="K331" t="s">
        <v>884</v>
      </c>
      <c r="L331" t="s">
        <v>922</v>
      </c>
      <c r="M331" t="s">
        <v>886</v>
      </c>
      <c r="N331" t="s">
        <v>494</v>
      </c>
      <c r="O331" t="s">
        <v>639</v>
      </c>
      <c r="P331"/>
      <c r="Q331"/>
      <c r="R331" t="s">
        <v>443</v>
      </c>
      <c r="S331" t="s">
        <v>885</v>
      </c>
      <c r="T331">
        <v>45595</v>
      </c>
      <c r="U331"/>
      <c r="V331">
        <v>45965.507638888892</v>
      </c>
      <c r="W331" t="s">
        <v>884</v>
      </c>
      <c r="X331" s="16">
        <v>45960.549305555556</v>
      </c>
      <c r="Y331">
        <v>18.2</v>
      </c>
      <c r="Z331"/>
      <c r="AA331">
        <v>7</v>
      </c>
      <c r="AB331" t="s">
        <v>2143</v>
      </c>
      <c r="AC331" t="s">
        <v>41</v>
      </c>
      <c r="AD331"/>
      <c r="AE331">
        <v>1</v>
      </c>
      <c r="AF331" t="s">
        <v>41</v>
      </c>
      <c r="AG331"/>
      <c r="AH331"/>
      <c r="AI331"/>
      <c r="AJ331"/>
      <c r="AK331">
        <v>361</v>
      </c>
    </row>
    <row r="332" spans="1:37" x14ac:dyDescent="0.2">
      <c r="A332" t="s">
        <v>2142</v>
      </c>
      <c r="B332" t="s">
        <v>3063</v>
      </c>
      <c r="C332">
        <v>11</v>
      </c>
      <c r="D332" t="s">
        <v>1118</v>
      </c>
      <c r="E332"/>
      <c r="F332" t="s">
        <v>443</v>
      </c>
      <c r="G332" t="s">
        <v>34</v>
      </c>
      <c r="H332" t="s">
        <v>2583</v>
      </c>
      <c r="I332" t="s">
        <v>2027</v>
      </c>
      <c r="J332"/>
      <c r="K332" t="s">
        <v>884</v>
      </c>
      <c r="L332" t="s">
        <v>922</v>
      </c>
      <c r="M332" t="s">
        <v>911</v>
      </c>
      <c r="N332" t="s">
        <v>749</v>
      </c>
      <c r="O332" t="s">
        <v>639</v>
      </c>
      <c r="P332"/>
      <c r="Q332"/>
      <c r="R332" t="s">
        <v>443</v>
      </c>
      <c r="S332" t="s">
        <v>885</v>
      </c>
      <c r="T332">
        <v>45214</v>
      </c>
      <c r="U332"/>
      <c r="V332">
        <v>45950.497916666667</v>
      </c>
      <c r="W332" t="s">
        <v>884</v>
      </c>
      <c r="X332" s="16">
        <v>45945.497916666667</v>
      </c>
      <c r="Y332">
        <v>33.299999999999997</v>
      </c>
      <c r="Z332"/>
      <c r="AA332">
        <v>8</v>
      </c>
      <c r="AB332"/>
      <c r="AC332" t="s">
        <v>41</v>
      </c>
      <c r="AD332"/>
      <c r="AE332">
        <v>1</v>
      </c>
      <c r="AF332" t="s">
        <v>41</v>
      </c>
      <c r="AG332"/>
      <c r="AH332"/>
      <c r="AI332"/>
      <c r="AJ332"/>
      <c r="AK332">
        <v>361</v>
      </c>
    </row>
    <row r="333" spans="1:37" x14ac:dyDescent="0.2">
      <c r="A333" t="s">
        <v>2142</v>
      </c>
      <c r="B333" t="s">
        <v>3063</v>
      </c>
      <c r="C333">
        <v>11</v>
      </c>
      <c r="D333" t="s">
        <v>1776</v>
      </c>
      <c r="E333" t="s">
        <v>1777</v>
      </c>
      <c r="F333" t="s">
        <v>443</v>
      </c>
      <c r="G333" t="s">
        <v>34</v>
      </c>
      <c r="H333" t="s">
        <v>2043</v>
      </c>
      <c r="I333" t="s">
        <v>903</v>
      </c>
      <c r="J333"/>
      <c r="K333" t="s">
        <v>884</v>
      </c>
      <c r="L333" t="s">
        <v>922</v>
      </c>
      <c r="M333" t="s">
        <v>890</v>
      </c>
      <c r="N333" t="s">
        <v>494</v>
      </c>
      <c r="O333" t="s">
        <v>639</v>
      </c>
      <c r="P333"/>
      <c r="Q333"/>
      <c r="R333" t="s">
        <v>443</v>
      </c>
      <c r="S333" t="s">
        <v>885</v>
      </c>
      <c r="T333">
        <v>45905</v>
      </c>
      <c r="U333" t="s">
        <v>2000</v>
      </c>
      <c r="V333">
        <v>45966.45208333333</v>
      </c>
      <c r="W333" t="s">
        <v>884</v>
      </c>
      <c r="X333" s="16">
        <v>45961.493750000001</v>
      </c>
      <c r="Y333">
        <v>17.3</v>
      </c>
      <c r="Z333"/>
      <c r="AA333" t="s">
        <v>501</v>
      </c>
      <c r="AB333" t="s">
        <v>2151</v>
      </c>
      <c r="AC333" t="s">
        <v>41</v>
      </c>
      <c r="AD333"/>
      <c r="AE333">
        <v>1</v>
      </c>
      <c r="AF333" t="s">
        <v>41</v>
      </c>
      <c r="AG333"/>
      <c r="AH333"/>
      <c r="AI333"/>
      <c r="AJ333"/>
      <c r="AK333">
        <v>361</v>
      </c>
    </row>
    <row r="334" spans="1:37" x14ac:dyDescent="0.2">
      <c r="A334" t="s">
        <v>2142</v>
      </c>
      <c r="B334" t="s">
        <v>3063</v>
      </c>
      <c r="C334">
        <v>11</v>
      </c>
      <c r="D334" t="s">
        <v>1773</v>
      </c>
      <c r="E334" t="s">
        <v>2452</v>
      </c>
      <c r="F334" t="s">
        <v>443</v>
      </c>
      <c r="G334" t="s">
        <v>34</v>
      </c>
      <c r="H334" t="s">
        <v>1480</v>
      </c>
      <c r="I334" t="s">
        <v>935</v>
      </c>
      <c r="J334"/>
      <c r="K334" t="s">
        <v>884</v>
      </c>
      <c r="L334" t="s">
        <v>922</v>
      </c>
      <c r="M334" t="s">
        <v>886</v>
      </c>
      <c r="N334" t="s">
        <v>494</v>
      </c>
      <c r="O334" t="s">
        <v>639</v>
      </c>
      <c r="P334"/>
      <c r="Q334"/>
      <c r="R334" t="s">
        <v>443</v>
      </c>
      <c r="S334" t="s">
        <v>885</v>
      </c>
      <c r="T334">
        <v>44870</v>
      </c>
      <c r="U334" t="s">
        <v>2013</v>
      </c>
      <c r="V334">
        <v>45966.565972222219</v>
      </c>
      <c r="W334" t="s">
        <v>884</v>
      </c>
      <c r="X334" s="16">
        <v>45961.607638888891</v>
      </c>
      <c r="Y334">
        <v>17.2</v>
      </c>
      <c r="Z334"/>
      <c r="AA334" t="s">
        <v>501</v>
      </c>
      <c r="AB334" t="s">
        <v>2149</v>
      </c>
      <c r="AC334" t="s">
        <v>41</v>
      </c>
      <c r="AD334"/>
      <c r="AE334">
        <v>1</v>
      </c>
      <c r="AF334" t="s">
        <v>41</v>
      </c>
      <c r="AG334"/>
      <c r="AH334"/>
      <c r="AI334"/>
      <c r="AJ334"/>
      <c r="AK334">
        <v>361</v>
      </c>
    </row>
    <row r="335" spans="1:37" x14ac:dyDescent="0.2">
      <c r="A335" t="s">
        <v>2142</v>
      </c>
      <c r="B335" t="s">
        <v>3063</v>
      </c>
      <c r="C335">
        <v>11</v>
      </c>
      <c r="D335" t="s">
        <v>2427</v>
      </c>
      <c r="E335" t="s">
        <v>2428</v>
      </c>
      <c r="F335" t="s">
        <v>443</v>
      </c>
      <c r="G335" t="s">
        <v>34</v>
      </c>
      <c r="H335" t="s">
        <v>2429</v>
      </c>
      <c r="I335" t="s">
        <v>903</v>
      </c>
      <c r="J335"/>
      <c r="K335" t="s">
        <v>884</v>
      </c>
      <c r="L335" t="s">
        <v>922</v>
      </c>
      <c r="M335" t="s">
        <v>890</v>
      </c>
      <c r="N335" t="s">
        <v>494</v>
      </c>
      <c r="O335" t="s">
        <v>639</v>
      </c>
      <c r="P335"/>
      <c r="Q335"/>
      <c r="R335" t="s">
        <v>443</v>
      </c>
      <c r="S335" t="s">
        <v>885</v>
      </c>
      <c r="T335" s="16">
        <v>44688</v>
      </c>
      <c r="U335"/>
      <c r="V335" s="16">
        <v>45970.611111111109</v>
      </c>
      <c r="W335" t="s">
        <v>884</v>
      </c>
      <c r="X335" s="16">
        <v>45965.611111111109</v>
      </c>
      <c r="Y335">
        <v>13.2</v>
      </c>
      <c r="Z335"/>
      <c r="AA335" t="s">
        <v>501</v>
      </c>
      <c r="AB335" t="s">
        <v>3067</v>
      </c>
      <c r="AC335" t="s">
        <v>41</v>
      </c>
      <c r="AD335"/>
      <c r="AE335">
        <v>1</v>
      </c>
      <c r="AF335" t="s">
        <v>41</v>
      </c>
      <c r="AG335"/>
      <c r="AH335"/>
      <c r="AI335"/>
      <c r="AJ335"/>
      <c r="AK335">
        <v>361</v>
      </c>
    </row>
    <row r="336" spans="1:37" x14ac:dyDescent="0.2">
      <c r="A336" t="s">
        <v>918</v>
      </c>
      <c r="B336" t="s">
        <v>2976</v>
      </c>
      <c r="C336">
        <v>4</v>
      </c>
      <c r="D336" t="s">
        <v>1806</v>
      </c>
      <c r="E336"/>
      <c r="F336" t="s">
        <v>444</v>
      </c>
      <c r="G336" t="s">
        <v>451</v>
      </c>
      <c r="H336" t="s">
        <v>3068</v>
      </c>
      <c r="I336" t="s">
        <v>910</v>
      </c>
      <c r="J336" t="s">
        <v>884</v>
      </c>
      <c r="K336" t="s">
        <v>884</v>
      </c>
      <c r="L336" t="s">
        <v>2052</v>
      </c>
      <c r="M336" t="s">
        <v>886</v>
      </c>
      <c r="N336" t="s">
        <v>470</v>
      </c>
      <c r="O336" t="s">
        <v>832</v>
      </c>
      <c r="P336"/>
      <c r="Q336"/>
      <c r="R336" t="s">
        <v>444</v>
      </c>
      <c r="S336" t="s">
        <v>885</v>
      </c>
      <c r="T336" s="16">
        <v>44862</v>
      </c>
      <c r="U336"/>
      <c r="V336" s="16">
        <v>45956.645138888889</v>
      </c>
      <c r="W336" t="s">
        <v>884</v>
      </c>
      <c r="X336" s="16">
        <v>45951.645138888889</v>
      </c>
      <c r="Y336">
        <v>27.1</v>
      </c>
      <c r="Z336"/>
      <c r="AA336" t="s">
        <v>475</v>
      </c>
      <c r="AB336"/>
      <c r="AC336" t="s">
        <v>41</v>
      </c>
      <c r="AD336"/>
      <c r="AE336">
        <v>0</v>
      </c>
      <c r="AF336" t="s">
        <v>41</v>
      </c>
      <c r="AG336"/>
      <c r="AH336"/>
      <c r="AI336"/>
      <c r="AJ336"/>
      <c r="AK336">
        <v>361</v>
      </c>
    </row>
    <row r="337" spans="1:37" x14ac:dyDescent="0.2">
      <c r="A337" t="s">
        <v>918</v>
      </c>
      <c r="B337" t="s">
        <v>2976</v>
      </c>
      <c r="C337">
        <v>4</v>
      </c>
      <c r="D337" t="s">
        <v>1127</v>
      </c>
      <c r="E337" t="s">
        <v>1128</v>
      </c>
      <c r="F337" t="s">
        <v>444</v>
      </c>
      <c r="G337" t="s">
        <v>529</v>
      </c>
      <c r="H337" t="s">
        <v>2594</v>
      </c>
      <c r="I337" t="s">
        <v>897</v>
      </c>
      <c r="J337" t="s">
        <v>884</v>
      </c>
      <c r="K337" t="s">
        <v>884</v>
      </c>
      <c r="L337" t="s">
        <v>887</v>
      </c>
      <c r="M337" t="s">
        <v>886</v>
      </c>
      <c r="N337" t="s">
        <v>494</v>
      </c>
      <c r="O337" t="s">
        <v>832</v>
      </c>
      <c r="P337" t="s">
        <v>471</v>
      </c>
      <c r="Q337"/>
      <c r="R337" t="s">
        <v>444</v>
      </c>
      <c r="S337" t="s">
        <v>885</v>
      </c>
      <c r="T337" s="16">
        <v>45213</v>
      </c>
      <c r="U337"/>
      <c r="V337">
        <v>45947.463194444441</v>
      </c>
      <c r="W337" t="s">
        <v>884</v>
      </c>
      <c r="X337" s="16">
        <v>45942.463194444441</v>
      </c>
      <c r="Y337">
        <v>36.299999999999997</v>
      </c>
      <c r="Z337"/>
      <c r="AA337" t="s">
        <v>724</v>
      </c>
      <c r="AB337" t="s">
        <v>916</v>
      </c>
      <c r="AC337" t="s">
        <v>41</v>
      </c>
      <c r="AD337"/>
      <c r="AE337">
        <v>3</v>
      </c>
      <c r="AF337" t="s">
        <v>41</v>
      </c>
      <c r="AG337"/>
      <c r="AH337"/>
      <c r="AI337"/>
      <c r="AJ337"/>
      <c r="AK337">
        <v>361</v>
      </c>
    </row>
    <row r="338" spans="1:37" x14ac:dyDescent="0.2">
      <c r="A338" t="s">
        <v>918</v>
      </c>
      <c r="B338" t="s">
        <v>2976</v>
      </c>
      <c r="C338">
        <v>4</v>
      </c>
      <c r="D338" t="s">
        <v>1125</v>
      </c>
      <c r="E338" t="s">
        <v>1126</v>
      </c>
      <c r="F338" t="s">
        <v>444</v>
      </c>
      <c r="G338" t="s">
        <v>529</v>
      </c>
      <c r="H338" t="s">
        <v>2592</v>
      </c>
      <c r="I338" t="s">
        <v>897</v>
      </c>
      <c r="J338" t="s">
        <v>884</v>
      </c>
      <c r="K338" t="s">
        <v>884</v>
      </c>
      <c r="L338" t="s">
        <v>887</v>
      </c>
      <c r="M338" t="s">
        <v>890</v>
      </c>
      <c r="N338" t="s">
        <v>494</v>
      </c>
      <c r="O338" t="s">
        <v>832</v>
      </c>
      <c r="P338" t="s">
        <v>679</v>
      </c>
      <c r="Q338"/>
      <c r="R338" t="s">
        <v>444</v>
      </c>
      <c r="S338" t="s">
        <v>885</v>
      </c>
      <c r="T338" s="16">
        <v>45577</v>
      </c>
      <c r="U338"/>
      <c r="V338" s="16">
        <v>45947.463194444441</v>
      </c>
      <c r="W338" t="s">
        <v>884</v>
      </c>
      <c r="X338" s="16">
        <v>45942.463194444441</v>
      </c>
      <c r="Y338">
        <v>36.299999999999997</v>
      </c>
      <c r="Z338"/>
      <c r="AA338" t="s">
        <v>724</v>
      </c>
      <c r="AB338" t="s">
        <v>928</v>
      </c>
      <c r="AC338" t="s">
        <v>41</v>
      </c>
      <c r="AD338"/>
      <c r="AE338">
        <v>3</v>
      </c>
      <c r="AF338" t="s">
        <v>41</v>
      </c>
      <c r="AG338"/>
      <c r="AH338"/>
      <c r="AI338"/>
      <c r="AJ338"/>
      <c r="AK338">
        <v>361</v>
      </c>
    </row>
    <row r="339" spans="1:37" x14ac:dyDescent="0.2">
      <c r="A339" t="s">
        <v>918</v>
      </c>
      <c r="B339" t="s">
        <v>2976</v>
      </c>
      <c r="C339">
        <v>4</v>
      </c>
      <c r="D339" t="s">
        <v>858</v>
      </c>
      <c r="E339" t="s">
        <v>856</v>
      </c>
      <c r="F339" t="s">
        <v>444</v>
      </c>
      <c r="G339" t="s">
        <v>857</v>
      </c>
      <c r="H339" t="s">
        <v>2644</v>
      </c>
      <c r="I339" t="s">
        <v>935</v>
      </c>
      <c r="J339" t="s">
        <v>884</v>
      </c>
      <c r="K339" t="s">
        <v>884</v>
      </c>
      <c r="L339" t="s">
        <v>912</v>
      </c>
      <c r="M339" t="s">
        <v>886</v>
      </c>
      <c r="N339" t="s">
        <v>494</v>
      </c>
      <c r="O339" t="s">
        <v>832</v>
      </c>
      <c r="P339" t="s">
        <v>716</v>
      </c>
      <c r="Q339"/>
      <c r="R339" t="s">
        <v>444</v>
      </c>
      <c r="S339" t="s">
        <v>885</v>
      </c>
      <c r="T339" s="16">
        <v>44106</v>
      </c>
      <c r="U339"/>
      <c r="V339" s="16"/>
      <c r="W339" t="s">
        <v>884</v>
      </c>
      <c r="X339" s="16">
        <v>45930.679861111108</v>
      </c>
      <c r="Y339">
        <v>48.1</v>
      </c>
      <c r="Z339"/>
      <c r="AA339" t="s">
        <v>831</v>
      </c>
      <c r="AB339" t="s">
        <v>986</v>
      </c>
      <c r="AC339" t="s">
        <v>41</v>
      </c>
      <c r="AD339"/>
      <c r="AE339">
        <v>1</v>
      </c>
      <c r="AF339" t="s">
        <v>41</v>
      </c>
      <c r="AG339"/>
      <c r="AH339"/>
      <c r="AI339"/>
      <c r="AJ339"/>
      <c r="AK339">
        <v>361</v>
      </c>
    </row>
    <row r="340" spans="1:37" x14ac:dyDescent="0.2">
      <c r="A340" t="s">
        <v>2152</v>
      </c>
      <c r="B340" t="s">
        <v>3069</v>
      </c>
      <c r="C340">
        <v>2</v>
      </c>
      <c r="D340" t="s">
        <v>208</v>
      </c>
      <c r="E340" t="s">
        <v>1945</v>
      </c>
      <c r="F340" t="s">
        <v>443</v>
      </c>
      <c r="G340" t="s">
        <v>34</v>
      </c>
      <c r="H340" t="s">
        <v>2975</v>
      </c>
      <c r="I340" t="s">
        <v>2055</v>
      </c>
      <c r="J340" t="s">
        <v>884</v>
      </c>
      <c r="K340" t="s">
        <v>884</v>
      </c>
      <c r="L340" t="s">
        <v>922</v>
      </c>
      <c r="M340" t="s">
        <v>890</v>
      </c>
      <c r="N340" t="s">
        <v>461</v>
      </c>
      <c r="O340" t="s">
        <v>1944</v>
      </c>
      <c r="P340"/>
      <c r="Q340">
        <v>941000031683713</v>
      </c>
      <c r="R340" t="s">
        <v>443</v>
      </c>
      <c r="S340" t="s">
        <v>885</v>
      </c>
      <c r="T340" s="16">
        <v>45761</v>
      </c>
      <c r="U340"/>
      <c r="V340" s="16">
        <v>45787.57708333333</v>
      </c>
      <c r="W340" t="s">
        <v>892</v>
      </c>
      <c r="X340" s="16">
        <v>45782.57708333333</v>
      </c>
      <c r="Y340">
        <v>196.2</v>
      </c>
      <c r="Z340"/>
      <c r="AA340" t="s">
        <v>1944</v>
      </c>
      <c r="AB340"/>
      <c r="AC340" t="s">
        <v>41</v>
      </c>
      <c r="AD340"/>
      <c r="AE340">
        <v>2</v>
      </c>
      <c r="AF340" t="s">
        <v>41</v>
      </c>
      <c r="AG340"/>
      <c r="AH340"/>
      <c r="AI340"/>
      <c r="AJ340"/>
      <c r="AK340">
        <v>361</v>
      </c>
    </row>
    <row r="341" spans="1:37" x14ac:dyDescent="0.2">
      <c r="A341" s="7" t="s">
        <v>2152</v>
      </c>
      <c r="B341" s="7" t="s">
        <v>3069</v>
      </c>
      <c r="C341" s="7">
        <v>2</v>
      </c>
      <c r="D341" s="7" t="s">
        <v>223</v>
      </c>
      <c r="E341" s="7" t="s">
        <v>1943</v>
      </c>
      <c r="F341" s="7" t="s">
        <v>443</v>
      </c>
      <c r="G341" s="7" t="s">
        <v>34</v>
      </c>
      <c r="H341" s="7" t="s">
        <v>2975</v>
      </c>
      <c r="I341" s="7" t="s">
        <v>2012</v>
      </c>
      <c r="J341" s="7" t="s">
        <v>884</v>
      </c>
      <c r="K341" s="7" t="s">
        <v>884</v>
      </c>
      <c r="L341" s="7" t="s">
        <v>922</v>
      </c>
      <c r="M341" s="7" t="s">
        <v>890</v>
      </c>
      <c r="N341" s="7" t="s">
        <v>461</v>
      </c>
      <c r="O341" s="7" t="s">
        <v>1944</v>
      </c>
      <c r="Q341" s="7">
        <v>941000031684380</v>
      </c>
      <c r="R341" s="7" t="s">
        <v>443</v>
      </c>
      <c r="S341" s="7" t="s">
        <v>885</v>
      </c>
      <c r="T341" s="23">
        <v>45761</v>
      </c>
      <c r="U341" s="7" t="s">
        <v>2028</v>
      </c>
      <c r="V341" s="23">
        <v>45787.57708333333</v>
      </c>
      <c r="W341" s="7" t="s">
        <v>892</v>
      </c>
      <c r="X341" s="23">
        <v>45782.57708333333</v>
      </c>
      <c r="Y341" s="7">
        <v>196.2</v>
      </c>
      <c r="AA341" s="7" t="s">
        <v>1944</v>
      </c>
      <c r="AC341" s="7" t="s">
        <v>41</v>
      </c>
      <c r="AE341" s="7">
        <v>3</v>
      </c>
      <c r="AF341" s="7" t="s">
        <v>41</v>
      </c>
      <c r="AK341" s="7">
        <v>361</v>
      </c>
    </row>
    <row r="342" spans="1:37" x14ac:dyDescent="0.2">
      <c r="A342" s="7" t="s">
        <v>908</v>
      </c>
      <c r="B342" s="7" t="s">
        <v>3070</v>
      </c>
      <c r="C342" s="7">
        <v>4</v>
      </c>
      <c r="D342" s="7" t="s">
        <v>2257</v>
      </c>
      <c r="F342" s="7" t="s">
        <v>444</v>
      </c>
      <c r="G342" s="7" t="s">
        <v>535</v>
      </c>
      <c r="H342" s="7" t="s">
        <v>2988</v>
      </c>
      <c r="I342" s="7" t="s">
        <v>920</v>
      </c>
      <c r="J342" s="7" t="s">
        <v>884</v>
      </c>
      <c r="K342" s="7" t="s">
        <v>884</v>
      </c>
      <c r="L342" s="7" t="s">
        <v>922</v>
      </c>
      <c r="M342" s="7" t="s">
        <v>890</v>
      </c>
      <c r="N342" s="7" t="s">
        <v>749</v>
      </c>
      <c r="O342" s="7" t="s">
        <v>681</v>
      </c>
      <c r="R342" s="7" t="s">
        <v>444</v>
      </c>
      <c r="S342" s="7" t="s">
        <v>885</v>
      </c>
      <c r="T342" s="23">
        <v>45613</v>
      </c>
      <c r="V342" s="23">
        <v>45983.536111111112</v>
      </c>
      <c r="W342" s="7" t="s">
        <v>884</v>
      </c>
      <c r="X342" s="23">
        <v>45978.536111111112</v>
      </c>
      <c r="Y342" s="7">
        <v>0.3</v>
      </c>
      <c r="AA342" s="7" t="s">
        <v>680</v>
      </c>
      <c r="AC342" s="7" t="s">
        <v>41</v>
      </c>
      <c r="AE342" s="7">
        <v>1</v>
      </c>
      <c r="AF342" s="7" t="s">
        <v>41</v>
      </c>
      <c r="AK342" s="7">
        <v>361</v>
      </c>
    </row>
    <row r="343" spans="1:37" x14ac:dyDescent="0.2">
      <c r="A343" s="7" t="s">
        <v>908</v>
      </c>
      <c r="B343" s="7" t="s">
        <v>3070</v>
      </c>
      <c r="C343" s="7">
        <v>4</v>
      </c>
      <c r="D343" s="7" t="s">
        <v>2255</v>
      </c>
      <c r="F343" s="7" t="s">
        <v>444</v>
      </c>
      <c r="G343" s="7" t="s">
        <v>535</v>
      </c>
      <c r="H343" s="7" t="s">
        <v>2988</v>
      </c>
      <c r="I343" s="7" t="s">
        <v>920</v>
      </c>
      <c r="K343" s="7" t="s">
        <v>884</v>
      </c>
      <c r="L343" s="7" t="s">
        <v>922</v>
      </c>
      <c r="M343" s="7" t="s">
        <v>890</v>
      </c>
      <c r="N343" s="7" t="s">
        <v>749</v>
      </c>
      <c r="O343" s="7" t="s">
        <v>681</v>
      </c>
      <c r="R343" s="7" t="s">
        <v>444</v>
      </c>
      <c r="S343" s="7" t="s">
        <v>885</v>
      </c>
      <c r="T343" s="23">
        <v>45613</v>
      </c>
      <c r="V343" s="23">
        <v>45983.536111111112</v>
      </c>
      <c r="W343" s="7" t="s">
        <v>884</v>
      </c>
      <c r="X343" s="23">
        <v>45978.536111111112</v>
      </c>
      <c r="Y343" s="7">
        <v>0.3</v>
      </c>
      <c r="AA343" s="7" t="s">
        <v>680</v>
      </c>
      <c r="AC343" s="7" t="s">
        <v>41</v>
      </c>
      <c r="AE343" s="7">
        <v>1</v>
      </c>
      <c r="AF343" s="7" t="s">
        <v>41</v>
      </c>
      <c r="AK343" s="7">
        <v>361</v>
      </c>
    </row>
    <row r="344" spans="1:37" x14ac:dyDescent="0.2">
      <c r="A344" s="7" t="s">
        <v>908</v>
      </c>
      <c r="B344" s="7" t="s">
        <v>3070</v>
      </c>
      <c r="C344" s="7">
        <v>4</v>
      </c>
      <c r="D344" s="7" t="s">
        <v>863</v>
      </c>
      <c r="E344" s="7" t="s">
        <v>1898</v>
      </c>
      <c r="F344" s="7" t="s">
        <v>444</v>
      </c>
      <c r="G344" s="7" t="s">
        <v>857</v>
      </c>
      <c r="H344" s="7" t="s">
        <v>3071</v>
      </c>
      <c r="I344" s="7" t="s">
        <v>897</v>
      </c>
      <c r="J344" s="7" t="s">
        <v>884</v>
      </c>
      <c r="K344" s="7" t="s">
        <v>884</v>
      </c>
      <c r="L344" s="7" t="s">
        <v>912</v>
      </c>
      <c r="M344" s="7" t="s">
        <v>886</v>
      </c>
      <c r="N344" s="7" t="s">
        <v>494</v>
      </c>
      <c r="O344" s="7" t="s">
        <v>681</v>
      </c>
      <c r="P344" s="7" t="s">
        <v>511</v>
      </c>
      <c r="R344" s="7" t="s">
        <v>444</v>
      </c>
      <c r="S344" s="7" t="s">
        <v>885</v>
      </c>
      <c r="T344" s="23">
        <v>43765</v>
      </c>
      <c r="V344" s="23"/>
      <c r="W344" s="7" t="s">
        <v>884</v>
      </c>
      <c r="X344" s="23">
        <v>45932.61041666667</v>
      </c>
      <c r="Y344" s="7">
        <v>46.2</v>
      </c>
      <c r="AA344" s="7" t="s">
        <v>862</v>
      </c>
      <c r="AB344" s="7" t="s">
        <v>2153</v>
      </c>
      <c r="AC344" s="7" t="s">
        <v>41</v>
      </c>
      <c r="AE344" s="7">
        <v>1</v>
      </c>
      <c r="AF344" s="7" t="s">
        <v>41</v>
      </c>
      <c r="AK344" s="7">
        <v>361</v>
      </c>
    </row>
    <row r="345" spans="1:37" x14ac:dyDescent="0.2">
      <c r="A345" s="7" t="s">
        <v>908</v>
      </c>
      <c r="B345" s="7" t="s">
        <v>3070</v>
      </c>
      <c r="C345" s="7">
        <v>4</v>
      </c>
      <c r="D345" s="7" t="s">
        <v>2379</v>
      </c>
      <c r="F345" s="7" t="s">
        <v>444</v>
      </c>
      <c r="G345" s="7" t="s">
        <v>633</v>
      </c>
      <c r="H345" s="7" t="s">
        <v>2147</v>
      </c>
      <c r="I345" s="7" t="s">
        <v>907</v>
      </c>
      <c r="J345" s="7" t="s">
        <v>884</v>
      </c>
      <c r="K345" s="7" t="s">
        <v>884</v>
      </c>
      <c r="L345" s="7" t="s">
        <v>922</v>
      </c>
      <c r="M345" s="7" t="s">
        <v>890</v>
      </c>
      <c r="N345" s="7" t="s">
        <v>494</v>
      </c>
      <c r="O345" s="7" t="s">
        <v>681</v>
      </c>
      <c r="R345" s="7" t="s">
        <v>444</v>
      </c>
      <c r="S345" s="7" t="s">
        <v>885</v>
      </c>
      <c r="T345" s="23">
        <v>45236</v>
      </c>
      <c r="V345" s="23">
        <v>45972.636111111111</v>
      </c>
      <c r="W345" s="7" t="s">
        <v>884</v>
      </c>
      <c r="X345" s="23">
        <v>45967.636111111111</v>
      </c>
      <c r="Y345" s="7">
        <v>11.1</v>
      </c>
      <c r="AA345" s="7" t="s">
        <v>824</v>
      </c>
      <c r="AB345" s="7" t="s">
        <v>3072</v>
      </c>
      <c r="AC345" s="7" t="s">
        <v>41</v>
      </c>
      <c r="AE345" s="7">
        <v>1</v>
      </c>
      <c r="AF345" s="7" t="s">
        <v>41</v>
      </c>
      <c r="AK345" s="7">
        <v>361</v>
      </c>
    </row>
    <row r="346" spans="1:37" x14ac:dyDescent="0.2">
      <c r="A346" s="7" t="s">
        <v>2158</v>
      </c>
      <c r="B346" s="7" t="s">
        <v>3073</v>
      </c>
      <c r="C346" s="7">
        <v>11</v>
      </c>
      <c r="D346" s="7" t="s">
        <v>750</v>
      </c>
      <c r="E346" s="7" t="s">
        <v>747</v>
      </c>
      <c r="F346" s="7" t="s">
        <v>2159</v>
      </c>
      <c r="G346" s="7" t="s">
        <v>568</v>
      </c>
      <c r="H346" s="7" t="s">
        <v>3018</v>
      </c>
      <c r="I346" s="7" t="s">
        <v>903</v>
      </c>
      <c r="K346" s="7" t="s">
        <v>884</v>
      </c>
      <c r="L346" s="7" t="s">
        <v>2119</v>
      </c>
      <c r="M346" s="7" t="s">
        <v>886</v>
      </c>
      <c r="N346" s="7" t="s">
        <v>749</v>
      </c>
      <c r="O346" s="7" t="s">
        <v>566</v>
      </c>
      <c r="P346" s="7" t="s">
        <v>747</v>
      </c>
      <c r="R346" s="7" t="s">
        <v>569</v>
      </c>
      <c r="S346" s="7" t="s">
        <v>568</v>
      </c>
      <c r="T346" s="23">
        <v>45883</v>
      </c>
      <c r="U346" s="7" t="s">
        <v>901</v>
      </c>
      <c r="V346" s="23"/>
      <c r="W346" s="7" t="s">
        <v>884</v>
      </c>
      <c r="X346" s="23">
        <v>45897.472916666666</v>
      </c>
      <c r="Y346" s="7">
        <v>81.3</v>
      </c>
      <c r="AA346" s="7" t="s">
        <v>748</v>
      </c>
      <c r="AC346" s="7" t="s">
        <v>41</v>
      </c>
      <c r="AE346" s="7">
        <v>1</v>
      </c>
      <c r="AF346" s="7" t="s">
        <v>41</v>
      </c>
      <c r="AK346" s="7">
        <v>361</v>
      </c>
    </row>
    <row r="347" spans="1:37" x14ac:dyDescent="0.2">
      <c r="A347" s="7" t="s">
        <v>2158</v>
      </c>
      <c r="B347" s="7" t="s">
        <v>3073</v>
      </c>
      <c r="C347" s="7">
        <v>11</v>
      </c>
      <c r="D347" s="7" t="s">
        <v>752</v>
      </c>
      <c r="E347" s="7" t="s">
        <v>751</v>
      </c>
      <c r="F347" s="7" t="s">
        <v>2159</v>
      </c>
      <c r="G347" s="7" t="s">
        <v>568</v>
      </c>
      <c r="H347" s="7" t="s">
        <v>3018</v>
      </c>
      <c r="I347" s="7" t="s">
        <v>935</v>
      </c>
      <c r="K347" s="7" t="s">
        <v>884</v>
      </c>
      <c r="L347" s="7" t="s">
        <v>2119</v>
      </c>
      <c r="M347" s="7" t="s">
        <v>890</v>
      </c>
      <c r="N347" s="7" t="s">
        <v>749</v>
      </c>
      <c r="O347" s="7" t="s">
        <v>566</v>
      </c>
      <c r="P347" s="7" t="s">
        <v>751</v>
      </c>
      <c r="R347" s="7" t="s">
        <v>569</v>
      </c>
      <c r="S347" s="7" t="s">
        <v>568</v>
      </c>
      <c r="T347" s="23">
        <v>45883</v>
      </c>
      <c r="U347" s="7" t="s">
        <v>901</v>
      </c>
      <c r="V347" s="23"/>
      <c r="W347" s="7" t="s">
        <v>884</v>
      </c>
      <c r="X347" s="23">
        <v>45897.472916666666</v>
      </c>
      <c r="Y347" s="7">
        <v>81.3</v>
      </c>
      <c r="AA347" s="7" t="s">
        <v>748</v>
      </c>
      <c r="AC347" s="7" t="s">
        <v>41</v>
      </c>
      <c r="AE347" s="7">
        <v>1</v>
      </c>
      <c r="AF347" s="7" t="s">
        <v>41</v>
      </c>
      <c r="AK347" s="7">
        <v>361</v>
      </c>
    </row>
    <row r="348" spans="1:37" x14ac:dyDescent="0.2">
      <c r="A348" s="7" t="s">
        <v>2158</v>
      </c>
      <c r="B348" s="7" t="s">
        <v>3073</v>
      </c>
      <c r="C348" s="7">
        <v>11</v>
      </c>
      <c r="D348" s="7" t="s">
        <v>755</v>
      </c>
      <c r="E348" s="7" t="s">
        <v>754</v>
      </c>
      <c r="F348" s="7" t="s">
        <v>2159</v>
      </c>
      <c r="G348" s="7" t="s">
        <v>568</v>
      </c>
      <c r="H348" s="7" t="s">
        <v>3018</v>
      </c>
      <c r="I348" s="7" t="s">
        <v>935</v>
      </c>
      <c r="K348" s="7" t="s">
        <v>884</v>
      </c>
      <c r="L348" s="7" t="s">
        <v>2119</v>
      </c>
      <c r="M348" s="7" t="s">
        <v>886</v>
      </c>
      <c r="N348" s="7" t="s">
        <v>749</v>
      </c>
      <c r="O348" s="7" t="s">
        <v>566</v>
      </c>
      <c r="P348" s="7" t="s">
        <v>753</v>
      </c>
      <c r="R348" s="7" t="s">
        <v>569</v>
      </c>
      <c r="S348" s="7" t="s">
        <v>568</v>
      </c>
      <c r="T348" s="23">
        <v>45883</v>
      </c>
      <c r="U348" s="7" t="s">
        <v>901</v>
      </c>
      <c r="V348" s="23"/>
      <c r="W348" s="7" t="s">
        <v>884</v>
      </c>
      <c r="X348" s="23">
        <v>45897.472916666666</v>
      </c>
      <c r="Y348" s="7">
        <v>81.3</v>
      </c>
      <c r="AA348" s="7" t="s">
        <v>748</v>
      </c>
      <c r="AC348" s="7" t="s">
        <v>41</v>
      </c>
      <c r="AE348" s="7">
        <v>1</v>
      </c>
      <c r="AF348" s="7" t="s">
        <v>41</v>
      </c>
      <c r="AK348" s="7">
        <v>361</v>
      </c>
    </row>
    <row r="349" spans="1:37" x14ac:dyDescent="0.2">
      <c r="A349" s="7" t="s">
        <v>2158</v>
      </c>
      <c r="B349" s="7" t="s">
        <v>3073</v>
      </c>
      <c r="C349" s="7">
        <v>11</v>
      </c>
      <c r="D349" s="7" t="s">
        <v>757</v>
      </c>
      <c r="E349" s="7" t="s">
        <v>756</v>
      </c>
      <c r="F349" s="7" t="s">
        <v>2159</v>
      </c>
      <c r="G349" s="7" t="s">
        <v>568</v>
      </c>
      <c r="H349" s="7" t="s">
        <v>3018</v>
      </c>
      <c r="I349" s="7" t="s">
        <v>935</v>
      </c>
      <c r="K349" s="7" t="s">
        <v>884</v>
      </c>
      <c r="L349" s="7" t="s">
        <v>2119</v>
      </c>
      <c r="M349" s="7" t="s">
        <v>890</v>
      </c>
      <c r="N349" s="7" t="s">
        <v>749</v>
      </c>
      <c r="O349" s="7" t="s">
        <v>566</v>
      </c>
      <c r="P349" s="7" t="s">
        <v>756</v>
      </c>
      <c r="R349" s="7" t="s">
        <v>569</v>
      </c>
      <c r="S349" s="7" t="s">
        <v>568</v>
      </c>
      <c r="T349" s="23">
        <v>45883</v>
      </c>
      <c r="U349" s="7" t="s">
        <v>901</v>
      </c>
      <c r="V349" s="23"/>
      <c r="W349" s="7" t="s">
        <v>884</v>
      </c>
      <c r="X349" s="23">
        <v>45897.472916666666</v>
      </c>
      <c r="Y349" s="7">
        <v>81.3</v>
      </c>
      <c r="AA349" s="7" t="s">
        <v>748</v>
      </c>
      <c r="AC349" s="7" t="s">
        <v>41</v>
      </c>
      <c r="AE349" s="7">
        <v>1</v>
      </c>
      <c r="AF349" s="7" t="s">
        <v>41</v>
      </c>
      <c r="AK349" s="7">
        <v>361</v>
      </c>
    </row>
    <row r="350" spans="1:37" x14ac:dyDescent="0.2">
      <c r="A350" s="7" t="s">
        <v>2158</v>
      </c>
      <c r="B350" s="7" t="s">
        <v>3073</v>
      </c>
      <c r="C350" s="7">
        <v>11</v>
      </c>
      <c r="D350" s="7" t="s">
        <v>759</v>
      </c>
      <c r="E350" s="7" t="s">
        <v>758</v>
      </c>
      <c r="F350" s="7" t="s">
        <v>2159</v>
      </c>
      <c r="G350" s="7" t="s">
        <v>568</v>
      </c>
      <c r="H350" s="7" t="s">
        <v>3018</v>
      </c>
      <c r="I350" s="7" t="s">
        <v>1211</v>
      </c>
      <c r="K350" s="7" t="s">
        <v>884</v>
      </c>
      <c r="L350" s="7" t="s">
        <v>2119</v>
      </c>
      <c r="M350" s="7" t="s">
        <v>886</v>
      </c>
      <c r="N350" s="7" t="s">
        <v>749</v>
      </c>
      <c r="O350" s="7" t="s">
        <v>566</v>
      </c>
      <c r="P350" s="7" t="s">
        <v>758</v>
      </c>
      <c r="R350" s="7" t="s">
        <v>569</v>
      </c>
      <c r="S350" s="7" t="s">
        <v>568</v>
      </c>
      <c r="T350" s="23">
        <v>45883</v>
      </c>
      <c r="U350" s="7" t="s">
        <v>901</v>
      </c>
      <c r="V350" s="23"/>
      <c r="W350" s="7" t="s">
        <v>884</v>
      </c>
      <c r="X350" s="23">
        <v>45897.472916666666</v>
      </c>
      <c r="Y350" s="7">
        <v>81.3</v>
      </c>
      <c r="AA350" s="7" t="s">
        <v>748</v>
      </c>
      <c r="AC350" s="7" t="s">
        <v>41</v>
      </c>
      <c r="AE350" s="7">
        <v>1</v>
      </c>
      <c r="AF350" s="7" t="s">
        <v>41</v>
      </c>
      <c r="AK350" s="7">
        <v>361</v>
      </c>
    </row>
    <row r="351" spans="1:37" x14ac:dyDescent="0.2">
      <c r="A351" s="7" t="s">
        <v>2158</v>
      </c>
      <c r="B351" s="7" t="s">
        <v>3073</v>
      </c>
      <c r="C351" s="7">
        <v>11</v>
      </c>
      <c r="D351" s="7" t="s">
        <v>573</v>
      </c>
      <c r="E351" s="7" t="s">
        <v>1941</v>
      </c>
      <c r="F351" s="7" t="s">
        <v>2159</v>
      </c>
      <c r="G351" s="7" t="s">
        <v>568</v>
      </c>
      <c r="H351" s="7" t="s">
        <v>3074</v>
      </c>
      <c r="I351" s="7" t="s">
        <v>923</v>
      </c>
      <c r="J351" s="7" t="s">
        <v>884</v>
      </c>
      <c r="K351" s="7" t="s">
        <v>884</v>
      </c>
      <c r="L351" s="7" t="s">
        <v>2121</v>
      </c>
      <c r="M351" s="7" t="s">
        <v>890</v>
      </c>
      <c r="N351" s="7" t="s">
        <v>461</v>
      </c>
      <c r="O351" s="7" t="s">
        <v>566</v>
      </c>
      <c r="R351" s="7" t="s">
        <v>569</v>
      </c>
      <c r="S351" s="7" t="s">
        <v>568</v>
      </c>
      <c r="T351" s="23">
        <v>45593</v>
      </c>
      <c r="V351" s="23"/>
      <c r="W351" s="7" t="s">
        <v>884</v>
      </c>
      <c r="X351" s="23">
        <v>45777.4375</v>
      </c>
      <c r="Y351" s="7">
        <v>201.3</v>
      </c>
      <c r="AA351" s="7" t="s">
        <v>760</v>
      </c>
      <c r="AC351" s="7" t="s">
        <v>41</v>
      </c>
      <c r="AE351" s="7">
        <v>2</v>
      </c>
      <c r="AF351" s="7" t="s">
        <v>41</v>
      </c>
      <c r="AK351" s="7">
        <v>361</v>
      </c>
    </row>
    <row r="352" spans="1:37" x14ac:dyDescent="0.2">
      <c r="A352" s="7" t="s">
        <v>2158</v>
      </c>
      <c r="B352" s="7" t="s">
        <v>3073</v>
      </c>
      <c r="C352" s="7">
        <v>11</v>
      </c>
      <c r="D352" s="7" t="s">
        <v>572</v>
      </c>
      <c r="E352" s="7" t="s">
        <v>1942</v>
      </c>
      <c r="F352" s="7" t="s">
        <v>2159</v>
      </c>
      <c r="G352" s="7" t="s">
        <v>568</v>
      </c>
      <c r="H352" s="7" t="s">
        <v>3074</v>
      </c>
      <c r="I352" s="7" t="s">
        <v>935</v>
      </c>
      <c r="J352" s="7" t="s">
        <v>884</v>
      </c>
      <c r="K352" s="7" t="s">
        <v>884</v>
      </c>
      <c r="L352" s="7" t="s">
        <v>2121</v>
      </c>
      <c r="M352" s="7" t="s">
        <v>890</v>
      </c>
      <c r="N352" s="7" t="s">
        <v>461</v>
      </c>
      <c r="O352" s="7" t="s">
        <v>566</v>
      </c>
      <c r="R352" s="7" t="s">
        <v>569</v>
      </c>
      <c r="S352" s="7" t="s">
        <v>568</v>
      </c>
      <c r="T352" s="23">
        <v>45593</v>
      </c>
      <c r="V352" s="23"/>
      <c r="W352" s="7" t="s">
        <v>884</v>
      </c>
      <c r="X352" s="23">
        <v>45777.4375</v>
      </c>
      <c r="Y352" s="7">
        <v>201.3</v>
      </c>
      <c r="AA352" s="7" t="s">
        <v>1939</v>
      </c>
      <c r="AC352" s="7" t="s">
        <v>41</v>
      </c>
      <c r="AE352" s="7">
        <v>2</v>
      </c>
      <c r="AF352" s="7" t="s">
        <v>41</v>
      </c>
      <c r="AK352" s="7">
        <v>361</v>
      </c>
    </row>
    <row r="353" spans="1:37" x14ac:dyDescent="0.2">
      <c r="A353" s="7" t="s">
        <v>2158</v>
      </c>
      <c r="B353" s="7" t="s">
        <v>3073</v>
      </c>
      <c r="C353" s="7">
        <v>11</v>
      </c>
      <c r="D353" s="7" t="s">
        <v>576</v>
      </c>
      <c r="E353" s="7" t="s">
        <v>1938</v>
      </c>
      <c r="F353" s="7" t="s">
        <v>2159</v>
      </c>
      <c r="G353" s="7" t="s">
        <v>568</v>
      </c>
      <c r="H353" s="7" t="s">
        <v>913</v>
      </c>
      <c r="I353" s="7" t="s">
        <v>923</v>
      </c>
      <c r="J353" s="7" t="s">
        <v>884</v>
      </c>
      <c r="K353" s="7" t="s">
        <v>884</v>
      </c>
      <c r="L353" s="7" t="s">
        <v>2121</v>
      </c>
      <c r="M353" s="7" t="s">
        <v>890</v>
      </c>
      <c r="N353" s="7" t="s">
        <v>461</v>
      </c>
      <c r="O353" s="7" t="s">
        <v>566</v>
      </c>
      <c r="R353" s="7" t="s">
        <v>569</v>
      </c>
      <c r="S353" s="7" t="s">
        <v>568</v>
      </c>
      <c r="T353" s="23"/>
      <c r="U353" s="7" t="s">
        <v>901</v>
      </c>
      <c r="V353" s="23"/>
      <c r="W353" s="7" t="s">
        <v>884</v>
      </c>
      <c r="X353" s="23">
        <v>45777.4375</v>
      </c>
      <c r="Y353" s="7">
        <v>201.3</v>
      </c>
      <c r="AA353" s="7" t="s">
        <v>1939</v>
      </c>
      <c r="AC353" s="7" t="s">
        <v>41</v>
      </c>
      <c r="AE353" s="7">
        <v>2</v>
      </c>
      <c r="AF353" s="7" t="s">
        <v>41</v>
      </c>
      <c r="AK353" s="7">
        <v>361</v>
      </c>
    </row>
    <row r="354" spans="1:37" x14ac:dyDescent="0.2">
      <c r="A354" s="7" t="s">
        <v>2158</v>
      </c>
      <c r="B354" s="7" t="s">
        <v>3073</v>
      </c>
      <c r="C354" s="7">
        <v>11</v>
      </c>
      <c r="D354" s="7" t="s">
        <v>571</v>
      </c>
      <c r="E354" s="7" t="s">
        <v>567</v>
      </c>
      <c r="F354" s="7" t="s">
        <v>2159</v>
      </c>
      <c r="G354" s="7" t="s">
        <v>568</v>
      </c>
      <c r="H354" s="7" t="s">
        <v>913</v>
      </c>
      <c r="I354" s="7" t="s">
        <v>2160</v>
      </c>
      <c r="J354" s="7" t="s">
        <v>884</v>
      </c>
      <c r="K354" s="7" t="s">
        <v>884</v>
      </c>
      <c r="L354" s="7" t="s">
        <v>2121</v>
      </c>
      <c r="M354" s="7" t="s">
        <v>911</v>
      </c>
      <c r="N354" s="7" t="s">
        <v>570</v>
      </c>
      <c r="O354" s="7" t="s">
        <v>566</v>
      </c>
      <c r="R354" s="7" t="s">
        <v>569</v>
      </c>
      <c r="S354" s="7" t="s">
        <v>568</v>
      </c>
      <c r="T354" s="23"/>
      <c r="V354" s="23"/>
      <c r="W354" s="7" t="s">
        <v>884</v>
      </c>
      <c r="X354" s="23">
        <v>45777.4375</v>
      </c>
      <c r="Y354" s="7">
        <v>201.3</v>
      </c>
      <c r="AA354" s="7" t="s">
        <v>565</v>
      </c>
      <c r="AC354" s="7" t="s">
        <v>41</v>
      </c>
      <c r="AE354" s="7">
        <v>1</v>
      </c>
      <c r="AF354" s="7" t="s">
        <v>41</v>
      </c>
      <c r="AK354" s="7">
        <v>361</v>
      </c>
    </row>
    <row r="355" spans="1:37" x14ac:dyDescent="0.2">
      <c r="A355" s="7" t="s">
        <v>2158</v>
      </c>
      <c r="B355" s="7" t="s">
        <v>3073</v>
      </c>
      <c r="C355" s="7">
        <v>11</v>
      </c>
      <c r="D355" s="7" t="s">
        <v>578</v>
      </c>
      <c r="E355" s="7" t="s">
        <v>577</v>
      </c>
      <c r="F355" s="7" t="s">
        <v>2159</v>
      </c>
      <c r="G355" s="7" t="s">
        <v>568</v>
      </c>
      <c r="H355" s="7" t="s">
        <v>913</v>
      </c>
      <c r="I355" s="7" t="s">
        <v>2030</v>
      </c>
      <c r="J355" s="7" t="s">
        <v>884</v>
      </c>
      <c r="K355" s="7" t="s">
        <v>884</v>
      </c>
      <c r="L355" s="7" t="s">
        <v>2121</v>
      </c>
      <c r="M355" s="7" t="s">
        <v>911</v>
      </c>
      <c r="N355" s="7" t="s">
        <v>570</v>
      </c>
      <c r="O355" s="7" t="s">
        <v>566</v>
      </c>
      <c r="R355" s="7" t="s">
        <v>569</v>
      </c>
      <c r="S355" s="7" t="s">
        <v>568</v>
      </c>
      <c r="T355" s="23"/>
      <c r="V355" s="23"/>
      <c r="W355" s="7" t="s">
        <v>884</v>
      </c>
      <c r="X355" s="23">
        <v>45777.4375</v>
      </c>
      <c r="Y355" s="7">
        <v>201.3</v>
      </c>
      <c r="AA355" s="7" t="s">
        <v>565</v>
      </c>
      <c r="AC355" s="7" t="s">
        <v>41</v>
      </c>
      <c r="AE355" s="7">
        <v>1</v>
      </c>
      <c r="AF355" s="7" t="s">
        <v>41</v>
      </c>
      <c r="AK355" s="7">
        <v>361</v>
      </c>
    </row>
    <row r="356" spans="1:37" x14ac:dyDescent="0.2">
      <c r="A356" s="7" t="s">
        <v>2158</v>
      </c>
      <c r="B356" s="7" t="s">
        <v>3073</v>
      </c>
      <c r="C356" s="7">
        <v>11</v>
      </c>
      <c r="D356" s="7" t="s">
        <v>580</v>
      </c>
      <c r="E356" s="7" t="s">
        <v>579</v>
      </c>
      <c r="F356" s="7" t="s">
        <v>2159</v>
      </c>
      <c r="G356" s="7" t="s">
        <v>568</v>
      </c>
      <c r="H356" s="7" t="s">
        <v>913</v>
      </c>
      <c r="I356" s="7" t="s">
        <v>964</v>
      </c>
      <c r="J356" s="7" t="s">
        <v>884</v>
      </c>
      <c r="K356" s="7" t="s">
        <v>884</v>
      </c>
      <c r="L356" s="7" t="s">
        <v>2121</v>
      </c>
      <c r="M356" s="7" t="s">
        <v>911</v>
      </c>
      <c r="N356" s="7" t="s">
        <v>570</v>
      </c>
      <c r="O356" s="7" t="s">
        <v>566</v>
      </c>
      <c r="R356" s="7" t="s">
        <v>569</v>
      </c>
      <c r="S356" s="7" t="s">
        <v>568</v>
      </c>
      <c r="T356" s="23"/>
      <c r="U356" s="7" t="s">
        <v>901</v>
      </c>
      <c r="V356" s="23"/>
      <c r="W356" s="7" t="s">
        <v>884</v>
      </c>
      <c r="X356" s="23">
        <v>45777.4375</v>
      </c>
      <c r="Y356" s="7">
        <v>201.3</v>
      </c>
      <c r="AA356" s="7" t="s">
        <v>565</v>
      </c>
      <c r="AC356" s="7" t="s">
        <v>41</v>
      </c>
      <c r="AE356" s="7">
        <v>1</v>
      </c>
      <c r="AF356" s="7" t="s">
        <v>41</v>
      </c>
      <c r="AK356" s="7">
        <v>361</v>
      </c>
    </row>
    <row r="357" spans="1:37" x14ac:dyDescent="0.2">
      <c r="A357" s="7" t="s">
        <v>889</v>
      </c>
      <c r="B357" s="7" t="s">
        <v>2026</v>
      </c>
      <c r="C357" s="7">
        <v>7</v>
      </c>
      <c r="D357" s="7" t="s">
        <v>861</v>
      </c>
      <c r="E357" s="7" t="s">
        <v>1166</v>
      </c>
      <c r="F357" s="7" t="s">
        <v>444</v>
      </c>
      <c r="G357" s="7" t="s">
        <v>857</v>
      </c>
      <c r="H357" s="7" t="s">
        <v>2594</v>
      </c>
      <c r="I357" s="7" t="s">
        <v>920</v>
      </c>
      <c r="J357" s="7" t="s">
        <v>884</v>
      </c>
      <c r="K357" s="7" t="s">
        <v>884</v>
      </c>
      <c r="L357" s="7" t="s">
        <v>912</v>
      </c>
      <c r="M357" s="7" t="s">
        <v>886</v>
      </c>
      <c r="N357" s="7" t="s">
        <v>494</v>
      </c>
      <c r="O357" s="7" t="s">
        <v>645</v>
      </c>
      <c r="P357" s="7" t="s">
        <v>716</v>
      </c>
      <c r="R357" s="7" t="s">
        <v>444</v>
      </c>
      <c r="S357" s="7" t="s">
        <v>885</v>
      </c>
      <c r="T357" s="23">
        <v>45213</v>
      </c>
      <c r="V357" s="23"/>
      <c r="W357" s="7" t="s">
        <v>884</v>
      </c>
      <c r="X357" s="23">
        <v>45932.61041666667</v>
      </c>
      <c r="Y357" s="7">
        <v>46.2</v>
      </c>
      <c r="AA357" s="7">
        <v>1</v>
      </c>
      <c r="AB357" s="7" t="s">
        <v>904</v>
      </c>
      <c r="AC357" s="7" t="s">
        <v>41</v>
      </c>
      <c r="AE357" s="7">
        <v>1</v>
      </c>
      <c r="AF357" s="7" t="s">
        <v>41</v>
      </c>
      <c r="AK357" s="7">
        <v>361</v>
      </c>
    </row>
    <row r="358" spans="1:37" x14ac:dyDescent="0.2">
      <c r="A358" s="7" t="s">
        <v>889</v>
      </c>
      <c r="B358" s="7" t="s">
        <v>2026</v>
      </c>
      <c r="C358" s="7">
        <v>7</v>
      </c>
      <c r="D358" s="7" t="s">
        <v>2417</v>
      </c>
      <c r="F358" s="7" t="s">
        <v>444</v>
      </c>
      <c r="G358" s="7" t="s">
        <v>2418</v>
      </c>
      <c r="H358" s="7" t="s">
        <v>913</v>
      </c>
      <c r="I358" s="7" t="s">
        <v>935</v>
      </c>
      <c r="J358" s="7" t="s">
        <v>884</v>
      </c>
      <c r="K358" s="7" t="s">
        <v>892</v>
      </c>
      <c r="L358" s="7" t="s">
        <v>2116</v>
      </c>
      <c r="M358" s="7" t="s">
        <v>890</v>
      </c>
      <c r="N358" s="7" t="s">
        <v>494</v>
      </c>
      <c r="O358" s="7" t="s">
        <v>645</v>
      </c>
      <c r="R358" s="7" t="s">
        <v>444</v>
      </c>
      <c r="S358" s="7" t="s">
        <v>885</v>
      </c>
      <c r="T358" s="23"/>
      <c r="V358" s="23"/>
      <c r="W358" s="7" t="s">
        <v>892</v>
      </c>
      <c r="X358" s="23">
        <v>45965.678472222222</v>
      </c>
      <c r="Y358" s="7">
        <v>13.1</v>
      </c>
      <c r="AA358" s="7">
        <v>1</v>
      </c>
      <c r="AC358" s="7" t="s">
        <v>41</v>
      </c>
      <c r="AE358" s="7">
        <v>1</v>
      </c>
      <c r="AF358" s="7" t="s">
        <v>41</v>
      </c>
      <c r="AK358" s="7">
        <v>361</v>
      </c>
    </row>
    <row r="359" spans="1:37" x14ac:dyDescent="0.2">
      <c r="A359" s="7" t="s">
        <v>889</v>
      </c>
      <c r="B359" s="7" t="s">
        <v>2026</v>
      </c>
      <c r="C359" s="7">
        <v>7</v>
      </c>
      <c r="D359" s="7" t="s">
        <v>2238</v>
      </c>
      <c r="F359" s="7" t="s">
        <v>444</v>
      </c>
      <c r="G359" s="7" t="s">
        <v>857</v>
      </c>
      <c r="H359" s="7" t="s">
        <v>913</v>
      </c>
      <c r="I359" s="7" t="s">
        <v>920</v>
      </c>
      <c r="K359" s="7" t="s">
        <v>884</v>
      </c>
      <c r="L359" s="7" t="s">
        <v>2116</v>
      </c>
      <c r="M359" s="7" t="s">
        <v>886</v>
      </c>
      <c r="N359" s="7" t="s">
        <v>852</v>
      </c>
      <c r="O359" s="7" t="s">
        <v>645</v>
      </c>
      <c r="R359" s="7" t="s">
        <v>444</v>
      </c>
      <c r="S359" s="7" t="s">
        <v>857</v>
      </c>
      <c r="T359" s="23"/>
      <c r="V359" s="23"/>
      <c r="W359" s="7" t="s">
        <v>884</v>
      </c>
      <c r="X359" s="23">
        <v>45978.647916666669</v>
      </c>
      <c r="Y359" s="7">
        <v>0.1</v>
      </c>
      <c r="AA359" s="7">
        <v>2</v>
      </c>
      <c r="AC359" s="7" t="s">
        <v>41</v>
      </c>
      <c r="AE359" s="7">
        <v>1</v>
      </c>
      <c r="AF359" s="7" t="s">
        <v>41</v>
      </c>
      <c r="AK359" s="7">
        <v>361</v>
      </c>
    </row>
    <row r="360" spans="1:37" x14ac:dyDescent="0.2">
      <c r="A360" s="7" t="s">
        <v>889</v>
      </c>
      <c r="B360" s="7" t="s">
        <v>2026</v>
      </c>
      <c r="C360" s="7">
        <v>7</v>
      </c>
      <c r="D360" s="7" t="s">
        <v>2236</v>
      </c>
      <c r="F360" s="7" t="s">
        <v>444</v>
      </c>
      <c r="G360" s="7" t="s">
        <v>857</v>
      </c>
      <c r="H360" s="7" t="s">
        <v>913</v>
      </c>
      <c r="I360" s="7" t="s">
        <v>2030</v>
      </c>
      <c r="K360" s="7" t="s">
        <v>884</v>
      </c>
      <c r="L360" s="7" t="s">
        <v>2116</v>
      </c>
      <c r="M360" s="7" t="s">
        <v>890</v>
      </c>
      <c r="N360" s="7" t="s">
        <v>852</v>
      </c>
      <c r="O360" s="7" t="s">
        <v>645</v>
      </c>
      <c r="R360" s="7" t="s">
        <v>444</v>
      </c>
      <c r="S360" s="7" t="s">
        <v>885</v>
      </c>
      <c r="T360" s="23"/>
      <c r="V360" s="23"/>
      <c r="W360" s="7" t="s">
        <v>884</v>
      </c>
      <c r="X360" s="23">
        <v>45978.647916666669</v>
      </c>
      <c r="Y360" s="7">
        <v>0.1</v>
      </c>
      <c r="AA360" s="7">
        <v>2</v>
      </c>
      <c r="AC360" s="7" t="s">
        <v>41</v>
      </c>
      <c r="AE360" s="7">
        <v>1</v>
      </c>
      <c r="AF360" s="7" t="s">
        <v>41</v>
      </c>
      <c r="AK360" s="7">
        <v>361</v>
      </c>
    </row>
    <row r="361" spans="1:37" x14ac:dyDescent="0.2">
      <c r="A361" s="7" t="s">
        <v>889</v>
      </c>
      <c r="B361" s="7" t="s">
        <v>2026</v>
      </c>
      <c r="C361" s="7">
        <v>7</v>
      </c>
      <c r="D361" s="7" t="s">
        <v>2373</v>
      </c>
      <c r="F361" s="7" t="s">
        <v>444</v>
      </c>
      <c r="G361" s="7" t="s">
        <v>857</v>
      </c>
      <c r="H361" s="7" t="s">
        <v>913</v>
      </c>
      <c r="I361" s="7" t="s">
        <v>2019</v>
      </c>
      <c r="J361" s="7" t="s">
        <v>884</v>
      </c>
      <c r="K361" s="7" t="s">
        <v>884</v>
      </c>
      <c r="L361" s="7" t="s">
        <v>2116</v>
      </c>
      <c r="M361" s="7" t="s">
        <v>890</v>
      </c>
      <c r="N361" s="7" t="s">
        <v>852</v>
      </c>
      <c r="O361" s="7" t="s">
        <v>645</v>
      </c>
      <c r="R361" s="7" t="s">
        <v>444</v>
      </c>
      <c r="S361" s="7" t="s">
        <v>885</v>
      </c>
      <c r="T361" s="23"/>
      <c r="V361" s="23"/>
      <c r="W361" s="7" t="s">
        <v>884</v>
      </c>
      <c r="X361" s="23">
        <v>45967.646527777775</v>
      </c>
      <c r="Y361" s="7">
        <v>11.1</v>
      </c>
      <c r="AA361" s="7">
        <v>3</v>
      </c>
      <c r="AC361" s="7" t="s">
        <v>41</v>
      </c>
      <c r="AE361" s="7">
        <v>1</v>
      </c>
      <c r="AF361" s="7" t="s">
        <v>41</v>
      </c>
      <c r="AK361" s="7">
        <v>361</v>
      </c>
    </row>
    <row r="362" spans="1:37" x14ac:dyDescent="0.2">
      <c r="A362" s="7" t="s">
        <v>889</v>
      </c>
      <c r="B362" s="7" t="s">
        <v>2026</v>
      </c>
      <c r="C362" s="7">
        <v>7</v>
      </c>
      <c r="D362" s="7" t="s">
        <v>869</v>
      </c>
      <c r="E362" s="7" t="s">
        <v>868</v>
      </c>
      <c r="F362" s="7" t="s">
        <v>444</v>
      </c>
      <c r="G362" s="7" t="s">
        <v>489</v>
      </c>
      <c r="H362" s="7" t="s">
        <v>2637</v>
      </c>
      <c r="I362" s="7" t="s">
        <v>888</v>
      </c>
      <c r="J362" s="7" t="s">
        <v>884</v>
      </c>
      <c r="K362" s="7" t="s">
        <v>884</v>
      </c>
      <c r="L362" s="7" t="s">
        <v>887</v>
      </c>
      <c r="M362" s="7" t="s">
        <v>890</v>
      </c>
      <c r="N362" s="7" t="s">
        <v>461</v>
      </c>
      <c r="O362" s="7" t="s">
        <v>645</v>
      </c>
      <c r="P362" s="7" t="s">
        <v>735</v>
      </c>
      <c r="Q362" s="7">
        <v>941000031683947</v>
      </c>
      <c r="R362" s="7" t="s">
        <v>444</v>
      </c>
      <c r="S362" s="7" t="s">
        <v>885</v>
      </c>
      <c r="T362" s="23">
        <v>44473</v>
      </c>
      <c r="V362" s="23">
        <v>45938.370833333334</v>
      </c>
      <c r="W362" s="7" t="s">
        <v>892</v>
      </c>
      <c r="X362" s="23">
        <v>45933.370833333334</v>
      </c>
      <c r="Y362" s="7">
        <v>45.4</v>
      </c>
      <c r="AA362" s="7">
        <v>4</v>
      </c>
      <c r="AB362" s="7" t="s">
        <v>943</v>
      </c>
      <c r="AC362" s="7" t="s">
        <v>41</v>
      </c>
      <c r="AE362" s="7">
        <v>3</v>
      </c>
      <c r="AF362" s="7" t="s">
        <v>41</v>
      </c>
      <c r="AK362" s="7">
        <v>361</v>
      </c>
    </row>
    <row r="363" spans="1:37" x14ac:dyDescent="0.2">
      <c r="A363" s="7" t="s">
        <v>889</v>
      </c>
      <c r="B363" s="7" t="s">
        <v>2026</v>
      </c>
      <c r="C363" s="7">
        <v>7</v>
      </c>
      <c r="D363" s="7" t="s">
        <v>872</v>
      </c>
      <c r="E363" s="7" t="s">
        <v>871</v>
      </c>
      <c r="F363" s="7" t="s">
        <v>444</v>
      </c>
      <c r="G363" s="7" t="s">
        <v>489</v>
      </c>
      <c r="H363" s="7" t="s">
        <v>2632</v>
      </c>
      <c r="I363" s="7" t="s">
        <v>888</v>
      </c>
      <c r="J363" s="7" t="s">
        <v>884</v>
      </c>
      <c r="K363" s="7" t="s">
        <v>884</v>
      </c>
      <c r="L363" s="7" t="s">
        <v>887</v>
      </c>
      <c r="M363" s="7" t="s">
        <v>886</v>
      </c>
      <c r="N363" s="7" t="s">
        <v>494</v>
      </c>
      <c r="O363" s="7" t="s">
        <v>645</v>
      </c>
      <c r="P363" s="7" t="s">
        <v>471</v>
      </c>
      <c r="R363" s="7" t="s">
        <v>444</v>
      </c>
      <c r="S363" s="7" t="s">
        <v>885</v>
      </c>
      <c r="T363" s="23">
        <v>43742</v>
      </c>
      <c r="V363" s="23">
        <v>45938.370833333334</v>
      </c>
      <c r="W363" s="7" t="s">
        <v>884</v>
      </c>
      <c r="X363" s="23">
        <v>45933.370833333334</v>
      </c>
      <c r="Y363" s="7">
        <v>45.4</v>
      </c>
      <c r="AA363" s="7">
        <v>4</v>
      </c>
      <c r="AB363" s="7" t="s">
        <v>883</v>
      </c>
      <c r="AC363" s="7" t="s">
        <v>41</v>
      </c>
      <c r="AE363" s="7">
        <v>3</v>
      </c>
      <c r="AF363" s="7" t="s">
        <v>41</v>
      </c>
      <c r="AK363" s="7">
        <v>361</v>
      </c>
    </row>
    <row r="364" spans="1:37" x14ac:dyDescent="0.2">
      <c r="A364" s="7" t="s">
        <v>2162</v>
      </c>
      <c r="B364" s="7" t="s">
        <v>2163</v>
      </c>
      <c r="C364" s="7">
        <v>2</v>
      </c>
      <c r="D364" s="7" t="s">
        <v>361</v>
      </c>
      <c r="E364" s="7" t="s">
        <v>362</v>
      </c>
      <c r="F364" s="7" t="s">
        <v>444</v>
      </c>
      <c r="G364" s="7" t="s">
        <v>529</v>
      </c>
      <c r="H364" s="7" t="s">
        <v>2768</v>
      </c>
      <c r="I364" s="7" t="s">
        <v>932</v>
      </c>
      <c r="J364" s="7" t="s">
        <v>884</v>
      </c>
      <c r="K364" s="7" t="s">
        <v>892</v>
      </c>
      <c r="L364" s="7" t="s">
        <v>956</v>
      </c>
      <c r="M364" s="7" t="s">
        <v>890</v>
      </c>
      <c r="N364" s="7" t="s">
        <v>1771</v>
      </c>
      <c r="O364" s="7" t="s">
        <v>1761</v>
      </c>
      <c r="P364" s="7" t="s">
        <v>466</v>
      </c>
      <c r="Q364" s="7">
        <v>941000031683746</v>
      </c>
      <c r="R364" s="7" t="s">
        <v>444</v>
      </c>
      <c r="S364" s="7" t="s">
        <v>885</v>
      </c>
      <c r="T364" s="23">
        <v>45508</v>
      </c>
      <c r="V364" s="23"/>
      <c r="W364" s="7" t="s">
        <v>892</v>
      </c>
      <c r="X364" s="23">
        <v>45978.356249999997</v>
      </c>
      <c r="Y364" s="7">
        <v>0.4</v>
      </c>
      <c r="AA364" s="7" t="s">
        <v>1762</v>
      </c>
      <c r="AB364" s="7" t="s">
        <v>966</v>
      </c>
      <c r="AC364" s="7" t="s">
        <v>41</v>
      </c>
      <c r="AE364" s="7">
        <v>3</v>
      </c>
      <c r="AF364" s="7" t="s">
        <v>41</v>
      </c>
      <c r="AK364" s="7">
        <v>361</v>
      </c>
    </row>
    <row r="365" spans="1:37" x14ac:dyDescent="0.2">
      <c r="A365" s="7" t="s">
        <v>2162</v>
      </c>
      <c r="B365" s="7" t="s">
        <v>2163</v>
      </c>
      <c r="C365" s="7">
        <v>2</v>
      </c>
      <c r="D365" s="7" t="s">
        <v>2240</v>
      </c>
      <c r="F365" s="7" t="s">
        <v>443</v>
      </c>
      <c r="G365" s="7" t="s">
        <v>34</v>
      </c>
      <c r="H365" s="7" t="s">
        <v>2986</v>
      </c>
      <c r="I365" s="7" t="s">
        <v>910</v>
      </c>
      <c r="K365" s="7" t="s">
        <v>884</v>
      </c>
      <c r="L365" s="7" t="s">
        <v>922</v>
      </c>
      <c r="M365" s="7" t="s">
        <v>911</v>
      </c>
      <c r="N365" s="7" t="s">
        <v>749</v>
      </c>
      <c r="O365" s="7" t="s">
        <v>1761</v>
      </c>
      <c r="R365" s="7" t="s">
        <v>443</v>
      </c>
      <c r="S365" s="7" t="s">
        <v>885</v>
      </c>
      <c r="T365" s="23">
        <v>45943</v>
      </c>
      <c r="V365" s="23">
        <v>45983.575694444444</v>
      </c>
      <c r="W365" s="7" t="s">
        <v>884</v>
      </c>
      <c r="X365" s="23">
        <v>45978.575694444444</v>
      </c>
      <c r="Y365" s="7">
        <v>0.2</v>
      </c>
      <c r="AA365" s="7" t="s">
        <v>1762</v>
      </c>
      <c r="AC365" s="7" t="s">
        <v>41</v>
      </c>
      <c r="AE365" s="7">
        <v>1</v>
      </c>
      <c r="AF365" s="7" t="s">
        <v>41</v>
      </c>
      <c r="AK365" s="7">
        <v>361</v>
      </c>
    </row>
  </sheetData>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8F1E2-594F-E04F-9EEA-029C49306E27}">
  <sheetPr>
    <tabColor theme="4" tint="-0.249977111117893"/>
  </sheetPr>
  <dimension ref="A1:L37"/>
  <sheetViews>
    <sheetView topLeftCell="D1" workbookViewId="0">
      <selection activeCell="N7" sqref="N7"/>
    </sheetView>
  </sheetViews>
  <sheetFormatPr baseColWidth="10" defaultRowHeight="15" x14ac:dyDescent="0.2"/>
  <cols>
    <col min="1" max="1" width="19.33203125" bestFit="1" customWidth="1"/>
    <col min="2" max="2" width="15.33203125" bestFit="1" customWidth="1"/>
    <col min="6" max="6" width="24" bestFit="1" customWidth="1"/>
    <col min="7" max="7" width="15.6640625" bestFit="1" customWidth="1"/>
    <col min="11" max="11" width="21.83203125" bestFit="1" customWidth="1"/>
    <col min="12" max="12" width="24.33203125" bestFit="1" customWidth="1"/>
  </cols>
  <sheetData>
    <row r="1" spans="1:12" x14ac:dyDescent="0.2">
      <c r="A1" s="50" t="s">
        <v>1068</v>
      </c>
      <c r="B1" s="51"/>
      <c r="F1" s="50" t="s">
        <v>1075</v>
      </c>
      <c r="G1" s="51"/>
    </row>
    <row r="3" spans="1:12" x14ac:dyDescent="0.2">
      <c r="A3" s="12" t="s">
        <v>6</v>
      </c>
      <c r="B3" t="s">
        <v>444</v>
      </c>
      <c r="C3" s="11"/>
      <c r="F3" s="12" t="s">
        <v>6</v>
      </c>
      <c r="G3" t="s">
        <v>1070</v>
      </c>
      <c r="K3" s="12" t="s">
        <v>1730</v>
      </c>
      <c r="L3" s="2">
        <v>1</v>
      </c>
    </row>
    <row r="5" spans="1:12" x14ac:dyDescent="0.2">
      <c r="A5" s="12" t="s">
        <v>1071</v>
      </c>
      <c r="B5" t="s">
        <v>1073</v>
      </c>
      <c r="F5" s="12" t="s">
        <v>1071</v>
      </c>
      <c r="G5" t="s">
        <v>1076</v>
      </c>
      <c r="K5" s="12" t="s">
        <v>1071</v>
      </c>
      <c r="L5" t="s">
        <v>1748</v>
      </c>
    </row>
    <row r="6" spans="1:12" x14ac:dyDescent="0.2">
      <c r="A6" s="2" t="s">
        <v>461</v>
      </c>
      <c r="B6">
        <v>69</v>
      </c>
      <c r="F6" s="2" t="s">
        <v>46</v>
      </c>
      <c r="G6">
        <v>23</v>
      </c>
      <c r="K6" s="2" t="s">
        <v>1101</v>
      </c>
      <c r="L6">
        <v>81.309090909090912</v>
      </c>
    </row>
    <row r="7" spans="1:12" x14ac:dyDescent="0.2">
      <c r="A7" s="2" t="s">
        <v>494</v>
      </c>
      <c r="B7">
        <v>26</v>
      </c>
      <c r="F7" s="2" t="s">
        <v>34</v>
      </c>
      <c r="G7">
        <v>11</v>
      </c>
      <c r="K7" s="2" t="s">
        <v>1100</v>
      </c>
      <c r="L7">
        <v>137.66363636363639</v>
      </c>
    </row>
    <row r="8" spans="1:12" x14ac:dyDescent="0.2">
      <c r="A8" s="2" t="s">
        <v>570</v>
      </c>
      <c r="B8">
        <v>14</v>
      </c>
      <c r="F8" s="2" t="s">
        <v>53</v>
      </c>
      <c r="G8">
        <v>10</v>
      </c>
      <c r="K8" s="2" t="s">
        <v>1072</v>
      </c>
      <c r="L8">
        <v>109.48636363636365</v>
      </c>
    </row>
    <row r="9" spans="1:12" x14ac:dyDescent="0.2">
      <c r="A9" s="2" t="s">
        <v>470</v>
      </c>
      <c r="B9">
        <v>11</v>
      </c>
      <c r="F9" s="2" t="s">
        <v>90</v>
      </c>
      <c r="G9">
        <v>9</v>
      </c>
    </row>
    <row r="10" spans="1:12" x14ac:dyDescent="0.2">
      <c r="A10" s="2" t="s">
        <v>585</v>
      </c>
      <c r="B10">
        <v>6</v>
      </c>
      <c r="F10" s="2" t="s">
        <v>80</v>
      </c>
      <c r="G10">
        <v>7</v>
      </c>
    </row>
    <row r="11" spans="1:12" x14ac:dyDescent="0.2">
      <c r="A11" s="2" t="s">
        <v>749</v>
      </c>
      <c r="B11">
        <v>6</v>
      </c>
      <c r="F11" s="2" t="s">
        <v>210</v>
      </c>
      <c r="G11">
        <v>5</v>
      </c>
    </row>
    <row r="12" spans="1:12" x14ac:dyDescent="0.2">
      <c r="A12" s="2" t="s">
        <v>852</v>
      </c>
      <c r="B12">
        <v>5</v>
      </c>
      <c r="F12" s="2" t="s">
        <v>242</v>
      </c>
      <c r="G12">
        <v>4</v>
      </c>
    </row>
    <row r="13" spans="1:12" x14ac:dyDescent="0.2">
      <c r="A13" s="2" t="s">
        <v>452</v>
      </c>
      <c r="B13">
        <v>4</v>
      </c>
      <c r="F13" s="2" t="s">
        <v>252</v>
      </c>
      <c r="G13">
        <v>3</v>
      </c>
    </row>
    <row r="14" spans="1:12" x14ac:dyDescent="0.2">
      <c r="A14" s="2" t="s">
        <v>490</v>
      </c>
      <c r="B14">
        <v>2</v>
      </c>
      <c r="F14" s="2" t="s">
        <v>68</v>
      </c>
      <c r="G14">
        <v>3</v>
      </c>
    </row>
    <row r="15" spans="1:12" x14ac:dyDescent="0.2">
      <c r="A15" s="2" t="s">
        <v>618</v>
      </c>
      <c r="B15">
        <v>2</v>
      </c>
      <c r="F15" s="2" t="s">
        <v>372</v>
      </c>
      <c r="G15">
        <v>3</v>
      </c>
    </row>
    <row r="16" spans="1:12" x14ac:dyDescent="0.2">
      <c r="A16" s="2" t="s">
        <v>532</v>
      </c>
      <c r="B16">
        <v>1</v>
      </c>
      <c r="F16" s="2" t="s">
        <v>72</v>
      </c>
      <c r="G16">
        <v>3</v>
      </c>
    </row>
    <row r="17" spans="1:7" x14ac:dyDescent="0.2">
      <c r="A17" s="2" t="s">
        <v>682</v>
      </c>
      <c r="B17">
        <v>1</v>
      </c>
      <c r="F17" s="2" t="s">
        <v>1428</v>
      </c>
      <c r="G17">
        <v>3</v>
      </c>
    </row>
    <row r="18" spans="1:7" x14ac:dyDescent="0.2">
      <c r="A18" s="2" t="s">
        <v>499</v>
      </c>
      <c r="B18">
        <v>1</v>
      </c>
      <c r="F18" s="2" t="s">
        <v>96</v>
      </c>
      <c r="G18">
        <v>2</v>
      </c>
    </row>
    <row r="19" spans="1:7" x14ac:dyDescent="0.2">
      <c r="A19" s="2" t="s">
        <v>1072</v>
      </c>
      <c r="B19">
        <v>148</v>
      </c>
      <c r="F19" s="2" t="s">
        <v>89</v>
      </c>
      <c r="G19">
        <v>2</v>
      </c>
    </row>
    <row r="20" spans="1:7" x14ac:dyDescent="0.2">
      <c r="F20" s="2" t="s">
        <v>1236</v>
      </c>
      <c r="G20">
        <v>2</v>
      </c>
    </row>
    <row r="21" spans="1:7" x14ac:dyDescent="0.2">
      <c r="F21" s="2" t="s">
        <v>59</v>
      </c>
      <c r="G21">
        <v>2</v>
      </c>
    </row>
    <row r="22" spans="1:7" x14ac:dyDescent="0.2">
      <c r="F22" s="2" t="s">
        <v>437</v>
      </c>
      <c r="G22">
        <v>1</v>
      </c>
    </row>
    <row r="23" spans="1:7" x14ac:dyDescent="0.2">
      <c r="F23" s="2" t="s">
        <v>335</v>
      </c>
      <c r="G23">
        <v>1</v>
      </c>
    </row>
    <row r="24" spans="1:7" x14ac:dyDescent="0.2">
      <c r="A24" s="12" t="s">
        <v>6</v>
      </c>
      <c r="B24" t="s">
        <v>444</v>
      </c>
      <c r="F24" s="2" t="s">
        <v>341</v>
      </c>
      <c r="G24">
        <v>1</v>
      </c>
    </row>
    <row r="25" spans="1:7" x14ac:dyDescent="0.2">
      <c r="F25" s="2" t="s">
        <v>271</v>
      </c>
      <c r="G25">
        <v>1</v>
      </c>
    </row>
    <row r="26" spans="1:7" x14ac:dyDescent="0.2">
      <c r="A26" s="12" t="s">
        <v>1071</v>
      </c>
      <c r="B26" t="s">
        <v>1073</v>
      </c>
      <c r="F26" s="2" t="s">
        <v>111</v>
      </c>
      <c r="G26">
        <v>1</v>
      </c>
    </row>
    <row r="27" spans="1:7" x14ac:dyDescent="0.2">
      <c r="A27" s="2" t="s">
        <v>446</v>
      </c>
      <c r="B27">
        <v>42</v>
      </c>
      <c r="F27" s="2" t="s">
        <v>397</v>
      </c>
      <c r="G27">
        <v>1</v>
      </c>
    </row>
    <row r="28" spans="1:7" x14ac:dyDescent="0.2">
      <c r="A28" s="2" t="s">
        <v>458</v>
      </c>
      <c r="B28">
        <v>21</v>
      </c>
      <c r="F28" s="2" t="s">
        <v>105</v>
      </c>
      <c r="G28">
        <v>1</v>
      </c>
    </row>
    <row r="29" spans="1:7" x14ac:dyDescent="0.2">
      <c r="A29" s="2" t="s">
        <v>492</v>
      </c>
      <c r="B29">
        <v>20</v>
      </c>
      <c r="F29" s="2" t="s">
        <v>153</v>
      </c>
      <c r="G29">
        <v>1</v>
      </c>
    </row>
    <row r="30" spans="1:7" x14ac:dyDescent="0.2">
      <c r="A30" s="2" t="s">
        <v>531</v>
      </c>
      <c r="B30">
        <v>17</v>
      </c>
      <c r="F30" s="2" t="s">
        <v>122</v>
      </c>
      <c r="G30">
        <v>1</v>
      </c>
    </row>
    <row r="31" spans="1:7" x14ac:dyDescent="0.2">
      <c r="A31" s="2" t="s">
        <v>645</v>
      </c>
      <c r="B31">
        <v>12</v>
      </c>
      <c r="F31" s="2" t="s">
        <v>253</v>
      </c>
      <c r="G31">
        <v>1</v>
      </c>
    </row>
    <row r="32" spans="1:7" x14ac:dyDescent="0.2">
      <c r="A32" s="2" t="s">
        <v>469</v>
      </c>
      <c r="B32">
        <v>11</v>
      </c>
      <c r="F32" s="2" t="s">
        <v>1072</v>
      </c>
      <c r="G32">
        <v>102</v>
      </c>
    </row>
    <row r="33" spans="1:2" x14ac:dyDescent="0.2">
      <c r="A33" s="2" t="s">
        <v>832</v>
      </c>
      <c r="B33">
        <v>9</v>
      </c>
    </row>
    <row r="34" spans="1:2" x14ac:dyDescent="0.2">
      <c r="A34" s="2" t="s">
        <v>681</v>
      </c>
      <c r="B34">
        <v>8</v>
      </c>
    </row>
    <row r="35" spans="1:2" x14ac:dyDescent="0.2">
      <c r="A35" s="2" t="s">
        <v>737</v>
      </c>
      <c r="B35">
        <v>6</v>
      </c>
    </row>
    <row r="36" spans="1:2" x14ac:dyDescent="0.2">
      <c r="A36" s="2" t="s">
        <v>1089</v>
      </c>
      <c r="B36">
        <v>2</v>
      </c>
    </row>
    <row r="37" spans="1:2" x14ac:dyDescent="0.2">
      <c r="A37" s="2" t="s">
        <v>1072</v>
      </c>
      <c r="B37">
        <v>148</v>
      </c>
    </row>
  </sheetData>
  <mergeCells count="2">
    <mergeCell ref="A1:B1"/>
    <mergeCell ref="F1:G1"/>
  </mergeCells>
  <pageMargins left="0.7" right="0.7" top="0.75" bottom="0.75" header="0.3" footer="0.3"/>
  <drawing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6119B-47CF-5145-91D0-E1E292528047}">
  <sheetPr>
    <tabColor theme="8" tint="0.79998168889431442"/>
  </sheetPr>
  <dimension ref="A1:C58"/>
  <sheetViews>
    <sheetView workbookViewId="0">
      <selection sqref="A1:A1048576"/>
    </sheetView>
  </sheetViews>
  <sheetFormatPr baseColWidth="10" defaultRowHeight="15" x14ac:dyDescent="0.2"/>
  <sheetData>
    <row r="1" spans="1:3" x14ac:dyDescent="0.2">
      <c r="A1" s="8" t="s">
        <v>1263</v>
      </c>
      <c r="B1" s="8" t="s">
        <v>2</v>
      </c>
      <c r="C1" s="8" t="s">
        <v>1727</v>
      </c>
    </row>
    <row r="2" spans="1:3" x14ac:dyDescent="0.2">
      <c r="A2" t="s">
        <v>57</v>
      </c>
      <c r="B2" t="s">
        <v>58</v>
      </c>
      <c r="C2">
        <v>416</v>
      </c>
    </row>
    <row r="3" spans="1:3" x14ac:dyDescent="0.2">
      <c r="A3" t="s">
        <v>70</v>
      </c>
      <c r="B3" t="s">
        <v>71</v>
      </c>
      <c r="C3">
        <v>361.7</v>
      </c>
    </row>
    <row r="4" spans="1:3" x14ac:dyDescent="0.2">
      <c r="A4" t="s">
        <v>99</v>
      </c>
      <c r="B4" t="s">
        <v>100</v>
      </c>
      <c r="C4">
        <v>251.1</v>
      </c>
    </row>
    <row r="5" spans="1:3" x14ac:dyDescent="0.2">
      <c r="A5" t="s">
        <v>109</v>
      </c>
      <c r="B5" t="s">
        <v>110</v>
      </c>
      <c r="C5">
        <v>241.9</v>
      </c>
    </row>
    <row r="6" spans="1:3" x14ac:dyDescent="0.2">
      <c r="A6" t="s">
        <v>129</v>
      </c>
      <c r="B6" t="s">
        <v>130</v>
      </c>
      <c r="C6">
        <v>193.9</v>
      </c>
    </row>
    <row r="7" spans="1:3" x14ac:dyDescent="0.2">
      <c r="A7" t="s">
        <v>156</v>
      </c>
      <c r="B7" t="s">
        <v>157</v>
      </c>
      <c r="C7">
        <v>219.8</v>
      </c>
    </row>
    <row r="8" spans="1:3" x14ac:dyDescent="0.2">
      <c r="A8" t="s">
        <v>171</v>
      </c>
      <c r="B8" t="s">
        <v>172</v>
      </c>
      <c r="C8">
        <v>125.9</v>
      </c>
    </row>
    <row r="9" spans="1:3" x14ac:dyDescent="0.2">
      <c r="A9" t="s">
        <v>178</v>
      </c>
      <c r="B9" t="s">
        <v>179</v>
      </c>
      <c r="C9">
        <v>128.9</v>
      </c>
    </row>
    <row r="10" spans="1:3" x14ac:dyDescent="0.2">
      <c r="A10" t="s">
        <v>192</v>
      </c>
      <c r="B10" t="s">
        <v>193</v>
      </c>
      <c r="C10">
        <v>124.8</v>
      </c>
    </row>
    <row r="11" spans="1:3" x14ac:dyDescent="0.2">
      <c r="A11" t="s">
        <v>228</v>
      </c>
      <c r="B11" t="s">
        <v>229</v>
      </c>
      <c r="C11">
        <v>119.9</v>
      </c>
    </row>
    <row r="12" spans="1:3" x14ac:dyDescent="0.2">
      <c r="A12" t="s">
        <v>245</v>
      </c>
      <c r="B12" t="s">
        <v>666</v>
      </c>
      <c r="C12">
        <v>103</v>
      </c>
    </row>
    <row r="13" spans="1:3" x14ac:dyDescent="0.2">
      <c r="A13" t="s">
        <v>250</v>
      </c>
      <c r="B13" t="s">
        <v>251</v>
      </c>
      <c r="C13">
        <v>101.9</v>
      </c>
    </row>
    <row r="14" spans="1:3" x14ac:dyDescent="0.2">
      <c r="A14" t="s">
        <v>258</v>
      </c>
      <c r="B14" t="s">
        <v>259</v>
      </c>
      <c r="C14">
        <v>119.9</v>
      </c>
    </row>
    <row r="15" spans="1:3" x14ac:dyDescent="0.2">
      <c r="A15" t="s">
        <v>263</v>
      </c>
      <c r="B15" t="s">
        <v>264</v>
      </c>
      <c r="C15">
        <v>95.8</v>
      </c>
    </row>
    <row r="16" spans="1:3" x14ac:dyDescent="0.2">
      <c r="A16" t="s">
        <v>269</v>
      </c>
      <c r="B16" t="s">
        <v>270</v>
      </c>
      <c r="C16">
        <v>94.9</v>
      </c>
    </row>
    <row r="17" spans="1:3" x14ac:dyDescent="0.2">
      <c r="A17" t="s">
        <v>272</v>
      </c>
      <c r="B17" t="s">
        <v>273</v>
      </c>
      <c r="C17">
        <v>119.9</v>
      </c>
    </row>
    <row r="18" spans="1:3" x14ac:dyDescent="0.2">
      <c r="A18" t="s">
        <v>278</v>
      </c>
      <c r="B18" t="s">
        <v>279</v>
      </c>
      <c r="C18">
        <v>97.9</v>
      </c>
    </row>
    <row r="19" spans="1:3" x14ac:dyDescent="0.2">
      <c r="A19" t="s">
        <v>287</v>
      </c>
      <c r="B19" t="s">
        <v>288</v>
      </c>
      <c r="C19">
        <v>77</v>
      </c>
    </row>
    <row r="20" spans="1:3" x14ac:dyDescent="0.2">
      <c r="A20" t="s">
        <v>292</v>
      </c>
      <c r="B20" t="s">
        <v>1230</v>
      </c>
      <c r="C20">
        <v>80</v>
      </c>
    </row>
    <row r="21" spans="1:3" x14ac:dyDescent="0.2">
      <c r="A21" t="s">
        <v>311</v>
      </c>
      <c r="B21" t="s">
        <v>312</v>
      </c>
      <c r="C21">
        <v>80.8</v>
      </c>
    </row>
    <row r="22" spans="1:3" x14ac:dyDescent="0.2">
      <c r="A22" t="s">
        <v>316</v>
      </c>
      <c r="B22" t="s">
        <v>317</v>
      </c>
      <c r="C22">
        <v>79.099999999999994</v>
      </c>
    </row>
    <row r="23" spans="1:3" x14ac:dyDescent="0.2">
      <c r="A23" t="s">
        <v>321</v>
      </c>
      <c r="B23" t="s">
        <v>322</v>
      </c>
      <c r="C23">
        <v>74.8</v>
      </c>
    </row>
    <row r="24" spans="1:3" x14ac:dyDescent="0.2">
      <c r="A24" t="s">
        <v>327</v>
      </c>
      <c r="B24" t="s">
        <v>328</v>
      </c>
      <c r="C24">
        <v>61.9</v>
      </c>
    </row>
    <row r="25" spans="1:3" x14ac:dyDescent="0.2">
      <c r="A25" t="s">
        <v>333</v>
      </c>
      <c r="B25" t="s">
        <v>334</v>
      </c>
      <c r="C25">
        <v>59</v>
      </c>
    </row>
    <row r="26" spans="1:3" x14ac:dyDescent="0.2">
      <c r="A26" t="s">
        <v>351</v>
      </c>
      <c r="B26" t="s">
        <v>1233</v>
      </c>
      <c r="C26">
        <v>60</v>
      </c>
    </row>
    <row r="27" spans="1:3" x14ac:dyDescent="0.2">
      <c r="A27" t="s">
        <v>353</v>
      </c>
      <c r="B27" t="s">
        <v>354</v>
      </c>
      <c r="C27">
        <v>61.9</v>
      </c>
    </row>
    <row r="28" spans="1:3" x14ac:dyDescent="0.2">
      <c r="A28" t="s">
        <v>355</v>
      </c>
      <c r="B28" t="s">
        <v>356</v>
      </c>
      <c r="C28">
        <v>72.900000000000006</v>
      </c>
    </row>
    <row r="29" spans="1:3" x14ac:dyDescent="0.2">
      <c r="A29" t="s">
        <v>361</v>
      </c>
      <c r="B29" t="s">
        <v>362</v>
      </c>
      <c r="C29">
        <v>77</v>
      </c>
    </row>
    <row r="30" spans="1:3" x14ac:dyDescent="0.2">
      <c r="A30" t="s">
        <v>367</v>
      </c>
      <c r="B30" t="s">
        <v>368</v>
      </c>
      <c r="C30">
        <v>56</v>
      </c>
    </row>
    <row r="31" spans="1:3" x14ac:dyDescent="0.2">
      <c r="A31" t="s">
        <v>370</v>
      </c>
      <c r="B31" t="s">
        <v>371</v>
      </c>
      <c r="C31">
        <v>55</v>
      </c>
    </row>
    <row r="32" spans="1:3" x14ac:dyDescent="0.2">
      <c r="A32" t="s">
        <v>377</v>
      </c>
      <c r="B32" t="s">
        <v>378</v>
      </c>
      <c r="C32">
        <v>62.1</v>
      </c>
    </row>
    <row r="33" spans="1:3" x14ac:dyDescent="0.2">
      <c r="A33" t="s">
        <v>383</v>
      </c>
      <c r="B33" t="s">
        <v>384</v>
      </c>
      <c r="C33">
        <v>37.9</v>
      </c>
    </row>
    <row r="34" spans="1:3" x14ac:dyDescent="0.2">
      <c r="A34" t="s">
        <v>387</v>
      </c>
      <c r="B34" t="s">
        <v>388</v>
      </c>
      <c r="C34">
        <v>94.9</v>
      </c>
    </row>
    <row r="35" spans="1:3" x14ac:dyDescent="0.2">
      <c r="A35" t="s">
        <v>395</v>
      </c>
      <c r="B35" t="s">
        <v>396</v>
      </c>
      <c r="C35">
        <v>27</v>
      </c>
    </row>
    <row r="36" spans="1:3" x14ac:dyDescent="0.2">
      <c r="A36" t="s">
        <v>400</v>
      </c>
      <c r="B36" t="s">
        <v>1083</v>
      </c>
      <c r="C36">
        <v>52.1</v>
      </c>
    </row>
    <row r="37" spans="1:3" x14ac:dyDescent="0.2">
      <c r="A37" t="s">
        <v>401</v>
      </c>
      <c r="B37" t="s">
        <v>402</v>
      </c>
      <c r="C37">
        <v>37.9</v>
      </c>
    </row>
    <row r="38" spans="1:3" x14ac:dyDescent="0.2">
      <c r="A38" t="s">
        <v>403</v>
      </c>
      <c r="B38" t="s">
        <v>1234</v>
      </c>
      <c r="C38">
        <v>53.9</v>
      </c>
    </row>
    <row r="39" spans="1:3" x14ac:dyDescent="0.2">
      <c r="A39" t="s">
        <v>406</v>
      </c>
      <c r="B39" t="s">
        <v>407</v>
      </c>
      <c r="C39">
        <v>94.8</v>
      </c>
    </row>
    <row r="40" spans="1:3" x14ac:dyDescent="0.2">
      <c r="A40" t="s">
        <v>412</v>
      </c>
      <c r="B40" t="s">
        <v>1235</v>
      </c>
      <c r="C40">
        <v>53.9</v>
      </c>
    </row>
    <row r="41" spans="1:3" x14ac:dyDescent="0.2">
      <c r="A41" t="s">
        <v>414</v>
      </c>
      <c r="B41" t="s">
        <v>415</v>
      </c>
      <c r="C41">
        <v>42</v>
      </c>
    </row>
    <row r="42" spans="1:3" x14ac:dyDescent="0.2">
      <c r="A42" t="s">
        <v>422</v>
      </c>
      <c r="B42" t="s">
        <v>1082</v>
      </c>
      <c r="C42">
        <v>52.9</v>
      </c>
    </row>
    <row r="43" spans="1:3" x14ac:dyDescent="0.2">
      <c r="A43" t="s">
        <v>430</v>
      </c>
      <c r="B43" t="s">
        <v>431</v>
      </c>
      <c r="C43">
        <v>61.8</v>
      </c>
    </row>
    <row r="44" spans="1:3" x14ac:dyDescent="0.2">
      <c r="A44" t="s">
        <v>435</v>
      </c>
      <c r="B44" t="s">
        <v>436</v>
      </c>
      <c r="C44">
        <v>75</v>
      </c>
    </row>
    <row r="45" spans="1:3" x14ac:dyDescent="0.2">
      <c r="A45" t="s">
        <v>836</v>
      </c>
      <c r="B45" t="s">
        <v>835</v>
      </c>
      <c r="C45">
        <v>27.9</v>
      </c>
    </row>
    <row r="46" spans="1:3" x14ac:dyDescent="0.2">
      <c r="A46" t="s">
        <v>849</v>
      </c>
      <c r="B46" t="s">
        <v>848</v>
      </c>
      <c r="C46">
        <v>22.7</v>
      </c>
    </row>
    <row r="47" spans="1:3" x14ac:dyDescent="0.2">
      <c r="A47" t="s">
        <v>867</v>
      </c>
      <c r="B47" t="s">
        <v>866</v>
      </c>
      <c r="C47">
        <v>17.8</v>
      </c>
    </row>
    <row r="48" spans="1:3" x14ac:dyDescent="0.2">
      <c r="A48" t="s">
        <v>1152</v>
      </c>
      <c r="B48" t="s">
        <v>1153</v>
      </c>
      <c r="C48">
        <v>11.9</v>
      </c>
    </row>
    <row r="49" spans="1:3" x14ac:dyDescent="0.2">
      <c r="A49" t="s">
        <v>843</v>
      </c>
      <c r="B49" t="s">
        <v>842</v>
      </c>
      <c r="C49">
        <v>24.8</v>
      </c>
    </row>
    <row r="50" spans="1:3" x14ac:dyDescent="0.2">
      <c r="A50" t="s">
        <v>775</v>
      </c>
      <c r="B50" t="s">
        <v>774</v>
      </c>
      <c r="C50">
        <v>44.9</v>
      </c>
    </row>
    <row r="51" spans="1:3" x14ac:dyDescent="0.2">
      <c r="A51" t="s">
        <v>827</v>
      </c>
      <c r="B51" t="s">
        <v>826</v>
      </c>
      <c r="C51">
        <v>30.8</v>
      </c>
    </row>
    <row r="52" spans="1:3" x14ac:dyDescent="0.2">
      <c r="A52" t="s">
        <v>802</v>
      </c>
      <c r="B52" t="s">
        <v>1095</v>
      </c>
      <c r="C52">
        <v>35</v>
      </c>
    </row>
    <row r="53" spans="1:3" x14ac:dyDescent="0.2">
      <c r="A53" t="s">
        <v>799</v>
      </c>
      <c r="B53" t="s">
        <v>798</v>
      </c>
      <c r="C53">
        <v>37</v>
      </c>
    </row>
    <row r="54" spans="1:3" x14ac:dyDescent="0.2">
      <c r="A54" t="s">
        <v>768</v>
      </c>
      <c r="B54" t="s">
        <v>767</v>
      </c>
      <c r="C54">
        <v>47</v>
      </c>
    </row>
    <row r="55" spans="1:3" x14ac:dyDescent="0.2">
      <c r="A55" t="s">
        <v>792</v>
      </c>
      <c r="B55" t="s">
        <v>791</v>
      </c>
      <c r="C55">
        <v>39</v>
      </c>
    </row>
    <row r="56" spans="1:3" x14ac:dyDescent="0.2">
      <c r="A56" t="s">
        <v>713</v>
      </c>
      <c r="B56" t="s">
        <v>712</v>
      </c>
      <c r="C56">
        <v>75</v>
      </c>
    </row>
    <row r="57" spans="1:3" x14ac:dyDescent="0.2">
      <c r="A57" t="s">
        <v>834</v>
      </c>
      <c r="B57" t="s">
        <v>833</v>
      </c>
      <c r="C57">
        <v>28</v>
      </c>
    </row>
    <row r="58" spans="1:3" x14ac:dyDescent="0.2">
      <c r="A58" t="s">
        <v>865</v>
      </c>
      <c r="B58" t="s">
        <v>864</v>
      </c>
      <c r="C58">
        <v>17.8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D7994-8108-B146-9E19-417F9A22869D}">
  <sheetPr>
    <tabColor theme="8" tint="0.79998168889431442"/>
  </sheetPr>
  <dimension ref="A1:AT58"/>
  <sheetViews>
    <sheetView workbookViewId="0">
      <selection sqref="A1:XFD1048576"/>
    </sheetView>
  </sheetViews>
  <sheetFormatPr baseColWidth="10" defaultRowHeight="15" x14ac:dyDescent="0.2"/>
  <sheetData>
    <row r="1" spans="1:46" x14ac:dyDescent="0.2">
      <c r="A1" t="s">
        <v>1730</v>
      </c>
      <c r="B1" t="s">
        <v>1729</v>
      </c>
      <c r="C1" t="s">
        <v>1409</v>
      </c>
      <c r="D1" t="s">
        <v>1059</v>
      </c>
      <c r="E1" t="s">
        <v>1056</v>
      </c>
      <c r="F1" t="s">
        <v>1057</v>
      </c>
      <c r="G1" t="s">
        <v>1058</v>
      </c>
      <c r="H1" t="s">
        <v>1098</v>
      </c>
      <c r="I1" t="s">
        <v>1054</v>
      </c>
      <c r="J1" t="s">
        <v>0</v>
      </c>
      <c r="K1" t="s">
        <v>1</v>
      </c>
      <c r="L1" t="s">
        <v>1049</v>
      </c>
      <c r="M1" t="s">
        <v>1050</v>
      </c>
      <c r="N1" t="s">
        <v>1051</v>
      </c>
      <c r="O1" t="s">
        <v>7</v>
      </c>
      <c r="P1" t="s">
        <v>8</v>
      </c>
      <c r="Q1" t="s">
        <v>9</v>
      </c>
      <c r="R1" t="s">
        <v>10</v>
      </c>
      <c r="S1" t="s">
        <v>11</v>
      </c>
      <c r="T1" t="s">
        <v>12</v>
      </c>
      <c r="U1" t="s">
        <v>14</v>
      </c>
      <c r="V1" t="s">
        <v>15</v>
      </c>
      <c r="W1" t="s">
        <v>16</v>
      </c>
      <c r="X1" t="s">
        <v>17</v>
      </c>
      <c r="Y1" t="s">
        <v>19</v>
      </c>
      <c r="Z1" t="s">
        <v>20</v>
      </c>
      <c r="AA1" t="s">
        <v>21</v>
      </c>
      <c r="AB1" t="s">
        <v>22</v>
      </c>
      <c r="AC1" t="s">
        <v>1052</v>
      </c>
      <c r="AD1" t="s">
        <v>881</v>
      </c>
      <c r="AE1" t="s">
        <v>878</v>
      </c>
      <c r="AF1" t="s">
        <v>876</v>
      </c>
      <c r="AG1" t="s">
        <v>1053</v>
      </c>
      <c r="AH1" t="s">
        <v>1015</v>
      </c>
      <c r="AI1" t="s">
        <v>1013</v>
      </c>
      <c r="AJ1" t="s">
        <v>1012</v>
      </c>
      <c r="AK1" t="s">
        <v>1011</v>
      </c>
      <c r="AL1" t="s">
        <v>1009</v>
      </c>
      <c r="AM1" t="s">
        <v>1006</v>
      </c>
      <c r="AN1" t="s">
        <v>1402</v>
      </c>
      <c r="AO1" t="s">
        <v>1403</v>
      </c>
      <c r="AP1" t="s">
        <v>1404</v>
      </c>
      <c r="AQ1" t="s">
        <v>1405</v>
      </c>
      <c r="AR1" t="s">
        <v>1406</v>
      </c>
      <c r="AS1" t="s">
        <v>1407</v>
      </c>
      <c r="AT1" t="s">
        <v>1408</v>
      </c>
    </row>
    <row r="2" spans="1:46" x14ac:dyDescent="0.2">
      <c r="A2">
        <v>1</v>
      </c>
      <c r="B2">
        <v>1</v>
      </c>
      <c r="D2" t="s">
        <v>1746</v>
      </c>
      <c r="F2">
        <v>414</v>
      </c>
      <c r="H2" t="s">
        <v>1100</v>
      </c>
      <c r="I2" t="s">
        <v>1105</v>
      </c>
      <c r="J2">
        <v>42938868</v>
      </c>
      <c r="K2" t="s">
        <v>57</v>
      </c>
      <c r="L2" t="s">
        <v>58</v>
      </c>
      <c r="M2" t="s">
        <v>507</v>
      </c>
      <c r="N2" t="s">
        <v>507</v>
      </c>
      <c r="O2" t="s">
        <v>46</v>
      </c>
      <c r="P2" t="s">
        <v>59</v>
      </c>
      <c r="Q2" t="s">
        <v>60</v>
      </c>
      <c r="R2" t="s">
        <v>48</v>
      </c>
      <c r="S2" t="s">
        <v>49</v>
      </c>
      <c r="T2" t="s">
        <v>50</v>
      </c>
      <c r="U2" t="s">
        <v>39</v>
      </c>
      <c r="V2" t="s">
        <v>39</v>
      </c>
      <c r="W2" t="s">
        <v>39</v>
      </c>
      <c r="X2" t="s">
        <v>41</v>
      </c>
      <c r="Y2" t="s">
        <v>41</v>
      </c>
      <c r="Z2" t="s">
        <v>39</v>
      </c>
      <c r="AA2" t="s">
        <v>39</v>
      </c>
      <c r="AB2" t="s">
        <v>40</v>
      </c>
      <c r="AC2" t="s">
        <v>41</v>
      </c>
      <c r="AD2" t="s">
        <v>461</v>
      </c>
      <c r="AE2" t="s">
        <v>448</v>
      </c>
      <c r="AF2" t="s">
        <v>446</v>
      </c>
      <c r="AG2" t="s">
        <v>887</v>
      </c>
      <c r="AH2">
        <v>45539.418749999997</v>
      </c>
      <c r="AI2">
        <v>45534.418749999997</v>
      </c>
      <c r="AJ2">
        <v>416</v>
      </c>
      <c r="AK2">
        <v>0</v>
      </c>
      <c r="AL2" t="s">
        <v>960</v>
      </c>
      <c r="AM2">
        <v>3</v>
      </c>
      <c r="AN2" t="s">
        <v>1503</v>
      </c>
      <c r="AO2" t="s">
        <v>1504</v>
      </c>
      <c r="AP2" t="s">
        <v>1505</v>
      </c>
      <c r="AQ2" t="s">
        <v>521</v>
      </c>
      <c r="AR2" t="s">
        <v>1300</v>
      </c>
      <c r="AS2" t="s">
        <v>1381</v>
      </c>
      <c r="AT2" t="s">
        <v>1291</v>
      </c>
    </row>
    <row r="3" spans="1:46" x14ac:dyDescent="0.2">
      <c r="A3">
        <v>0</v>
      </c>
      <c r="B3">
        <v>0</v>
      </c>
      <c r="F3">
        <v>359.7</v>
      </c>
      <c r="H3" t="s">
        <v>1100</v>
      </c>
      <c r="I3" t="s">
        <v>1105</v>
      </c>
      <c r="J3">
        <v>43635040</v>
      </c>
      <c r="K3" t="s">
        <v>70</v>
      </c>
      <c r="L3" t="s">
        <v>71</v>
      </c>
      <c r="M3" t="s">
        <v>71</v>
      </c>
      <c r="N3" t="s">
        <v>71</v>
      </c>
      <c r="O3" t="s">
        <v>72</v>
      </c>
      <c r="P3">
        <v>0</v>
      </c>
      <c r="Q3" t="s">
        <v>73</v>
      </c>
      <c r="R3" t="s">
        <v>48</v>
      </c>
      <c r="S3" t="s">
        <v>49</v>
      </c>
      <c r="T3" t="s">
        <v>74</v>
      </c>
      <c r="U3" t="s">
        <v>41</v>
      </c>
      <c r="V3" t="s">
        <v>39</v>
      </c>
      <c r="W3" t="s">
        <v>39</v>
      </c>
      <c r="X3" t="s">
        <v>41</v>
      </c>
      <c r="Y3" t="s">
        <v>41</v>
      </c>
      <c r="Z3" t="s">
        <v>39</v>
      </c>
      <c r="AA3" t="s">
        <v>39</v>
      </c>
      <c r="AB3" t="s">
        <v>40</v>
      </c>
      <c r="AC3" t="s">
        <v>41</v>
      </c>
      <c r="AD3" t="s">
        <v>461</v>
      </c>
      <c r="AE3" t="s">
        <v>138</v>
      </c>
      <c r="AF3" t="s">
        <v>492</v>
      </c>
      <c r="AG3" t="s">
        <v>887</v>
      </c>
      <c r="AH3">
        <v>45593.788194444445</v>
      </c>
      <c r="AI3">
        <v>45588.788194444445</v>
      </c>
      <c r="AJ3">
        <v>361.7</v>
      </c>
      <c r="AK3">
        <v>0</v>
      </c>
      <c r="AL3" t="s">
        <v>955</v>
      </c>
      <c r="AM3">
        <v>3</v>
      </c>
      <c r="AN3" t="s">
        <v>1703</v>
      </c>
      <c r="AO3" t="s">
        <v>1704</v>
      </c>
      <c r="AP3" t="s">
        <v>1705</v>
      </c>
      <c r="AQ3" t="s">
        <v>539</v>
      </c>
      <c r="AR3" t="s">
        <v>1323</v>
      </c>
      <c r="AS3" t="s">
        <v>1706</v>
      </c>
      <c r="AT3" t="s">
        <v>1368</v>
      </c>
    </row>
    <row r="4" spans="1:46" x14ac:dyDescent="0.2">
      <c r="A4">
        <v>0</v>
      </c>
      <c r="B4">
        <v>0</v>
      </c>
      <c r="F4">
        <v>249.1</v>
      </c>
      <c r="H4" t="s">
        <v>1100</v>
      </c>
      <c r="I4" t="s">
        <v>1105</v>
      </c>
      <c r="J4">
        <v>44475813</v>
      </c>
      <c r="K4" t="s">
        <v>99</v>
      </c>
      <c r="L4" t="s">
        <v>100</v>
      </c>
      <c r="M4" t="s">
        <v>100</v>
      </c>
      <c r="N4" t="s">
        <v>100</v>
      </c>
      <c r="O4" t="s">
        <v>53</v>
      </c>
      <c r="P4" t="s">
        <v>46</v>
      </c>
      <c r="Q4" t="s">
        <v>82</v>
      </c>
      <c r="R4" t="s">
        <v>48</v>
      </c>
      <c r="S4" t="s">
        <v>49</v>
      </c>
      <c r="T4" t="s">
        <v>74</v>
      </c>
      <c r="U4" t="s">
        <v>39</v>
      </c>
      <c r="V4" t="s">
        <v>39</v>
      </c>
      <c r="W4" t="s">
        <v>39</v>
      </c>
      <c r="X4" t="s">
        <v>41</v>
      </c>
      <c r="Y4" t="s">
        <v>41</v>
      </c>
      <c r="Z4" t="s">
        <v>39</v>
      </c>
      <c r="AA4" t="s">
        <v>39</v>
      </c>
      <c r="AB4" t="s">
        <v>40</v>
      </c>
      <c r="AC4" t="s">
        <v>41</v>
      </c>
      <c r="AD4" t="s">
        <v>461</v>
      </c>
      <c r="AE4" t="s">
        <v>477</v>
      </c>
      <c r="AF4" t="s">
        <v>492</v>
      </c>
      <c r="AG4" t="s">
        <v>887</v>
      </c>
      <c r="AH4">
        <v>45704.376388888886</v>
      </c>
      <c r="AI4">
        <v>45699.376388888886</v>
      </c>
      <c r="AJ4">
        <v>251.1</v>
      </c>
      <c r="AK4">
        <v>0</v>
      </c>
      <c r="AL4" t="s">
        <v>965</v>
      </c>
      <c r="AM4">
        <v>3</v>
      </c>
      <c r="AN4" t="s">
        <v>1279</v>
      </c>
      <c r="AO4" t="s">
        <v>1688</v>
      </c>
      <c r="AP4" t="s">
        <v>1689</v>
      </c>
      <c r="AQ4" t="s">
        <v>525</v>
      </c>
      <c r="AR4" t="s">
        <v>1384</v>
      </c>
      <c r="AS4" t="s">
        <v>1681</v>
      </c>
      <c r="AT4" t="s">
        <v>1368</v>
      </c>
    </row>
    <row r="5" spans="1:46" x14ac:dyDescent="0.2">
      <c r="A5">
        <v>1</v>
      </c>
      <c r="B5">
        <v>1</v>
      </c>
      <c r="D5" t="s">
        <v>1744</v>
      </c>
      <c r="F5">
        <v>239.9</v>
      </c>
      <c r="H5" t="s">
        <v>1100</v>
      </c>
      <c r="I5" t="s">
        <v>1105</v>
      </c>
      <c r="J5">
        <v>44937909</v>
      </c>
      <c r="K5" t="s">
        <v>109</v>
      </c>
      <c r="L5" t="s">
        <v>110</v>
      </c>
      <c r="M5" t="s">
        <v>110</v>
      </c>
      <c r="N5" t="s">
        <v>110</v>
      </c>
      <c r="O5" t="s">
        <v>111</v>
      </c>
      <c r="P5">
        <v>0</v>
      </c>
      <c r="Q5" t="s">
        <v>112</v>
      </c>
      <c r="R5" t="s">
        <v>48</v>
      </c>
      <c r="S5" t="s">
        <v>49</v>
      </c>
      <c r="T5" t="s">
        <v>74</v>
      </c>
      <c r="U5" t="s">
        <v>39</v>
      </c>
      <c r="V5" t="s">
        <v>39</v>
      </c>
      <c r="W5" t="s">
        <v>39</v>
      </c>
      <c r="X5" t="s">
        <v>41</v>
      </c>
      <c r="Y5" t="s">
        <v>41</v>
      </c>
      <c r="Z5" t="s">
        <v>39</v>
      </c>
      <c r="AA5" t="s">
        <v>39</v>
      </c>
      <c r="AB5" t="s">
        <v>40</v>
      </c>
      <c r="AC5" t="s">
        <v>41</v>
      </c>
      <c r="AD5" t="s">
        <v>461</v>
      </c>
      <c r="AE5" t="s">
        <v>112</v>
      </c>
      <c r="AF5" t="s">
        <v>492</v>
      </c>
      <c r="AG5" t="s">
        <v>956</v>
      </c>
      <c r="AH5">
        <v>0</v>
      </c>
      <c r="AI5">
        <v>45708.541666666664</v>
      </c>
      <c r="AJ5">
        <v>241.9</v>
      </c>
      <c r="AK5">
        <v>0</v>
      </c>
      <c r="AL5" t="s">
        <v>944</v>
      </c>
      <c r="AM5">
        <v>3</v>
      </c>
      <c r="AN5" t="s">
        <v>1562</v>
      </c>
      <c r="AO5" t="s">
        <v>1286</v>
      </c>
      <c r="AP5" t="s">
        <v>1563</v>
      </c>
      <c r="AQ5" t="s">
        <v>457</v>
      </c>
      <c r="AR5" t="s">
        <v>1343</v>
      </c>
      <c r="AS5" t="s">
        <v>1367</v>
      </c>
      <c r="AT5" t="s">
        <v>1564</v>
      </c>
    </row>
    <row r="6" spans="1:46" x14ac:dyDescent="0.2">
      <c r="A6">
        <v>1</v>
      </c>
      <c r="B6">
        <v>1</v>
      </c>
      <c r="D6" t="s">
        <v>1743</v>
      </c>
      <c r="F6">
        <v>191.9</v>
      </c>
      <c r="H6" t="s">
        <v>1100</v>
      </c>
      <c r="I6" t="s">
        <v>1105</v>
      </c>
      <c r="J6">
        <v>44938825</v>
      </c>
      <c r="K6" t="s">
        <v>129</v>
      </c>
      <c r="L6" t="s">
        <v>130</v>
      </c>
      <c r="M6" t="s">
        <v>130</v>
      </c>
      <c r="N6" t="s">
        <v>130</v>
      </c>
      <c r="O6" t="s">
        <v>46</v>
      </c>
      <c r="P6">
        <v>0</v>
      </c>
      <c r="Q6" t="s">
        <v>82</v>
      </c>
      <c r="R6" t="s">
        <v>36</v>
      </c>
      <c r="S6" t="s">
        <v>49</v>
      </c>
      <c r="T6" t="s">
        <v>50</v>
      </c>
      <c r="U6" t="s">
        <v>39</v>
      </c>
      <c r="V6" t="s">
        <v>39</v>
      </c>
      <c r="W6" t="s">
        <v>39</v>
      </c>
      <c r="X6" t="s">
        <v>41</v>
      </c>
      <c r="Y6" t="s">
        <v>41</v>
      </c>
      <c r="Z6" t="s">
        <v>39</v>
      </c>
      <c r="AA6" t="s">
        <v>39</v>
      </c>
      <c r="AB6" t="s">
        <v>40</v>
      </c>
      <c r="AC6" t="s">
        <v>41</v>
      </c>
      <c r="AD6" t="s">
        <v>461</v>
      </c>
      <c r="AE6" t="s">
        <v>474</v>
      </c>
      <c r="AF6" t="s">
        <v>492</v>
      </c>
      <c r="AG6" t="s">
        <v>887</v>
      </c>
      <c r="AH6">
        <v>45761.606249999997</v>
      </c>
      <c r="AI6">
        <v>45756.606249999997</v>
      </c>
      <c r="AJ6">
        <v>193.9</v>
      </c>
      <c r="AK6">
        <v>0</v>
      </c>
      <c r="AL6" t="s">
        <v>916</v>
      </c>
      <c r="AM6">
        <v>3</v>
      </c>
      <c r="AN6" t="s">
        <v>1536</v>
      </c>
      <c r="AO6" t="s">
        <v>1617</v>
      </c>
      <c r="AP6" t="s">
        <v>1618</v>
      </c>
      <c r="AQ6" t="s">
        <v>636</v>
      </c>
      <c r="AR6" t="s">
        <v>1393</v>
      </c>
      <c r="AS6" t="s">
        <v>1375</v>
      </c>
      <c r="AT6" t="s">
        <v>1320</v>
      </c>
    </row>
    <row r="7" spans="1:46" x14ac:dyDescent="0.2">
      <c r="A7">
        <v>1</v>
      </c>
      <c r="B7">
        <v>1</v>
      </c>
      <c r="D7" t="s">
        <v>1736</v>
      </c>
      <c r="F7">
        <v>217.8</v>
      </c>
      <c r="H7" t="s">
        <v>1100</v>
      </c>
      <c r="I7" t="s">
        <v>1105</v>
      </c>
      <c r="J7">
        <v>44937929</v>
      </c>
      <c r="K7" t="s">
        <v>156</v>
      </c>
      <c r="L7" t="s">
        <v>157</v>
      </c>
      <c r="M7" t="s">
        <v>528</v>
      </c>
      <c r="N7" t="s">
        <v>528</v>
      </c>
      <c r="O7" t="s">
        <v>53</v>
      </c>
      <c r="P7" t="s">
        <v>46</v>
      </c>
      <c r="Q7" t="s">
        <v>154</v>
      </c>
      <c r="R7" t="s">
        <v>36</v>
      </c>
      <c r="S7" t="s">
        <v>49</v>
      </c>
      <c r="T7" t="s">
        <v>50</v>
      </c>
      <c r="U7" t="s">
        <v>39</v>
      </c>
      <c r="V7" t="s">
        <v>39</v>
      </c>
      <c r="W7" t="s">
        <v>39</v>
      </c>
      <c r="X7" t="s">
        <v>41</v>
      </c>
      <c r="Y7" t="s">
        <v>41</v>
      </c>
      <c r="Z7" t="s">
        <v>39</v>
      </c>
      <c r="AA7" t="s">
        <v>39</v>
      </c>
      <c r="AB7" t="s">
        <v>40</v>
      </c>
      <c r="AC7" t="s">
        <v>41</v>
      </c>
      <c r="AD7" t="s">
        <v>461</v>
      </c>
      <c r="AE7" t="s">
        <v>138</v>
      </c>
      <c r="AF7" t="s">
        <v>446</v>
      </c>
      <c r="AG7" t="s">
        <v>922</v>
      </c>
      <c r="AH7">
        <v>45735.629861111112</v>
      </c>
      <c r="AI7">
        <v>45730.629861111112</v>
      </c>
      <c r="AJ7">
        <v>219.8</v>
      </c>
      <c r="AK7">
        <v>0</v>
      </c>
      <c r="AL7" t="s">
        <v>960</v>
      </c>
      <c r="AM7">
        <v>3</v>
      </c>
      <c r="AN7" t="s">
        <v>1314</v>
      </c>
      <c r="AO7" t="s">
        <v>1725</v>
      </c>
      <c r="AP7" t="s">
        <v>1726</v>
      </c>
      <c r="AQ7" t="s">
        <v>491</v>
      </c>
      <c r="AR7" t="s">
        <v>1344</v>
      </c>
      <c r="AS7" t="s">
        <v>1326</v>
      </c>
      <c r="AT7" t="s">
        <v>1269</v>
      </c>
    </row>
    <row r="8" spans="1:46" x14ac:dyDescent="0.2">
      <c r="A8">
        <v>0</v>
      </c>
      <c r="B8">
        <v>0</v>
      </c>
      <c r="F8">
        <v>123.9</v>
      </c>
      <c r="H8" t="s">
        <v>1100</v>
      </c>
      <c r="I8" t="s">
        <v>1105</v>
      </c>
      <c r="J8">
        <v>45190855</v>
      </c>
      <c r="K8" t="s">
        <v>171</v>
      </c>
      <c r="L8" t="s">
        <v>172</v>
      </c>
      <c r="M8" t="s">
        <v>172</v>
      </c>
      <c r="N8" t="s">
        <v>172</v>
      </c>
      <c r="O8" t="s">
        <v>53</v>
      </c>
      <c r="P8" t="s">
        <v>173</v>
      </c>
      <c r="Q8" t="s">
        <v>69</v>
      </c>
      <c r="R8" t="s">
        <v>36</v>
      </c>
      <c r="S8" t="s">
        <v>49</v>
      </c>
      <c r="T8" t="s">
        <v>74</v>
      </c>
      <c r="U8" t="s">
        <v>39</v>
      </c>
      <c r="V8" t="s">
        <v>39</v>
      </c>
      <c r="W8" t="s">
        <v>39</v>
      </c>
      <c r="X8" t="s">
        <v>41</v>
      </c>
      <c r="Y8" t="s">
        <v>41</v>
      </c>
      <c r="Z8" t="s">
        <v>39</v>
      </c>
      <c r="AA8" t="s">
        <v>39</v>
      </c>
      <c r="AB8" t="s">
        <v>40</v>
      </c>
      <c r="AC8" t="s">
        <v>41</v>
      </c>
      <c r="AD8" t="s">
        <v>461</v>
      </c>
      <c r="AE8" t="s">
        <v>448</v>
      </c>
      <c r="AF8" t="s">
        <v>492</v>
      </c>
      <c r="AG8" t="s">
        <v>963</v>
      </c>
      <c r="AH8">
        <v>45829.554166666669</v>
      </c>
      <c r="AI8">
        <v>45824.554166666669</v>
      </c>
      <c r="AJ8">
        <v>125.9</v>
      </c>
      <c r="AK8">
        <v>0</v>
      </c>
      <c r="AL8" t="s">
        <v>962</v>
      </c>
      <c r="AM8">
        <v>3</v>
      </c>
      <c r="AN8" t="s">
        <v>1530</v>
      </c>
      <c r="AO8" t="s">
        <v>1531</v>
      </c>
      <c r="AP8" t="s">
        <v>1532</v>
      </c>
      <c r="AQ8" t="s">
        <v>1344</v>
      </c>
      <c r="AR8" t="s">
        <v>1533</v>
      </c>
      <c r="AS8" t="s">
        <v>1326</v>
      </c>
      <c r="AT8" t="s">
        <v>1513</v>
      </c>
    </row>
    <row r="9" spans="1:46" x14ac:dyDescent="0.2">
      <c r="A9">
        <v>1</v>
      </c>
      <c r="B9">
        <v>1</v>
      </c>
      <c r="D9" t="s">
        <v>1745</v>
      </c>
      <c r="F9">
        <v>126.9</v>
      </c>
      <c r="H9" t="s">
        <v>1101</v>
      </c>
      <c r="I9" t="s">
        <v>1105</v>
      </c>
      <c r="J9">
        <v>45190845</v>
      </c>
      <c r="K9" t="s">
        <v>178</v>
      </c>
      <c r="L9" t="s">
        <v>179</v>
      </c>
      <c r="M9" t="s">
        <v>635</v>
      </c>
      <c r="N9" t="s">
        <v>635</v>
      </c>
      <c r="O9" t="s">
        <v>90</v>
      </c>
      <c r="P9" t="s">
        <v>96</v>
      </c>
      <c r="Q9" t="s">
        <v>138</v>
      </c>
      <c r="R9" t="s">
        <v>48</v>
      </c>
      <c r="S9" t="s">
        <v>37</v>
      </c>
      <c r="T9" t="s">
        <v>50</v>
      </c>
      <c r="U9" t="s">
        <v>39</v>
      </c>
      <c r="V9" t="s">
        <v>39</v>
      </c>
      <c r="W9" t="s">
        <v>39</v>
      </c>
      <c r="X9" t="s">
        <v>41</v>
      </c>
      <c r="Y9" t="s">
        <v>41</v>
      </c>
      <c r="Z9" t="s">
        <v>39</v>
      </c>
      <c r="AA9" t="s">
        <v>39</v>
      </c>
      <c r="AB9" t="s">
        <v>39</v>
      </c>
      <c r="AC9" t="s">
        <v>41</v>
      </c>
      <c r="AD9" t="s">
        <v>461</v>
      </c>
      <c r="AE9" t="s">
        <v>138</v>
      </c>
      <c r="AF9" t="s">
        <v>446</v>
      </c>
      <c r="AG9" t="s">
        <v>922</v>
      </c>
      <c r="AH9">
        <v>45826.588194444441</v>
      </c>
      <c r="AI9">
        <v>45821.588194444441</v>
      </c>
      <c r="AJ9">
        <v>128.9</v>
      </c>
      <c r="AK9">
        <v>0</v>
      </c>
      <c r="AL9" t="s">
        <v>982</v>
      </c>
      <c r="AM9">
        <v>3</v>
      </c>
      <c r="AN9" t="s">
        <v>1330</v>
      </c>
      <c r="AO9" t="s">
        <v>1506</v>
      </c>
      <c r="AP9" t="s">
        <v>1507</v>
      </c>
      <c r="AQ9" t="s">
        <v>1278</v>
      </c>
      <c r="AR9" t="s">
        <v>1389</v>
      </c>
      <c r="AS9" t="s">
        <v>1508</v>
      </c>
      <c r="AT9" t="s">
        <v>1509</v>
      </c>
    </row>
    <row r="10" spans="1:46" x14ac:dyDescent="0.2">
      <c r="A10">
        <v>1</v>
      </c>
      <c r="B10">
        <v>1</v>
      </c>
      <c r="D10" t="s">
        <v>1731</v>
      </c>
      <c r="F10">
        <v>122.8</v>
      </c>
      <c r="H10" t="s">
        <v>1101</v>
      </c>
      <c r="I10" t="s">
        <v>1105</v>
      </c>
      <c r="J10">
        <v>45190901</v>
      </c>
      <c r="K10" t="s">
        <v>192</v>
      </c>
      <c r="L10" t="s">
        <v>193</v>
      </c>
      <c r="M10" t="s">
        <v>193</v>
      </c>
      <c r="N10" t="s">
        <v>193</v>
      </c>
      <c r="O10" t="s">
        <v>90</v>
      </c>
      <c r="P10" t="s">
        <v>46</v>
      </c>
      <c r="Q10" t="s">
        <v>138</v>
      </c>
      <c r="R10" t="s">
        <v>36</v>
      </c>
      <c r="S10" t="s">
        <v>49</v>
      </c>
      <c r="T10" t="s">
        <v>50</v>
      </c>
      <c r="U10" t="s">
        <v>39</v>
      </c>
      <c r="V10" t="s">
        <v>39</v>
      </c>
      <c r="W10" t="s">
        <v>39</v>
      </c>
      <c r="X10" t="s">
        <v>41</v>
      </c>
      <c r="Y10" t="s">
        <v>41</v>
      </c>
      <c r="Z10" t="s">
        <v>39</v>
      </c>
      <c r="AA10" t="s">
        <v>39</v>
      </c>
      <c r="AB10" t="s">
        <v>40</v>
      </c>
      <c r="AC10" t="s">
        <v>41</v>
      </c>
      <c r="AD10" t="s">
        <v>461</v>
      </c>
      <c r="AE10" t="s">
        <v>138</v>
      </c>
      <c r="AF10" t="s">
        <v>531</v>
      </c>
      <c r="AG10" t="s">
        <v>939</v>
      </c>
      <c r="AH10">
        <v>45830.703472222223</v>
      </c>
      <c r="AI10">
        <v>45825.703472222223</v>
      </c>
      <c r="AJ10">
        <v>124.8</v>
      </c>
      <c r="AK10">
        <v>0</v>
      </c>
      <c r="AL10" t="s">
        <v>905</v>
      </c>
      <c r="AM10">
        <v>3</v>
      </c>
      <c r="AN10" t="s">
        <v>1614</v>
      </c>
      <c r="AO10" t="s">
        <v>1615</v>
      </c>
      <c r="AP10" t="s">
        <v>1616</v>
      </c>
      <c r="AQ10" t="s">
        <v>530</v>
      </c>
      <c r="AR10" t="s">
        <v>1300</v>
      </c>
      <c r="AS10" t="s">
        <v>1555</v>
      </c>
      <c r="AT10" t="s">
        <v>1383</v>
      </c>
    </row>
    <row r="11" spans="1:46" x14ac:dyDescent="0.2">
      <c r="A11">
        <v>0</v>
      </c>
      <c r="B11">
        <v>0</v>
      </c>
      <c r="F11">
        <v>117.9</v>
      </c>
      <c r="H11" t="s">
        <v>1101</v>
      </c>
      <c r="I11" t="s">
        <v>1105</v>
      </c>
      <c r="J11">
        <v>45346221</v>
      </c>
      <c r="K11" t="s">
        <v>228</v>
      </c>
      <c r="L11" t="s">
        <v>229</v>
      </c>
      <c r="M11" t="s">
        <v>229</v>
      </c>
      <c r="N11" t="s">
        <v>229</v>
      </c>
      <c r="O11" t="s">
        <v>80</v>
      </c>
      <c r="P11" t="s">
        <v>90</v>
      </c>
      <c r="Q11" t="s">
        <v>98</v>
      </c>
      <c r="R11" t="s">
        <v>36</v>
      </c>
      <c r="S11" t="s">
        <v>230</v>
      </c>
      <c r="T11" t="s">
        <v>50</v>
      </c>
      <c r="U11" t="s">
        <v>39</v>
      </c>
      <c r="V11" t="s">
        <v>39</v>
      </c>
      <c r="W11" t="s">
        <v>39</v>
      </c>
      <c r="X11" t="s">
        <v>41</v>
      </c>
      <c r="Y11" t="s">
        <v>41</v>
      </c>
      <c r="Z11" t="s">
        <v>39</v>
      </c>
      <c r="AA11" t="s">
        <v>39</v>
      </c>
      <c r="AB11" t="s">
        <v>40</v>
      </c>
      <c r="AC11" t="s">
        <v>41</v>
      </c>
      <c r="AD11" t="s">
        <v>461</v>
      </c>
      <c r="AE11" t="s">
        <v>537</v>
      </c>
      <c r="AF11" t="s">
        <v>458</v>
      </c>
      <c r="AG11" t="s">
        <v>896</v>
      </c>
      <c r="AH11">
        <v>0</v>
      </c>
      <c r="AI11">
        <v>45830.552777777775</v>
      </c>
      <c r="AJ11">
        <v>119.9</v>
      </c>
      <c r="AK11">
        <v>0</v>
      </c>
      <c r="AL11" t="s">
        <v>898</v>
      </c>
      <c r="AM11">
        <v>3</v>
      </c>
      <c r="AN11" t="s">
        <v>1355</v>
      </c>
      <c r="AO11" t="s">
        <v>1710</v>
      </c>
      <c r="AP11" t="s">
        <v>1711</v>
      </c>
      <c r="AQ11" t="s">
        <v>467</v>
      </c>
      <c r="AR11" t="s">
        <v>1365</v>
      </c>
      <c r="AS11" t="s">
        <v>1712</v>
      </c>
      <c r="AT11" t="s">
        <v>1521</v>
      </c>
    </row>
    <row r="12" spans="1:46" x14ac:dyDescent="0.2">
      <c r="A12">
        <v>0</v>
      </c>
      <c r="B12">
        <v>0</v>
      </c>
      <c r="D12" t="s">
        <v>1731</v>
      </c>
      <c r="F12">
        <v>101</v>
      </c>
      <c r="H12" t="s">
        <v>1100</v>
      </c>
      <c r="I12" t="s">
        <v>1105</v>
      </c>
      <c r="J12">
        <v>45472786</v>
      </c>
      <c r="K12" t="s">
        <v>245</v>
      </c>
      <c r="L12" t="s">
        <v>666</v>
      </c>
      <c r="M12" t="s">
        <v>666</v>
      </c>
      <c r="N12" t="s">
        <v>666</v>
      </c>
      <c r="O12" t="s">
        <v>46</v>
      </c>
      <c r="P12" t="s">
        <v>53</v>
      </c>
      <c r="Q12" t="s">
        <v>82</v>
      </c>
      <c r="R12" t="s">
        <v>36</v>
      </c>
      <c r="S12" t="s">
        <v>37</v>
      </c>
      <c r="T12" t="s">
        <v>50</v>
      </c>
      <c r="U12" t="s">
        <v>39</v>
      </c>
      <c r="V12" t="s">
        <v>39</v>
      </c>
      <c r="W12" t="s">
        <v>39</v>
      </c>
      <c r="X12" t="s">
        <v>41</v>
      </c>
      <c r="Y12" t="s">
        <v>41</v>
      </c>
      <c r="Z12" t="s">
        <v>39</v>
      </c>
      <c r="AA12" t="s">
        <v>39</v>
      </c>
      <c r="AB12" t="s">
        <v>40</v>
      </c>
      <c r="AC12" t="s">
        <v>41</v>
      </c>
      <c r="AD12" t="s">
        <v>461</v>
      </c>
      <c r="AE12" t="s">
        <v>477</v>
      </c>
      <c r="AF12" t="s">
        <v>492</v>
      </c>
      <c r="AG12" t="s">
        <v>922</v>
      </c>
      <c r="AH12">
        <v>45852.512499999997</v>
      </c>
      <c r="AI12">
        <v>45847.512499999997</v>
      </c>
      <c r="AJ12">
        <v>103</v>
      </c>
      <c r="AK12" t="s">
        <v>990</v>
      </c>
      <c r="AL12" t="s">
        <v>936</v>
      </c>
      <c r="AM12">
        <v>1</v>
      </c>
      <c r="AN12" t="s">
        <v>1367</v>
      </c>
      <c r="AO12" t="s">
        <v>1565</v>
      </c>
      <c r="AP12" t="s">
        <v>1566</v>
      </c>
      <c r="AQ12" t="s">
        <v>525</v>
      </c>
      <c r="AR12" t="s">
        <v>1384</v>
      </c>
      <c r="AS12" t="s">
        <v>1567</v>
      </c>
      <c r="AT12" t="s">
        <v>1517</v>
      </c>
    </row>
    <row r="13" spans="1:46" x14ac:dyDescent="0.2">
      <c r="A13">
        <v>0</v>
      </c>
      <c r="B13">
        <v>0</v>
      </c>
      <c r="F13">
        <v>99.9</v>
      </c>
      <c r="H13" t="s">
        <v>1101</v>
      </c>
      <c r="I13" t="s">
        <v>1105</v>
      </c>
      <c r="J13">
        <v>45472762</v>
      </c>
      <c r="K13" t="s">
        <v>250</v>
      </c>
      <c r="L13" t="s">
        <v>251</v>
      </c>
      <c r="M13" t="s">
        <v>670</v>
      </c>
      <c r="N13" t="s">
        <v>670</v>
      </c>
      <c r="O13" t="s">
        <v>252</v>
      </c>
      <c r="P13" t="s">
        <v>253</v>
      </c>
      <c r="Q13" t="s">
        <v>254</v>
      </c>
      <c r="R13" t="s">
        <v>48</v>
      </c>
      <c r="S13" t="s">
        <v>49</v>
      </c>
      <c r="T13" t="s">
        <v>74</v>
      </c>
      <c r="U13" t="s">
        <v>39</v>
      </c>
      <c r="V13" t="s">
        <v>39</v>
      </c>
      <c r="W13" t="s">
        <v>39</v>
      </c>
      <c r="X13" t="s">
        <v>41</v>
      </c>
      <c r="Y13" t="s">
        <v>41</v>
      </c>
      <c r="Z13" t="s">
        <v>39</v>
      </c>
      <c r="AA13" t="s">
        <v>39</v>
      </c>
      <c r="AB13" t="s">
        <v>39</v>
      </c>
      <c r="AC13" t="s">
        <v>41</v>
      </c>
      <c r="AD13" t="s">
        <v>461</v>
      </c>
      <c r="AE13" t="s">
        <v>138</v>
      </c>
      <c r="AF13" t="s">
        <v>446</v>
      </c>
      <c r="AG13" t="s">
        <v>922</v>
      </c>
      <c r="AH13">
        <v>45853.550694444442</v>
      </c>
      <c r="AI13">
        <v>45848.550694444442</v>
      </c>
      <c r="AJ13">
        <v>101.9</v>
      </c>
      <c r="AK13">
        <v>0</v>
      </c>
      <c r="AL13" t="s">
        <v>979</v>
      </c>
      <c r="AM13">
        <v>1</v>
      </c>
      <c r="AN13" t="s">
        <v>1360</v>
      </c>
      <c r="AO13" t="s">
        <v>1577</v>
      </c>
      <c r="AP13" t="s">
        <v>1578</v>
      </c>
      <c r="AQ13" t="s">
        <v>676</v>
      </c>
      <c r="AR13" t="s">
        <v>1284</v>
      </c>
      <c r="AS13" t="s">
        <v>1579</v>
      </c>
      <c r="AT13" t="s">
        <v>1576</v>
      </c>
    </row>
    <row r="14" spans="1:46" x14ac:dyDescent="0.2">
      <c r="A14">
        <v>1</v>
      </c>
      <c r="B14">
        <v>1</v>
      </c>
      <c r="D14" t="s">
        <v>1732</v>
      </c>
      <c r="F14">
        <v>117.9</v>
      </c>
      <c r="H14" t="s">
        <v>1100</v>
      </c>
      <c r="I14" t="s">
        <v>1105</v>
      </c>
      <c r="J14">
        <v>45472546</v>
      </c>
      <c r="K14" t="s">
        <v>258</v>
      </c>
      <c r="L14" t="s">
        <v>259</v>
      </c>
      <c r="M14" t="s">
        <v>259</v>
      </c>
      <c r="N14" t="s">
        <v>259</v>
      </c>
      <c r="O14" t="s">
        <v>72</v>
      </c>
      <c r="P14" t="s">
        <v>173</v>
      </c>
      <c r="Q14" t="s">
        <v>54</v>
      </c>
      <c r="R14" t="s">
        <v>48</v>
      </c>
      <c r="S14" t="s">
        <v>49</v>
      </c>
      <c r="T14" t="s">
        <v>74</v>
      </c>
      <c r="U14" t="s">
        <v>39</v>
      </c>
      <c r="V14" t="s">
        <v>39</v>
      </c>
      <c r="W14" t="s">
        <v>39</v>
      </c>
      <c r="X14" t="s">
        <v>41</v>
      </c>
      <c r="Y14" t="s">
        <v>41</v>
      </c>
      <c r="Z14" t="s">
        <v>39</v>
      </c>
      <c r="AA14" t="s">
        <v>39</v>
      </c>
      <c r="AB14" t="s">
        <v>40</v>
      </c>
      <c r="AC14" t="s">
        <v>41</v>
      </c>
      <c r="AD14" t="s">
        <v>461</v>
      </c>
      <c r="AE14" t="s">
        <v>477</v>
      </c>
      <c r="AF14" t="s">
        <v>458</v>
      </c>
      <c r="AG14" t="s">
        <v>896</v>
      </c>
      <c r="AH14">
        <v>0</v>
      </c>
      <c r="AI14">
        <v>45830.546527777777</v>
      </c>
      <c r="AJ14">
        <v>119.9</v>
      </c>
      <c r="AK14">
        <v>0</v>
      </c>
      <c r="AL14" t="s">
        <v>998</v>
      </c>
      <c r="AM14">
        <v>3</v>
      </c>
      <c r="AN14" t="s">
        <v>1642</v>
      </c>
      <c r="AO14" t="s">
        <v>1643</v>
      </c>
      <c r="AP14" t="s">
        <v>1346</v>
      </c>
      <c r="AQ14" t="s">
        <v>1300</v>
      </c>
      <c r="AR14" t="s">
        <v>1301</v>
      </c>
      <c r="AS14" t="s">
        <v>1644</v>
      </c>
      <c r="AT14" t="s">
        <v>1290</v>
      </c>
    </row>
    <row r="15" spans="1:46" x14ac:dyDescent="0.2">
      <c r="A15">
        <v>0</v>
      </c>
      <c r="B15">
        <v>0</v>
      </c>
      <c r="F15">
        <v>93.8</v>
      </c>
      <c r="H15" t="s">
        <v>1101</v>
      </c>
      <c r="I15" t="s">
        <v>1105</v>
      </c>
      <c r="J15">
        <v>45472971</v>
      </c>
      <c r="K15" t="s">
        <v>263</v>
      </c>
      <c r="L15" t="s">
        <v>264</v>
      </c>
      <c r="M15" t="s">
        <v>264</v>
      </c>
      <c r="N15" t="s">
        <v>264</v>
      </c>
      <c r="O15" t="s">
        <v>68</v>
      </c>
      <c r="P15" t="s">
        <v>46</v>
      </c>
      <c r="Q15" t="s">
        <v>60</v>
      </c>
      <c r="R15" t="s">
        <v>48</v>
      </c>
      <c r="S15" t="s">
        <v>49</v>
      </c>
      <c r="T15" t="s">
        <v>50</v>
      </c>
      <c r="U15" t="s">
        <v>39</v>
      </c>
      <c r="V15" t="s">
        <v>39</v>
      </c>
      <c r="W15" t="s">
        <v>39</v>
      </c>
      <c r="X15" t="s">
        <v>41</v>
      </c>
      <c r="Y15" t="s">
        <v>41</v>
      </c>
      <c r="Z15" t="s">
        <v>39</v>
      </c>
      <c r="AA15" t="s">
        <v>39</v>
      </c>
      <c r="AB15" t="s">
        <v>40</v>
      </c>
      <c r="AC15" t="s">
        <v>41</v>
      </c>
      <c r="AD15" t="s">
        <v>461</v>
      </c>
      <c r="AE15" t="s">
        <v>678</v>
      </c>
      <c r="AF15" t="s">
        <v>492</v>
      </c>
      <c r="AG15" t="s">
        <v>887</v>
      </c>
      <c r="AH15">
        <v>45859.652083333334</v>
      </c>
      <c r="AI15">
        <v>45854.652083333334</v>
      </c>
      <c r="AJ15">
        <v>95.8</v>
      </c>
      <c r="AK15">
        <v>0</v>
      </c>
      <c r="AL15" t="s">
        <v>960</v>
      </c>
      <c r="AM15">
        <v>3</v>
      </c>
      <c r="AN15" t="s">
        <v>1388</v>
      </c>
      <c r="AO15" t="s">
        <v>1619</v>
      </c>
      <c r="AP15" t="s">
        <v>1620</v>
      </c>
      <c r="AQ15" t="s">
        <v>467</v>
      </c>
      <c r="AR15" t="s">
        <v>1370</v>
      </c>
      <c r="AS15" t="s">
        <v>1590</v>
      </c>
      <c r="AT15" t="s">
        <v>1305</v>
      </c>
    </row>
    <row r="16" spans="1:46" x14ac:dyDescent="0.2">
      <c r="A16">
        <v>1</v>
      </c>
      <c r="B16">
        <v>1</v>
      </c>
      <c r="D16" t="s">
        <v>1740</v>
      </c>
      <c r="F16">
        <v>92.9</v>
      </c>
      <c r="H16" t="s">
        <v>1101</v>
      </c>
      <c r="I16" t="s">
        <v>1105</v>
      </c>
      <c r="J16">
        <v>45472996</v>
      </c>
      <c r="K16" t="s">
        <v>269</v>
      </c>
      <c r="L16" t="s">
        <v>270</v>
      </c>
      <c r="M16" t="s">
        <v>270</v>
      </c>
      <c r="N16" t="s">
        <v>270</v>
      </c>
      <c r="O16" t="s">
        <v>271</v>
      </c>
      <c r="P16" t="s">
        <v>90</v>
      </c>
      <c r="Q16" t="s">
        <v>65</v>
      </c>
      <c r="R16" t="s">
        <v>48</v>
      </c>
      <c r="S16" t="s">
        <v>49</v>
      </c>
      <c r="T16" t="s">
        <v>50</v>
      </c>
      <c r="U16" t="s">
        <v>39</v>
      </c>
      <c r="V16" t="s">
        <v>39</v>
      </c>
      <c r="W16" t="s">
        <v>39</v>
      </c>
      <c r="X16" t="s">
        <v>41</v>
      </c>
      <c r="Y16" t="s">
        <v>41</v>
      </c>
      <c r="Z16" t="s">
        <v>39</v>
      </c>
      <c r="AA16" t="s">
        <v>39</v>
      </c>
      <c r="AB16" t="s">
        <v>40</v>
      </c>
      <c r="AC16" t="s">
        <v>41</v>
      </c>
      <c r="AD16" t="s">
        <v>461</v>
      </c>
      <c r="AE16" t="s">
        <v>286</v>
      </c>
      <c r="AF16" t="s">
        <v>458</v>
      </c>
      <c r="AG16" t="s">
        <v>887</v>
      </c>
      <c r="AH16">
        <v>45860.586805555555</v>
      </c>
      <c r="AI16">
        <v>45855.586805555555</v>
      </c>
      <c r="AJ16">
        <v>94.9</v>
      </c>
      <c r="AK16">
        <v>0</v>
      </c>
      <c r="AL16" t="s">
        <v>904</v>
      </c>
      <c r="AM16">
        <v>3</v>
      </c>
      <c r="AN16" t="s">
        <v>1673</v>
      </c>
      <c r="AO16" t="s">
        <v>1674</v>
      </c>
      <c r="AP16" t="s">
        <v>1675</v>
      </c>
      <c r="AQ16" t="s">
        <v>1297</v>
      </c>
      <c r="AR16" t="s">
        <v>1303</v>
      </c>
      <c r="AS16" t="s">
        <v>1493</v>
      </c>
      <c r="AT16" t="s">
        <v>1335</v>
      </c>
    </row>
    <row r="17" spans="1:46" x14ac:dyDescent="0.2">
      <c r="A17">
        <v>1</v>
      </c>
      <c r="B17">
        <v>1</v>
      </c>
      <c r="D17" t="s">
        <v>1737</v>
      </c>
      <c r="F17">
        <v>117.9</v>
      </c>
      <c r="H17" t="s">
        <v>1101</v>
      </c>
      <c r="I17" t="s">
        <v>1105</v>
      </c>
      <c r="J17">
        <v>45472654</v>
      </c>
      <c r="K17" t="s">
        <v>272</v>
      </c>
      <c r="L17" t="s">
        <v>273</v>
      </c>
      <c r="M17" t="s">
        <v>273</v>
      </c>
      <c r="N17" t="s">
        <v>273</v>
      </c>
      <c r="O17" t="s">
        <v>90</v>
      </c>
      <c r="P17">
        <v>0</v>
      </c>
      <c r="Q17" t="s">
        <v>138</v>
      </c>
      <c r="R17" t="s">
        <v>48</v>
      </c>
      <c r="S17" t="s">
        <v>49</v>
      </c>
      <c r="T17" t="s">
        <v>74</v>
      </c>
      <c r="U17" t="s">
        <v>39</v>
      </c>
      <c r="V17" t="s">
        <v>39</v>
      </c>
      <c r="W17" t="s">
        <v>39</v>
      </c>
      <c r="X17" t="s">
        <v>41</v>
      </c>
      <c r="Y17" t="s">
        <v>41</v>
      </c>
      <c r="Z17" t="s">
        <v>39</v>
      </c>
      <c r="AA17" t="s">
        <v>39</v>
      </c>
      <c r="AB17" t="s">
        <v>40</v>
      </c>
      <c r="AC17" t="s">
        <v>41</v>
      </c>
      <c r="AD17" t="s">
        <v>461</v>
      </c>
      <c r="AE17" t="s">
        <v>138</v>
      </c>
      <c r="AF17" t="s">
        <v>458</v>
      </c>
      <c r="AG17" t="s">
        <v>896</v>
      </c>
      <c r="AH17">
        <v>0</v>
      </c>
      <c r="AI17">
        <v>45830.554861111108</v>
      </c>
      <c r="AJ17">
        <v>119.9</v>
      </c>
      <c r="AK17">
        <v>0</v>
      </c>
      <c r="AL17" t="s">
        <v>895</v>
      </c>
      <c r="AM17">
        <v>1</v>
      </c>
      <c r="AN17" t="s">
        <v>1685</v>
      </c>
      <c r="AO17" t="s">
        <v>1686</v>
      </c>
      <c r="AP17" t="s">
        <v>1687</v>
      </c>
      <c r="AQ17" t="s">
        <v>636</v>
      </c>
      <c r="AR17" t="s">
        <v>1378</v>
      </c>
      <c r="AS17" t="s">
        <v>1276</v>
      </c>
      <c r="AT17" t="s">
        <v>1277</v>
      </c>
    </row>
    <row r="18" spans="1:46" x14ac:dyDescent="0.2">
      <c r="A18">
        <v>0</v>
      </c>
      <c r="B18">
        <v>0</v>
      </c>
      <c r="F18">
        <v>95.9</v>
      </c>
      <c r="H18" t="s">
        <v>1100</v>
      </c>
      <c r="I18" t="s">
        <v>1105</v>
      </c>
      <c r="J18">
        <v>45472979</v>
      </c>
      <c r="K18" t="s">
        <v>278</v>
      </c>
      <c r="L18" t="s">
        <v>279</v>
      </c>
      <c r="M18" t="s">
        <v>675</v>
      </c>
      <c r="N18" t="s">
        <v>675</v>
      </c>
      <c r="O18" t="s">
        <v>72</v>
      </c>
      <c r="P18" t="s">
        <v>90</v>
      </c>
      <c r="Q18" t="s">
        <v>203</v>
      </c>
      <c r="R18" t="s">
        <v>36</v>
      </c>
      <c r="S18" t="s">
        <v>37</v>
      </c>
      <c r="T18" t="s">
        <v>50</v>
      </c>
      <c r="U18" t="s">
        <v>39</v>
      </c>
      <c r="V18" t="s">
        <v>39</v>
      </c>
      <c r="W18" t="s">
        <v>39</v>
      </c>
      <c r="X18" t="s">
        <v>41</v>
      </c>
      <c r="Y18" t="s">
        <v>41</v>
      </c>
      <c r="Z18" t="s">
        <v>39</v>
      </c>
      <c r="AA18" t="s">
        <v>39</v>
      </c>
      <c r="AB18" t="s">
        <v>40</v>
      </c>
      <c r="AC18" t="s">
        <v>41</v>
      </c>
      <c r="AD18" t="s">
        <v>461</v>
      </c>
      <c r="AE18" t="s">
        <v>138</v>
      </c>
      <c r="AF18" t="s">
        <v>446</v>
      </c>
      <c r="AG18" t="s">
        <v>887</v>
      </c>
      <c r="AH18">
        <v>45857.543749999997</v>
      </c>
      <c r="AI18">
        <v>45852.543749999997</v>
      </c>
      <c r="AJ18">
        <v>97.9</v>
      </c>
      <c r="AK18">
        <v>0</v>
      </c>
      <c r="AL18" t="s">
        <v>915</v>
      </c>
      <c r="AM18">
        <v>1</v>
      </c>
      <c r="AN18" t="s">
        <v>1720</v>
      </c>
      <c r="AO18" t="s">
        <v>1721</v>
      </c>
      <c r="AP18" t="s">
        <v>1722</v>
      </c>
      <c r="AQ18" t="s">
        <v>457</v>
      </c>
      <c r="AR18" t="s">
        <v>1336</v>
      </c>
      <c r="AS18" t="s">
        <v>1310</v>
      </c>
      <c r="AT18" t="s">
        <v>1295</v>
      </c>
    </row>
    <row r="19" spans="1:46" x14ac:dyDescent="0.2">
      <c r="A19">
        <v>0</v>
      </c>
      <c r="B19">
        <v>0</v>
      </c>
      <c r="F19">
        <v>75</v>
      </c>
      <c r="H19" t="s">
        <v>1100</v>
      </c>
      <c r="I19" t="s">
        <v>1105</v>
      </c>
      <c r="J19">
        <v>45606391</v>
      </c>
      <c r="K19" t="s">
        <v>287</v>
      </c>
      <c r="L19" t="s">
        <v>288</v>
      </c>
      <c r="M19" t="s">
        <v>288</v>
      </c>
      <c r="N19" t="s">
        <v>288</v>
      </c>
      <c r="O19" t="s">
        <v>53</v>
      </c>
      <c r="P19" t="s">
        <v>89</v>
      </c>
      <c r="Q19" t="s">
        <v>54</v>
      </c>
      <c r="R19" t="s">
        <v>48</v>
      </c>
      <c r="S19" t="s">
        <v>37</v>
      </c>
      <c r="T19" t="s">
        <v>289</v>
      </c>
      <c r="U19" t="s">
        <v>39</v>
      </c>
      <c r="V19" t="s">
        <v>39</v>
      </c>
      <c r="W19" t="s">
        <v>39</v>
      </c>
      <c r="X19" t="s">
        <v>41</v>
      </c>
      <c r="Y19" t="s">
        <v>41</v>
      </c>
      <c r="Z19" t="s">
        <v>39</v>
      </c>
      <c r="AA19" t="s">
        <v>39</v>
      </c>
      <c r="AB19" t="s">
        <v>40</v>
      </c>
      <c r="AC19" t="s">
        <v>41</v>
      </c>
      <c r="AD19" t="s">
        <v>461</v>
      </c>
      <c r="AE19" t="s">
        <v>477</v>
      </c>
      <c r="AF19" t="s">
        <v>458</v>
      </c>
      <c r="AG19" t="s">
        <v>887</v>
      </c>
      <c r="AH19">
        <v>45878.51458333333</v>
      </c>
      <c r="AI19">
        <v>45873.51458333333</v>
      </c>
      <c r="AJ19">
        <v>77</v>
      </c>
      <c r="AK19">
        <v>0</v>
      </c>
      <c r="AL19" t="s">
        <v>931</v>
      </c>
      <c r="AM19">
        <v>3</v>
      </c>
      <c r="AN19" t="s">
        <v>1488</v>
      </c>
      <c r="AO19" t="s">
        <v>1489</v>
      </c>
      <c r="AP19" t="s">
        <v>1490</v>
      </c>
      <c r="AQ19" t="s">
        <v>1313</v>
      </c>
      <c r="AR19" t="s">
        <v>1370</v>
      </c>
      <c r="AS19" t="s">
        <v>1491</v>
      </c>
      <c r="AT19" t="s">
        <v>1492</v>
      </c>
    </row>
    <row r="20" spans="1:46" x14ac:dyDescent="0.2">
      <c r="A20">
        <v>1</v>
      </c>
      <c r="B20">
        <v>1</v>
      </c>
      <c r="D20" t="s">
        <v>1742</v>
      </c>
      <c r="F20">
        <v>75</v>
      </c>
      <c r="H20" t="s">
        <v>1100</v>
      </c>
      <c r="I20" t="s">
        <v>1105</v>
      </c>
      <c r="J20">
        <v>45606729</v>
      </c>
      <c r="K20" t="s">
        <v>292</v>
      </c>
      <c r="L20" t="s">
        <v>1230</v>
      </c>
      <c r="M20" t="s">
        <v>703</v>
      </c>
      <c r="N20" t="s">
        <v>703</v>
      </c>
      <c r="O20" t="s">
        <v>53</v>
      </c>
      <c r="P20">
        <v>0</v>
      </c>
      <c r="Q20" t="s">
        <v>146</v>
      </c>
      <c r="R20" t="s">
        <v>48</v>
      </c>
      <c r="S20" t="s">
        <v>37</v>
      </c>
      <c r="T20" t="s">
        <v>50</v>
      </c>
      <c r="U20" t="s">
        <v>39</v>
      </c>
      <c r="V20" t="s">
        <v>39</v>
      </c>
      <c r="W20" t="s">
        <v>39</v>
      </c>
      <c r="X20" t="s">
        <v>41</v>
      </c>
      <c r="Y20" t="s">
        <v>41</v>
      </c>
      <c r="Z20" t="s">
        <v>39</v>
      </c>
      <c r="AA20" t="s">
        <v>39</v>
      </c>
      <c r="AB20" t="s">
        <v>40</v>
      </c>
      <c r="AC20" t="s">
        <v>41</v>
      </c>
      <c r="AD20" t="s">
        <v>461</v>
      </c>
      <c r="AE20" t="s">
        <v>448</v>
      </c>
      <c r="AF20" t="s">
        <v>446</v>
      </c>
      <c r="AG20" t="s">
        <v>922</v>
      </c>
      <c r="AH20">
        <v>45875.531944444447</v>
      </c>
      <c r="AI20">
        <v>45870.531944444447</v>
      </c>
      <c r="AJ20">
        <v>80</v>
      </c>
      <c r="AK20">
        <v>0</v>
      </c>
      <c r="AL20" t="s">
        <v>978</v>
      </c>
      <c r="AM20">
        <v>3</v>
      </c>
      <c r="AN20" t="s">
        <v>1381</v>
      </c>
      <c r="AO20" t="s">
        <v>1622</v>
      </c>
      <c r="AP20" t="s">
        <v>1623</v>
      </c>
      <c r="AQ20" t="s">
        <v>467</v>
      </c>
      <c r="AR20" t="s">
        <v>1298</v>
      </c>
      <c r="AS20" t="s">
        <v>1624</v>
      </c>
      <c r="AT20" t="s">
        <v>1526</v>
      </c>
    </row>
    <row r="21" spans="1:46" x14ac:dyDescent="0.2">
      <c r="A21">
        <v>1</v>
      </c>
      <c r="B21">
        <v>1</v>
      </c>
      <c r="F21">
        <v>78</v>
      </c>
      <c r="H21" t="s">
        <v>1101</v>
      </c>
      <c r="I21" t="s">
        <v>1105</v>
      </c>
      <c r="J21">
        <v>45763896</v>
      </c>
      <c r="K21" t="s">
        <v>311</v>
      </c>
      <c r="L21" t="s">
        <v>312</v>
      </c>
      <c r="M21" t="s">
        <v>312</v>
      </c>
      <c r="N21" t="s">
        <v>312</v>
      </c>
      <c r="O21" t="s">
        <v>68</v>
      </c>
      <c r="P21" t="s">
        <v>59</v>
      </c>
      <c r="Q21" t="s">
        <v>138</v>
      </c>
      <c r="R21" t="s">
        <v>48</v>
      </c>
      <c r="S21" t="s">
        <v>49</v>
      </c>
      <c r="T21" t="s">
        <v>50</v>
      </c>
      <c r="U21" t="s">
        <v>39</v>
      </c>
      <c r="V21" t="s">
        <v>39</v>
      </c>
      <c r="W21" t="s">
        <v>39</v>
      </c>
      <c r="X21" t="s">
        <v>41</v>
      </c>
      <c r="Y21" t="s">
        <v>41</v>
      </c>
      <c r="Z21" t="s">
        <v>39</v>
      </c>
      <c r="AA21" t="s">
        <v>39</v>
      </c>
      <c r="AB21" t="s">
        <v>40</v>
      </c>
      <c r="AC21" t="s">
        <v>41</v>
      </c>
      <c r="AD21" t="s">
        <v>461</v>
      </c>
      <c r="AE21" t="s">
        <v>138</v>
      </c>
      <c r="AF21" t="s">
        <v>492</v>
      </c>
      <c r="AG21" t="s">
        <v>887</v>
      </c>
      <c r="AH21">
        <v>45874.686805555553</v>
      </c>
      <c r="AI21">
        <v>45869.686805555553</v>
      </c>
      <c r="AJ21">
        <v>80.8</v>
      </c>
      <c r="AK21">
        <v>0</v>
      </c>
      <c r="AL21" t="s">
        <v>959</v>
      </c>
      <c r="AM21">
        <v>3</v>
      </c>
      <c r="AN21" t="s">
        <v>1546</v>
      </c>
      <c r="AO21" t="s">
        <v>1547</v>
      </c>
      <c r="AP21" t="s">
        <v>1548</v>
      </c>
      <c r="AQ21" t="s">
        <v>472</v>
      </c>
      <c r="AR21" t="s">
        <v>1384</v>
      </c>
      <c r="AS21" t="s">
        <v>1317</v>
      </c>
      <c r="AT21" t="s">
        <v>1358</v>
      </c>
    </row>
    <row r="22" spans="1:46" x14ac:dyDescent="0.2">
      <c r="A22">
        <v>1</v>
      </c>
      <c r="B22">
        <v>1</v>
      </c>
      <c r="F22">
        <v>78.8</v>
      </c>
      <c r="H22" t="s">
        <v>1101</v>
      </c>
      <c r="I22" t="s">
        <v>1105</v>
      </c>
      <c r="J22">
        <v>45763997</v>
      </c>
      <c r="K22" t="s">
        <v>316</v>
      </c>
      <c r="L22" t="s">
        <v>317</v>
      </c>
      <c r="M22" t="s">
        <v>705</v>
      </c>
      <c r="N22" t="s">
        <v>705</v>
      </c>
      <c r="O22" t="s">
        <v>96</v>
      </c>
      <c r="P22" t="s">
        <v>122</v>
      </c>
      <c r="Q22" t="s">
        <v>123</v>
      </c>
      <c r="R22" t="s">
        <v>48</v>
      </c>
      <c r="S22" t="s">
        <v>37</v>
      </c>
      <c r="T22" t="s">
        <v>50</v>
      </c>
      <c r="U22" t="s">
        <v>39</v>
      </c>
      <c r="V22" t="s">
        <v>39</v>
      </c>
      <c r="W22" t="s">
        <v>39</v>
      </c>
      <c r="X22" t="s">
        <v>41</v>
      </c>
      <c r="Y22" t="s">
        <v>41</v>
      </c>
      <c r="Z22" t="s">
        <v>39</v>
      </c>
      <c r="AA22" t="s">
        <v>39</v>
      </c>
      <c r="AB22" t="s">
        <v>40</v>
      </c>
      <c r="AC22" t="s">
        <v>41</v>
      </c>
      <c r="AD22" t="s">
        <v>461</v>
      </c>
      <c r="AE22" t="s">
        <v>448</v>
      </c>
      <c r="AF22" t="s">
        <v>446</v>
      </c>
      <c r="AG22" t="s">
        <v>887</v>
      </c>
      <c r="AH22">
        <v>45876.414583333331</v>
      </c>
      <c r="AI22">
        <v>45871.414583333331</v>
      </c>
      <c r="AJ22">
        <v>79.099999999999994</v>
      </c>
      <c r="AK22">
        <v>0</v>
      </c>
      <c r="AL22" t="s">
        <v>953</v>
      </c>
      <c r="AM22">
        <v>3</v>
      </c>
      <c r="AN22" t="s">
        <v>1541</v>
      </c>
      <c r="AO22" t="s">
        <v>1364</v>
      </c>
      <c r="AP22" t="s">
        <v>1500</v>
      </c>
      <c r="AQ22" t="s">
        <v>472</v>
      </c>
      <c r="AR22" t="s">
        <v>1391</v>
      </c>
      <c r="AS22" t="s">
        <v>1549</v>
      </c>
      <c r="AT22" t="s">
        <v>1363</v>
      </c>
    </row>
    <row r="23" spans="1:46" x14ac:dyDescent="0.2">
      <c r="A23">
        <v>0</v>
      </c>
      <c r="B23">
        <v>0</v>
      </c>
      <c r="F23">
        <v>77.099999999999994</v>
      </c>
      <c r="H23" t="s">
        <v>1100</v>
      </c>
      <c r="I23" t="s">
        <v>1105</v>
      </c>
      <c r="J23">
        <v>45764004</v>
      </c>
      <c r="K23" t="s">
        <v>321</v>
      </c>
      <c r="L23" t="s">
        <v>322</v>
      </c>
      <c r="M23" t="s">
        <v>322</v>
      </c>
      <c r="N23" t="s">
        <v>322</v>
      </c>
      <c r="O23" t="s">
        <v>53</v>
      </c>
      <c r="P23" t="s">
        <v>46</v>
      </c>
      <c r="Q23" t="s">
        <v>60</v>
      </c>
      <c r="R23" t="s">
        <v>48</v>
      </c>
      <c r="S23" t="s">
        <v>49</v>
      </c>
      <c r="T23" t="s">
        <v>50</v>
      </c>
      <c r="U23" t="s">
        <v>39</v>
      </c>
      <c r="V23" t="s">
        <v>39</v>
      </c>
      <c r="W23" t="s">
        <v>39</v>
      </c>
      <c r="X23" t="s">
        <v>41</v>
      </c>
      <c r="Y23" t="s">
        <v>41</v>
      </c>
      <c r="Z23" t="s">
        <v>39</v>
      </c>
      <c r="AA23" t="s">
        <v>39</v>
      </c>
      <c r="AB23" t="s">
        <v>39</v>
      </c>
      <c r="AC23" t="s">
        <v>41</v>
      </c>
      <c r="AD23" t="s">
        <v>461</v>
      </c>
      <c r="AE23" t="s">
        <v>448</v>
      </c>
      <c r="AF23" t="s">
        <v>492</v>
      </c>
      <c r="AG23" t="s">
        <v>887</v>
      </c>
      <c r="AH23">
        <v>45880.637499999997</v>
      </c>
      <c r="AI23">
        <v>45875.637499999997</v>
      </c>
      <c r="AJ23">
        <v>74.8</v>
      </c>
      <c r="AK23">
        <v>0</v>
      </c>
      <c r="AL23" t="s">
        <v>954</v>
      </c>
      <c r="AM23">
        <v>3</v>
      </c>
      <c r="AN23" t="s">
        <v>1328</v>
      </c>
      <c r="AO23" t="s">
        <v>1518</v>
      </c>
      <c r="AP23" t="s">
        <v>1519</v>
      </c>
      <c r="AQ23" t="s">
        <v>472</v>
      </c>
      <c r="AR23" t="s">
        <v>1275</v>
      </c>
      <c r="AS23" t="s">
        <v>1520</v>
      </c>
      <c r="AT23" t="s">
        <v>1521</v>
      </c>
    </row>
    <row r="24" spans="1:46" x14ac:dyDescent="0.2">
      <c r="A24">
        <v>0</v>
      </c>
      <c r="B24">
        <v>0</v>
      </c>
      <c r="F24">
        <v>72.8</v>
      </c>
      <c r="H24" t="s">
        <v>1101</v>
      </c>
      <c r="I24" t="s">
        <v>1105</v>
      </c>
      <c r="J24">
        <v>45764020</v>
      </c>
      <c r="K24" t="s">
        <v>327</v>
      </c>
      <c r="L24" t="s">
        <v>328</v>
      </c>
      <c r="M24" t="s">
        <v>328</v>
      </c>
      <c r="N24" t="s">
        <v>328</v>
      </c>
      <c r="O24" t="s">
        <v>253</v>
      </c>
      <c r="P24" t="s">
        <v>252</v>
      </c>
      <c r="Q24" t="s">
        <v>254</v>
      </c>
      <c r="R24" t="s">
        <v>48</v>
      </c>
      <c r="S24" t="s">
        <v>49</v>
      </c>
      <c r="T24" t="s">
        <v>50</v>
      </c>
      <c r="U24" t="s">
        <v>39</v>
      </c>
      <c r="V24" t="s">
        <v>39</v>
      </c>
      <c r="W24" t="s">
        <v>39</v>
      </c>
      <c r="X24" t="s">
        <v>41</v>
      </c>
      <c r="Y24" t="s">
        <v>41</v>
      </c>
      <c r="Z24" t="s">
        <v>39</v>
      </c>
      <c r="AA24" t="s">
        <v>39</v>
      </c>
      <c r="AB24" t="s">
        <v>40</v>
      </c>
      <c r="AC24" t="s">
        <v>41</v>
      </c>
      <c r="AD24" t="s">
        <v>461</v>
      </c>
      <c r="AE24" t="s">
        <v>138</v>
      </c>
      <c r="AF24" t="s">
        <v>492</v>
      </c>
      <c r="AG24" t="s">
        <v>887</v>
      </c>
      <c r="AH24">
        <v>45893.589583333334</v>
      </c>
      <c r="AI24">
        <v>45888.589583333334</v>
      </c>
      <c r="AJ24">
        <v>61.9</v>
      </c>
      <c r="AK24">
        <v>0</v>
      </c>
      <c r="AL24" t="s">
        <v>957</v>
      </c>
      <c r="AM24">
        <v>3</v>
      </c>
      <c r="AN24" t="s">
        <v>1552</v>
      </c>
      <c r="AO24" t="s">
        <v>1553</v>
      </c>
      <c r="AP24" t="s">
        <v>1554</v>
      </c>
      <c r="AQ24" t="s">
        <v>1345</v>
      </c>
      <c r="AR24" t="s">
        <v>1549</v>
      </c>
      <c r="AS24" t="s">
        <v>1555</v>
      </c>
      <c r="AT24" t="s">
        <v>1556</v>
      </c>
    </row>
    <row r="25" spans="1:46" x14ac:dyDescent="0.2">
      <c r="A25">
        <v>0</v>
      </c>
      <c r="B25">
        <v>0</v>
      </c>
      <c r="F25">
        <v>59.9</v>
      </c>
      <c r="H25" t="s">
        <v>1101</v>
      </c>
      <c r="I25" t="s">
        <v>1105</v>
      </c>
      <c r="J25">
        <v>45764028</v>
      </c>
      <c r="K25" t="s">
        <v>333</v>
      </c>
      <c r="L25" t="s">
        <v>334</v>
      </c>
      <c r="M25" t="s">
        <v>334</v>
      </c>
      <c r="N25" t="s">
        <v>334</v>
      </c>
      <c r="O25" t="s">
        <v>335</v>
      </c>
      <c r="P25" t="s">
        <v>336</v>
      </c>
      <c r="Q25" t="s">
        <v>117</v>
      </c>
      <c r="R25" t="s">
        <v>48</v>
      </c>
      <c r="S25" t="s">
        <v>49</v>
      </c>
      <c r="T25" t="s">
        <v>50</v>
      </c>
      <c r="U25" t="s">
        <v>39</v>
      </c>
      <c r="V25" t="s">
        <v>39</v>
      </c>
      <c r="W25" t="s">
        <v>39</v>
      </c>
      <c r="X25" t="s">
        <v>41</v>
      </c>
      <c r="Y25" t="s">
        <v>41</v>
      </c>
      <c r="Z25" t="s">
        <v>39</v>
      </c>
      <c r="AA25" t="s">
        <v>39</v>
      </c>
      <c r="AB25" t="s">
        <v>40</v>
      </c>
      <c r="AC25" t="s">
        <v>41</v>
      </c>
      <c r="AD25" t="s">
        <v>461</v>
      </c>
      <c r="AE25" t="s">
        <v>742</v>
      </c>
      <c r="AF25" t="s">
        <v>492</v>
      </c>
      <c r="AG25" t="s">
        <v>922</v>
      </c>
      <c r="AH25">
        <v>45896.468055555553</v>
      </c>
      <c r="AI25">
        <v>45891.468055555553</v>
      </c>
      <c r="AJ25">
        <v>59</v>
      </c>
      <c r="AK25">
        <v>0</v>
      </c>
      <c r="AL25" t="s">
        <v>919</v>
      </c>
      <c r="AM25">
        <v>3</v>
      </c>
      <c r="AN25" t="s">
        <v>1530</v>
      </c>
      <c r="AO25" t="s">
        <v>1595</v>
      </c>
      <c r="AP25" t="s">
        <v>1596</v>
      </c>
      <c r="AQ25" t="s">
        <v>457</v>
      </c>
      <c r="AR25" t="s">
        <v>1273</v>
      </c>
      <c r="AS25" t="s">
        <v>1597</v>
      </c>
      <c r="AT25" t="s">
        <v>1268</v>
      </c>
    </row>
    <row r="26" spans="1:46" x14ac:dyDescent="0.2">
      <c r="A26">
        <v>0</v>
      </c>
      <c r="B26">
        <v>0</v>
      </c>
      <c r="F26">
        <v>57</v>
      </c>
      <c r="H26" t="s">
        <v>1101</v>
      </c>
      <c r="I26" t="s">
        <v>1105</v>
      </c>
      <c r="J26">
        <v>45764063</v>
      </c>
      <c r="K26" t="s">
        <v>351</v>
      </c>
      <c r="L26" t="s">
        <v>1233</v>
      </c>
      <c r="M26" t="s">
        <v>1189</v>
      </c>
      <c r="N26" t="s">
        <v>1189</v>
      </c>
      <c r="O26" t="s">
        <v>90</v>
      </c>
      <c r="P26" t="s">
        <v>96</v>
      </c>
      <c r="Q26" t="s">
        <v>123</v>
      </c>
      <c r="R26" t="s">
        <v>36</v>
      </c>
      <c r="S26" t="s">
        <v>49</v>
      </c>
      <c r="T26" t="s">
        <v>74</v>
      </c>
      <c r="U26" t="s">
        <v>39</v>
      </c>
      <c r="V26" t="s">
        <v>39</v>
      </c>
      <c r="W26" t="s">
        <v>39</v>
      </c>
      <c r="X26" t="s">
        <v>41</v>
      </c>
      <c r="Y26" t="s">
        <v>41</v>
      </c>
      <c r="Z26" t="s">
        <v>39</v>
      </c>
      <c r="AA26" t="s">
        <v>39</v>
      </c>
      <c r="AB26" t="s">
        <v>40</v>
      </c>
      <c r="AC26" t="s">
        <v>41</v>
      </c>
      <c r="AD26" t="s">
        <v>461</v>
      </c>
      <c r="AE26" t="s">
        <v>448</v>
      </c>
      <c r="AF26" t="s">
        <v>446</v>
      </c>
      <c r="AG26" t="s">
        <v>922</v>
      </c>
      <c r="AH26">
        <v>45895.481944444444</v>
      </c>
      <c r="AI26">
        <v>45890.481944444444</v>
      </c>
      <c r="AJ26">
        <v>60</v>
      </c>
      <c r="AK26">
        <v>0</v>
      </c>
      <c r="AL26" t="s">
        <v>999</v>
      </c>
      <c r="AM26">
        <v>2</v>
      </c>
      <c r="AN26" t="s">
        <v>1309</v>
      </c>
      <c r="AO26" t="s">
        <v>1557</v>
      </c>
      <c r="AP26" t="s">
        <v>1668</v>
      </c>
      <c r="AQ26" t="s">
        <v>512</v>
      </c>
      <c r="AR26" t="s">
        <v>1669</v>
      </c>
      <c r="AS26" t="s">
        <v>1670</v>
      </c>
      <c r="AT26" t="s">
        <v>1671</v>
      </c>
    </row>
    <row r="27" spans="1:46" x14ac:dyDescent="0.2">
      <c r="A27">
        <v>1</v>
      </c>
      <c r="B27">
        <v>1</v>
      </c>
      <c r="D27" t="s">
        <v>1739</v>
      </c>
      <c r="F27">
        <v>58</v>
      </c>
      <c r="H27" t="s">
        <v>1100</v>
      </c>
      <c r="I27" t="s">
        <v>1105</v>
      </c>
      <c r="J27">
        <v>45764075</v>
      </c>
      <c r="K27" t="s">
        <v>353</v>
      </c>
      <c r="L27" t="s">
        <v>354</v>
      </c>
      <c r="M27" t="s">
        <v>354</v>
      </c>
      <c r="N27" t="s">
        <v>354</v>
      </c>
      <c r="O27" t="s">
        <v>53</v>
      </c>
      <c r="P27" t="s">
        <v>46</v>
      </c>
      <c r="Q27" t="s">
        <v>307</v>
      </c>
      <c r="R27" t="s">
        <v>36</v>
      </c>
      <c r="S27" t="s">
        <v>49</v>
      </c>
      <c r="T27" t="s">
        <v>50</v>
      </c>
      <c r="U27" t="s">
        <v>39</v>
      </c>
      <c r="V27" t="s">
        <v>41</v>
      </c>
      <c r="W27" t="s">
        <v>39</v>
      </c>
      <c r="X27" t="s">
        <v>41</v>
      </c>
      <c r="Y27" t="s">
        <v>41</v>
      </c>
      <c r="Z27" t="s">
        <v>39</v>
      </c>
      <c r="AA27" t="s">
        <v>39</v>
      </c>
      <c r="AB27" t="s">
        <v>40</v>
      </c>
      <c r="AC27" t="s">
        <v>41</v>
      </c>
      <c r="AD27" t="s">
        <v>461</v>
      </c>
      <c r="AE27" t="s">
        <v>286</v>
      </c>
      <c r="AF27" t="s">
        <v>458</v>
      </c>
      <c r="AG27" t="s">
        <v>887</v>
      </c>
      <c r="AH27">
        <v>45893.593055555553</v>
      </c>
      <c r="AI27">
        <v>45888.593055555553</v>
      </c>
      <c r="AJ27">
        <v>61.9</v>
      </c>
      <c r="AK27">
        <v>0</v>
      </c>
      <c r="AL27" t="s">
        <v>1477</v>
      </c>
      <c r="AM27">
        <v>2</v>
      </c>
      <c r="AN27" t="s">
        <v>1676</v>
      </c>
      <c r="AO27" t="s">
        <v>1339</v>
      </c>
      <c r="AP27" t="s">
        <v>1677</v>
      </c>
      <c r="AQ27" t="s">
        <v>525</v>
      </c>
      <c r="AR27" t="s">
        <v>1533</v>
      </c>
      <c r="AS27" t="s">
        <v>1296</v>
      </c>
      <c r="AT27" t="s">
        <v>1368</v>
      </c>
    </row>
    <row r="28" spans="1:46" x14ac:dyDescent="0.2">
      <c r="A28">
        <v>0</v>
      </c>
      <c r="B28">
        <v>0</v>
      </c>
      <c r="F28">
        <v>59.9</v>
      </c>
      <c r="H28" t="s">
        <v>1100</v>
      </c>
      <c r="I28" t="s">
        <v>1105</v>
      </c>
      <c r="J28">
        <v>45764080</v>
      </c>
      <c r="K28" t="s">
        <v>355</v>
      </c>
      <c r="L28" t="s">
        <v>356</v>
      </c>
      <c r="M28" t="s">
        <v>356</v>
      </c>
      <c r="N28" t="s">
        <v>356</v>
      </c>
      <c r="O28" t="s">
        <v>46</v>
      </c>
      <c r="P28" t="s">
        <v>53</v>
      </c>
      <c r="Q28" t="s">
        <v>133</v>
      </c>
      <c r="R28" t="s">
        <v>36</v>
      </c>
      <c r="S28" t="s">
        <v>49</v>
      </c>
      <c r="T28" t="s">
        <v>50</v>
      </c>
      <c r="U28" t="s">
        <v>39</v>
      </c>
      <c r="V28" t="s">
        <v>39</v>
      </c>
      <c r="W28" t="s">
        <v>39</v>
      </c>
      <c r="X28" t="s">
        <v>41</v>
      </c>
      <c r="Y28" t="s">
        <v>41</v>
      </c>
      <c r="Z28" t="s">
        <v>39</v>
      </c>
      <c r="AA28" t="s">
        <v>39</v>
      </c>
      <c r="AB28" t="s">
        <v>40</v>
      </c>
      <c r="AC28" t="s">
        <v>41</v>
      </c>
      <c r="AD28" t="s">
        <v>461</v>
      </c>
      <c r="AE28" t="s">
        <v>537</v>
      </c>
      <c r="AF28" t="s">
        <v>458</v>
      </c>
      <c r="AG28" t="s">
        <v>922</v>
      </c>
      <c r="AH28">
        <v>45882.565972222219</v>
      </c>
      <c r="AI28">
        <v>45877.565972222219</v>
      </c>
      <c r="AJ28">
        <v>72.900000000000006</v>
      </c>
      <c r="AK28">
        <v>0</v>
      </c>
      <c r="AL28" t="s">
        <v>996</v>
      </c>
      <c r="AM28">
        <v>3</v>
      </c>
      <c r="AN28" t="s">
        <v>1328</v>
      </c>
      <c r="AO28" t="s">
        <v>1701</v>
      </c>
      <c r="AP28" t="s">
        <v>1702</v>
      </c>
      <c r="AQ28" t="s">
        <v>525</v>
      </c>
      <c r="AR28" t="s">
        <v>658</v>
      </c>
      <c r="AS28" t="s">
        <v>1284</v>
      </c>
      <c r="AT28" t="s">
        <v>1283</v>
      </c>
    </row>
    <row r="29" spans="1:46" x14ac:dyDescent="0.2">
      <c r="A29">
        <v>1</v>
      </c>
      <c r="B29">
        <v>1</v>
      </c>
      <c r="D29" t="s">
        <v>1734</v>
      </c>
      <c r="F29">
        <v>70.900000000000006</v>
      </c>
      <c r="H29" t="s">
        <v>1100</v>
      </c>
      <c r="I29" t="s">
        <v>1105</v>
      </c>
      <c r="J29">
        <v>45793976</v>
      </c>
      <c r="K29" t="s">
        <v>361</v>
      </c>
      <c r="L29" t="s">
        <v>362</v>
      </c>
      <c r="M29" t="s">
        <v>362</v>
      </c>
      <c r="N29" t="s">
        <v>362</v>
      </c>
      <c r="O29" t="s">
        <v>46</v>
      </c>
      <c r="P29" t="s">
        <v>105</v>
      </c>
      <c r="Q29" t="s">
        <v>112</v>
      </c>
      <c r="R29" t="s">
        <v>48</v>
      </c>
      <c r="S29" t="s">
        <v>37</v>
      </c>
      <c r="T29" t="s">
        <v>50</v>
      </c>
      <c r="U29" t="s">
        <v>39</v>
      </c>
      <c r="V29" t="s">
        <v>39</v>
      </c>
      <c r="W29" t="s">
        <v>39</v>
      </c>
      <c r="X29" t="s">
        <v>41</v>
      </c>
      <c r="Y29" t="s">
        <v>41</v>
      </c>
      <c r="Z29" t="s">
        <v>39</v>
      </c>
      <c r="AA29" t="s">
        <v>39</v>
      </c>
      <c r="AB29" t="s">
        <v>40</v>
      </c>
      <c r="AC29" t="s">
        <v>41</v>
      </c>
      <c r="AD29" t="s">
        <v>461</v>
      </c>
      <c r="AE29" t="s">
        <v>112</v>
      </c>
      <c r="AF29" t="s">
        <v>492</v>
      </c>
      <c r="AG29" t="s">
        <v>887</v>
      </c>
      <c r="AH29">
        <v>45878.518750000003</v>
      </c>
      <c r="AI29">
        <v>45873.518750000003</v>
      </c>
      <c r="AJ29">
        <v>77</v>
      </c>
      <c r="AK29">
        <v>0</v>
      </c>
      <c r="AL29" t="s">
        <v>966</v>
      </c>
      <c r="AM29">
        <v>3</v>
      </c>
      <c r="AN29" t="s">
        <v>1382</v>
      </c>
      <c r="AO29" t="s">
        <v>1510</v>
      </c>
      <c r="AP29" t="s">
        <v>1511</v>
      </c>
      <c r="AQ29" t="s">
        <v>698</v>
      </c>
      <c r="AR29" t="s">
        <v>1390</v>
      </c>
      <c r="AS29" t="s">
        <v>1512</v>
      </c>
      <c r="AT29" t="s">
        <v>1513</v>
      </c>
    </row>
    <row r="30" spans="1:46" x14ac:dyDescent="0.2">
      <c r="A30">
        <v>1</v>
      </c>
      <c r="B30">
        <v>1</v>
      </c>
      <c r="D30" t="s">
        <v>1747</v>
      </c>
      <c r="F30">
        <v>75</v>
      </c>
      <c r="H30" t="s">
        <v>1101</v>
      </c>
      <c r="I30" t="s">
        <v>1105</v>
      </c>
      <c r="J30">
        <v>45968241</v>
      </c>
      <c r="K30" t="s">
        <v>367</v>
      </c>
      <c r="L30" t="s">
        <v>368</v>
      </c>
      <c r="M30" t="s">
        <v>745</v>
      </c>
      <c r="N30" t="s">
        <v>745</v>
      </c>
      <c r="O30" t="s">
        <v>341</v>
      </c>
      <c r="P30" t="s">
        <v>369</v>
      </c>
      <c r="Q30" t="s">
        <v>47</v>
      </c>
      <c r="R30" t="s">
        <v>48</v>
      </c>
      <c r="S30" t="s">
        <v>37</v>
      </c>
      <c r="T30" t="s">
        <v>50</v>
      </c>
      <c r="U30" t="s">
        <v>39</v>
      </c>
      <c r="V30" t="s">
        <v>39</v>
      </c>
      <c r="W30" t="s">
        <v>39</v>
      </c>
      <c r="X30" t="s">
        <v>41</v>
      </c>
      <c r="Y30" t="s">
        <v>41</v>
      </c>
      <c r="Z30" t="s">
        <v>39</v>
      </c>
      <c r="AA30" t="s">
        <v>39</v>
      </c>
      <c r="AB30" t="s">
        <v>40</v>
      </c>
      <c r="AC30" t="s">
        <v>41</v>
      </c>
      <c r="AD30" t="s">
        <v>461</v>
      </c>
      <c r="AE30" t="s">
        <v>744</v>
      </c>
      <c r="AF30" t="s">
        <v>446</v>
      </c>
      <c r="AG30" t="s">
        <v>922</v>
      </c>
      <c r="AH30">
        <v>45899.490277777775</v>
      </c>
      <c r="AI30">
        <v>45894.490277777775</v>
      </c>
      <c r="AJ30">
        <v>56</v>
      </c>
      <c r="AK30">
        <v>0</v>
      </c>
      <c r="AL30" t="s">
        <v>940</v>
      </c>
      <c r="AM30">
        <v>3</v>
      </c>
      <c r="AN30" t="s">
        <v>1499</v>
      </c>
      <c r="AO30" t="s">
        <v>1500</v>
      </c>
      <c r="AP30" t="s">
        <v>1500</v>
      </c>
      <c r="AQ30" t="s">
        <v>1390</v>
      </c>
      <c r="AR30" t="s">
        <v>1501</v>
      </c>
      <c r="AS30" t="s">
        <v>1501</v>
      </c>
      <c r="AT30" t="s">
        <v>1502</v>
      </c>
    </row>
    <row r="31" spans="1:46" x14ac:dyDescent="0.2">
      <c r="A31">
        <v>1</v>
      </c>
      <c r="B31" t="e">
        <v>#N/A</v>
      </c>
      <c r="D31" t="s">
        <v>1733</v>
      </c>
      <c r="F31">
        <v>54</v>
      </c>
      <c r="H31" t="s">
        <v>1101</v>
      </c>
      <c r="I31" t="s">
        <v>1105</v>
      </c>
      <c r="J31">
        <v>45970439</v>
      </c>
      <c r="K31" t="s">
        <v>370</v>
      </c>
      <c r="L31" t="s">
        <v>371</v>
      </c>
      <c r="M31" t="s">
        <v>371</v>
      </c>
      <c r="N31" t="s">
        <v>371</v>
      </c>
      <c r="O31" t="s">
        <v>372</v>
      </c>
      <c r="P31" t="s">
        <v>53</v>
      </c>
      <c r="Q31" t="s">
        <v>98</v>
      </c>
      <c r="R31" t="s">
        <v>48</v>
      </c>
      <c r="S31" t="s">
        <v>37</v>
      </c>
      <c r="T31" t="s">
        <v>50</v>
      </c>
      <c r="U31" t="s">
        <v>39</v>
      </c>
      <c r="V31" t="s">
        <v>39</v>
      </c>
      <c r="W31" t="s">
        <v>39</v>
      </c>
      <c r="X31" t="s">
        <v>41</v>
      </c>
      <c r="Y31" t="s">
        <v>41</v>
      </c>
      <c r="Z31" t="s">
        <v>39</v>
      </c>
      <c r="AA31" t="s">
        <v>39</v>
      </c>
      <c r="AB31" t="s">
        <v>40</v>
      </c>
      <c r="AC31" t="s">
        <v>41</v>
      </c>
      <c r="AD31" t="s">
        <v>461</v>
      </c>
      <c r="AE31" t="s">
        <v>537</v>
      </c>
      <c r="AF31" t="s">
        <v>737</v>
      </c>
      <c r="AG31" t="s">
        <v>887</v>
      </c>
      <c r="AH31">
        <v>45900.475694444445</v>
      </c>
      <c r="AI31">
        <v>45895.475694444445</v>
      </c>
      <c r="AJ31">
        <v>55</v>
      </c>
      <c r="AK31">
        <v>0</v>
      </c>
      <c r="AL31" t="s">
        <v>919</v>
      </c>
      <c r="AM31">
        <v>3</v>
      </c>
      <c r="AN31" t="s">
        <v>1379</v>
      </c>
      <c r="AO31" t="s">
        <v>1540</v>
      </c>
      <c r="AP31" t="s">
        <v>1540</v>
      </c>
      <c r="AQ31" t="s">
        <v>676</v>
      </c>
      <c r="AR31" t="s">
        <v>1343</v>
      </c>
      <c r="AS31" t="s">
        <v>1343</v>
      </c>
      <c r="AT31" t="s">
        <v>1332</v>
      </c>
    </row>
    <row r="32" spans="1:46" x14ac:dyDescent="0.2">
      <c r="A32">
        <v>1</v>
      </c>
      <c r="B32">
        <v>1</v>
      </c>
      <c r="D32" t="s">
        <v>1735</v>
      </c>
      <c r="F32">
        <v>53</v>
      </c>
      <c r="H32" t="s">
        <v>1100</v>
      </c>
      <c r="I32" t="s">
        <v>1105</v>
      </c>
      <c r="J32">
        <v>45968065</v>
      </c>
      <c r="K32" t="s">
        <v>377</v>
      </c>
      <c r="L32" t="s">
        <v>378</v>
      </c>
      <c r="M32" t="s">
        <v>378</v>
      </c>
      <c r="N32" t="s">
        <v>378</v>
      </c>
      <c r="O32" t="s">
        <v>46</v>
      </c>
      <c r="P32" t="s">
        <v>90</v>
      </c>
      <c r="Q32" t="s">
        <v>117</v>
      </c>
      <c r="R32" t="s">
        <v>36</v>
      </c>
      <c r="S32" t="s">
        <v>37</v>
      </c>
      <c r="T32" t="s">
        <v>50</v>
      </c>
      <c r="U32" t="s">
        <v>39</v>
      </c>
      <c r="V32" t="s">
        <v>39</v>
      </c>
      <c r="W32" t="s">
        <v>39</v>
      </c>
      <c r="X32" t="s">
        <v>41</v>
      </c>
      <c r="Y32" t="s">
        <v>41</v>
      </c>
      <c r="Z32" t="s">
        <v>39</v>
      </c>
      <c r="AA32" t="s">
        <v>39</v>
      </c>
      <c r="AB32" t="s">
        <v>40</v>
      </c>
      <c r="AC32" t="s">
        <v>41</v>
      </c>
      <c r="AD32" t="s">
        <v>461</v>
      </c>
      <c r="AE32" t="s">
        <v>448</v>
      </c>
      <c r="AF32" t="s">
        <v>531</v>
      </c>
      <c r="AG32" t="s">
        <v>887</v>
      </c>
      <c r="AH32">
        <v>45893.373611111114</v>
      </c>
      <c r="AI32">
        <v>45888.373611111114</v>
      </c>
      <c r="AJ32">
        <v>62.1</v>
      </c>
      <c r="AK32">
        <v>0</v>
      </c>
      <c r="AL32" t="s">
        <v>940</v>
      </c>
      <c r="AM32">
        <v>3</v>
      </c>
      <c r="AN32" t="s">
        <v>1541</v>
      </c>
      <c r="AO32" t="s">
        <v>1542</v>
      </c>
      <c r="AP32" t="s">
        <v>1542</v>
      </c>
      <c r="AQ32" t="s">
        <v>691</v>
      </c>
      <c r="AR32" t="s">
        <v>1317</v>
      </c>
      <c r="AS32" t="s">
        <v>1317</v>
      </c>
      <c r="AT32" t="s">
        <v>1543</v>
      </c>
    </row>
    <row r="33" spans="1:46" x14ac:dyDescent="0.2">
      <c r="A33">
        <v>0</v>
      </c>
      <c r="B33">
        <v>0</v>
      </c>
      <c r="F33">
        <v>60.1</v>
      </c>
      <c r="H33" t="s">
        <v>1101</v>
      </c>
      <c r="I33" t="s">
        <v>1105</v>
      </c>
      <c r="J33">
        <v>45970275</v>
      </c>
      <c r="K33" t="s">
        <v>383</v>
      </c>
      <c r="L33" t="s">
        <v>384</v>
      </c>
      <c r="M33" t="s">
        <v>384</v>
      </c>
      <c r="N33" t="s">
        <v>384</v>
      </c>
      <c r="O33" t="s">
        <v>372</v>
      </c>
      <c r="P33" t="s">
        <v>385</v>
      </c>
      <c r="Q33" t="s">
        <v>98</v>
      </c>
      <c r="R33" t="s">
        <v>48</v>
      </c>
      <c r="S33" t="s">
        <v>386</v>
      </c>
      <c r="T33" t="s">
        <v>50</v>
      </c>
      <c r="U33" t="s">
        <v>39</v>
      </c>
      <c r="V33" t="s">
        <v>39</v>
      </c>
      <c r="W33" t="s">
        <v>39</v>
      </c>
      <c r="X33" t="s">
        <v>41</v>
      </c>
      <c r="Y33" t="s">
        <v>41</v>
      </c>
      <c r="Z33" t="s">
        <v>39</v>
      </c>
      <c r="AA33" t="s">
        <v>39</v>
      </c>
      <c r="AB33" t="s">
        <v>39</v>
      </c>
      <c r="AC33" t="s">
        <v>41</v>
      </c>
      <c r="AD33" t="s">
        <v>461</v>
      </c>
      <c r="AE33" t="s">
        <v>448</v>
      </c>
      <c r="AF33" t="s">
        <v>531</v>
      </c>
      <c r="AG33" t="s">
        <v>887</v>
      </c>
      <c r="AH33">
        <v>45917.61041666667</v>
      </c>
      <c r="AI33">
        <v>45912.61041666667</v>
      </c>
      <c r="AJ33">
        <v>37.9</v>
      </c>
      <c r="AK33">
        <v>0</v>
      </c>
      <c r="AL33" t="s">
        <v>943</v>
      </c>
      <c r="AM33">
        <v>3</v>
      </c>
      <c r="AN33" t="s">
        <v>1374</v>
      </c>
      <c r="AO33" t="s">
        <v>1602</v>
      </c>
      <c r="AP33" t="s">
        <v>1602</v>
      </c>
      <c r="AQ33" t="s">
        <v>1344</v>
      </c>
      <c r="AR33" t="s">
        <v>1321</v>
      </c>
      <c r="AS33" t="s">
        <v>1321</v>
      </c>
      <c r="AT33" t="s">
        <v>1603</v>
      </c>
    </row>
    <row r="34" spans="1:46" x14ac:dyDescent="0.2">
      <c r="A34">
        <v>0</v>
      </c>
      <c r="B34">
        <v>0</v>
      </c>
      <c r="F34">
        <v>35.9</v>
      </c>
      <c r="H34" t="s">
        <v>1101</v>
      </c>
      <c r="I34" t="s">
        <v>1105</v>
      </c>
      <c r="J34">
        <v>45968028</v>
      </c>
      <c r="K34" t="s">
        <v>387</v>
      </c>
      <c r="L34" t="s">
        <v>388</v>
      </c>
      <c r="M34" t="s">
        <v>388</v>
      </c>
      <c r="N34" t="s">
        <v>388</v>
      </c>
      <c r="O34" t="s">
        <v>80</v>
      </c>
      <c r="P34">
        <v>0</v>
      </c>
      <c r="Q34" t="s">
        <v>203</v>
      </c>
      <c r="R34" t="s">
        <v>36</v>
      </c>
      <c r="S34" t="s">
        <v>49</v>
      </c>
      <c r="T34" t="s">
        <v>50</v>
      </c>
      <c r="U34" t="s">
        <v>39</v>
      </c>
      <c r="V34" t="s">
        <v>41</v>
      </c>
      <c r="W34" t="s">
        <v>39</v>
      </c>
      <c r="X34" t="s">
        <v>41</v>
      </c>
      <c r="Y34" t="s">
        <v>41</v>
      </c>
      <c r="Z34" t="s">
        <v>39</v>
      </c>
      <c r="AA34" t="s">
        <v>39</v>
      </c>
      <c r="AB34" t="s">
        <v>40</v>
      </c>
      <c r="AC34" t="s">
        <v>41</v>
      </c>
      <c r="AD34" t="s">
        <v>494</v>
      </c>
      <c r="AE34" t="s">
        <v>138</v>
      </c>
      <c r="AF34" t="s">
        <v>681</v>
      </c>
      <c r="AG34" t="s">
        <v>887</v>
      </c>
      <c r="AH34">
        <v>45860.586805555555</v>
      </c>
      <c r="AI34">
        <v>45855.586805555555</v>
      </c>
      <c r="AJ34">
        <v>94.9</v>
      </c>
      <c r="AK34">
        <v>0</v>
      </c>
      <c r="AL34" t="s">
        <v>915</v>
      </c>
      <c r="AM34">
        <v>1</v>
      </c>
      <c r="AN34" t="s">
        <v>1608</v>
      </c>
      <c r="AO34" t="s">
        <v>1287</v>
      </c>
      <c r="AP34" t="s">
        <v>1287</v>
      </c>
      <c r="AQ34" t="s">
        <v>630</v>
      </c>
      <c r="AR34" t="s">
        <v>1270</v>
      </c>
      <c r="AS34" t="s">
        <v>1270</v>
      </c>
      <c r="AT34" t="s">
        <v>1271</v>
      </c>
    </row>
    <row r="35" spans="1:46" x14ac:dyDescent="0.2">
      <c r="A35">
        <v>0</v>
      </c>
      <c r="B35">
        <v>0</v>
      </c>
      <c r="F35">
        <v>92.9</v>
      </c>
      <c r="H35" t="s">
        <v>1101</v>
      </c>
      <c r="I35" t="s">
        <v>1105</v>
      </c>
      <c r="J35">
        <v>45969286</v>
      </c>
      <c r="K35" t="s">
        <v>395</v>
      </c>
      <c r="L35" t="s">
        <v>396</v>
      </c>
      <c r="M35" t="s">
        <v>663</v>
      </c>
      <c r="N35" t="s">
        <v>663</v>
      </c>
      <c r="O35" t="s">
        <v>397</v>
      </c>
      <c r="P35" t="s">
        <v>398</v>
      </c>
      <c r="Q35" t="s">
        <v>133</v>
      </c>
      <c r="R35" t="s">
        <v>48</v>
      </c>
      <c r="S35" t="s">
        <v>49</v>
      </c>
      <c r="T35" t="s">
        <v>50</v>
      </c>
      <c r="U35" t="s">
        <v>39</v>
      </c>
      <c r="V35" t="s">
        <v>39</v>
      </c>
      <c r="W35" t="s">
        <v>39</v>
      </c>
      <c r="X35" t="s">
        <v>41</v>
      </c>
      <c r="Y35" t="s">
        <v>41</v>
      </c>
      <c r="Z35" t="s">
        <v>39</v>
      </c>
      <c r="AA35" t="s">
        <v>39</v>
      </c>
      <c r="AB35" t="s">
        <v>40</v>
      </c>
      <c r="AC35" t="s">
        <v>41</v>
      </c>
      <c r="AD35" t="s">
        <v>461</v>
      </c>
      <c r="AE35" t="s">
        <v>662</v>
      </c>
      <c r="AF35" t="s">
        <v>446</v>
      </c>
      <c r="AG35" t="s">
        <v>902</v>
      </c>
      <c r="AH35">
        <v>0</v>
      </c>
      <c r="AI35">
        <v>45923.441666666666</v>
      </c>
      <c r="AJ35">
        <v>27</v>
      </c>
      <c r="AK35">
        <v>0</v>
      </c>
      <c r="AL35" t="s">
        <v>933</v>
      </c>
      <c r="AM35">
        <v>2</v>
      </c>
      <c r="AN35" t="s">
        <v>1647</v>
      </c>
      <c r="AO35" t="s">
        <v>1648</v>
      </c>
      <c r="AP35" t="s">
        <v>1648</v>
      </c>
      <c r="AQ35" t="s">
        <v>539</v>
      </c>
      <c r="AR35" t="s">
        <v>1649</v>
      </c>
      <c r="AS35" t="s">
        <v>1649</v>
      </c>
      <c r="AT35" t="s">
        <v>1650</v>
      </c>
    </row>
    <row r="36" spans="1:46" x14ac:dyDescent="0.2">
      <c r="A36">
        <v>1</v>
      </c>
      <c r="B36">
        <v>1</v>
      </c>
      <c r="D36" t="s">
        <v>1741</v>
      </c>
      <c r="F36">
        <v>25</v>
      </c>
      <c r="H36" t="s">
        <v>1101</v>
      </c>
      <c r="I36" t="s">
        <v>1105</v>
      </c>
      <c r="J36">
        <v>45969536</v>
      </c>
      <c r="K36" t="s">
        <v>400</v>
      </c>
      <c r="L36" t="s">
        <v>1083</v>
      </c>
      <c r="M36" t="s">
        <v>766</v>
      </c>
      <c r="N36" t="s">
        <v>766</v>
      </c>
      <c r="O36" t="s">
        <v>59</v>
      </c>
      <c r="P36" t="s">
        <v>53</v>
      </c>
      <c r="Q36" t="s">
        <v>154</v>
      </c>
      <c r="R36" t="s">
        <v>36</v>
      </c>
      <c r="S36" t="s">
        <v>49</v>
      </c>
      <c r="T36" t="s">
        <v>50</v>
      </c>
      <c r="U36" t="s">
        <v>39</v>
      </c>
      <c r="V36" t="s">
        <v>41</v>
      </c>
      <c r="W36" t="s">
        <v>39</v>
      </c>
      <c r="X36" t="s">
        <v>41</v>
      </c>
      <c r="Y36" t="s">
        <v>41</v>
      </c>
      <c r="Z36" t="s">
        <v>39</v>
      </c>
      <c r="AA36" t="s">
        <v>39</v>
      </c>
      <c r="AB36" t="s">
        <v>40</v>
      </c>
      <c r="AC36" t="s">
        <v>41</v>
      </c>
      <c r="AD36" t="s">
        <v>494</v>
      </c>
      <c r="AE36" t="s">
        <v>138</v>
      </c>
      <c r="AF36" t="s">
        <v>446</v>
      </c>
      <c r="AG36" t="s">
        <v>887</v>
      </c>
      <c r="AH36">
        <v>45903.352777777778</v>
      </c>
      <c r="AI36">
        <v>45898.352777777778</v>
      </c>
      <c r="AJ36">
        <v>52.1</v>
      </c>
      <c r="AK36">
        <v>0</v>
      </c>
      <c r="AL36" t="s">
        <v>904</v>
      </c>
      <c r="AM36">
        <v>1</v>
      </c>
      <c r="AN36" t="s">
        <v>1575</v>
      </c>
      <c r="AO36" t="s">
        <v>1366</v>
      </c>
      <c r="AP36" t="s">
        <v>1366</v>
      </c>
      <c r="AQ36" t="s">
        <v>491</v>
      </c>
      <c r="AR36" t="s">
        <v>1520</v>
      </c>
      <c r="AS36" t="s">
        <v>1520</v>
      </c>
      <c r="AT36" t="s">
        <v>1526</v>
      </c>
    </row>
    <row r="37" spans="1:46" x14ac:dyDescent="0.2">
      <c r="A37">
        <v>1</v>
      </c>
      <c r="B37">
        <v>1</v>
      </c>
      <c r="F37">
        <v>50.1</v>
      </c>
      <c r="H37" t="s">
        <v>1101</v>
      </c>
      <c r="I37" t="s">
        <v>1105</v>
      </c>
      <c r="J37">
        <v>45970242</v>
      </c>
      <c r="K37" t="s">
        <v>401</v>
      </c>
      <c r="L37" t="s">
        <v>402</v>
      </c>
      <c r="M37" t="s">
        <v>402</v>
      </c>
      <c r="N37" t="s">
        <v>402</v>
      </c>
      <c r="O37" t="s">
        <v>372</v>
      </c>
      <c r="P37" t="s">
        <v>385</v>
      </c>
      <c r="Q37" t="s">
        <v>98</v>
      </c>
      <c r="R37" t="s">
        <v>48</v>
      </c>
      <c r="S37" t="s">
        <v>386</v>
      </c>
      <c r="T37" t="s">
        <v>50</v>
      </c>
      <c r="U37" t="s">
        <v>39</v>
      </c>
      <c r="V37" t="s">
        <v>39</v>
      </c>
      <c r="W37" t="s">
        <v>39</v>
      </c>
      <c r="X37" t="s">
        <v>41</v>
      </c>
      <c r="Y37" t="s">
        <v>41</v>
      </c>
      <c r="Z37" t="s">
        <v>39</v>
      </c>
      <c r="AA37" t="s">
        <v>39</v>
      </c>
      <c r="AB37" t="s">
        <v>39</v>
      </c>
      <c r="AC37" t="s">
        <v>41</v>
      </c>
      <c r="AD37" t="s">
        <v>461</v>
      </c>
      <c r="AE37" t="s">
        <v>448</v>
      </c>
      <c r="AF37" t="s">
        <v>531</v>
      </c>
      <c r="AG37" t="s">
        <v>887</v>
      </c>
      <c r="AH37">
        <v>45917.61041666667</v>
      </c>
      <c r="AI37">
        <v>45912.61041666667</v>
      </c>
      <c r="AJ37">
        <v>37.9</v>
      </c>
      <c r="AK37">
        <v>0</v>
      </c>
      <c r="AL37" t="s">
        <v>921</v>
      </c>
      <c r="AM37">
        <v>3</v>
      </c>
      <c r="AN37" t="s">
        <v>1374</v>
      </c>
      <c r="AO37" t="s">
        <v>1651</v>
      </c>
      <c r="AP37" t="s">
        <v>1651</v>
      </c>
      <c r="AQ37" t="s">
        <v>509</v>
      </c>
      <c r="AR37" t="s">
        <v>1649</v>
      </c>
      <c r="AS37" t="s">
        <v>1649</v>
      </c>
      <c r="AT37" t="s">
        <v>1652</v>
      </c>
    </row>
    <row r="38" spans="1:46" x14ac:dyDescent="0.2">
      <c r="A38">
        <v>1</v>
      </c>
      <c r="B38">
        <v>1</v>
      </c>
      <c r="F38">
        <v>35.9</v>
      </c>
      <c r="H38" t="s">
        <v>1100</v>
      </c>
      <c r="I38" t="s">
        <v>1105</v>
      </c>
      <c r="J38">
        <v>45969485</v>
      </c>
      <c r="K38" t="s">
        <v>403</v>
      </c>
      <c r="L38" t="s">
        <v>1234</v>
      </c>
      <c r="M38" t="s">
        <v>1186</v>
      </c>
      <c r="N38" t="s">
        <v>1186</v>
      </c>
      <c r="O38" t="s">
        <v>46</v>
      </c>
      <c r="P38" t="s">
        <v>53</v>
      </c>
      <c r="Q38" t="s">
        <v>286</v>
      </c>
      <c r="R38" t="s">
        <v>36</v>
      </c>
      <c r="S38" t="s">
        <v>37</v>
      </c>
      <c r="T38" t="s">
        <v>50</v>
      </c>
      <c r="U38" t="s">
        <v>39</v>
      </c>
      <c r="V38" t="s">
        <v>41</v>
      </c>
      <c r="W38" t="s">
        <v>39</v>
      </c>
      <c r="X38" t="s">
        <v>41</v>
      </c>
      <c r="Y38" t="s">
        <v>41</v>
      </c>
      <c r="Z38" t="s">
        <v>39</v>
      </c>
      <c r="AA38" t="s">
        <v>39</v>
      </c>
      <c r="AB38" t="s">
        <v>39</v>
      </c>
      <c r="AC38" t="s">
        <v>41</v>
      </c>
      <c r="AD38" t="s">
        <v>494</v>
      </c>
      <c r="AE38" t="s">
        <v>286</v>
      </c>
      <c r="AF38" t="s">
        <v>446</v>
      </c>
      <c r="AG38" t="s">
        <v>887</v>
      </c>
      <c r="AH38">
        <v>45901.598611111112</v>
      </c>
      <c r="AI38">
        <v>45896.598611111112</v>
      </c>
      <c r="AJ38">
        <v>53.9</v>
      </c>
      <c r="AK38">
        <v>0</v>
      </c>
      <c r="AL38" t="s">
        <v>909</v>
      </c>
      <c r="AM38">
        <v>1</v>
      </c>
      <c r="AN38" t="s">
        <v>1653</v>
      </c>
      <c r="AO38" t="s">
        <v>1654</v>
      </c>
      <c r="AP38" t="s">
        <v>1654</v>
      </c>
      <c r="AQ38" t="s">
        <v>658</v>
      </c>
      <c r="AR38" t="s">
        <v>1306</v>
      </c>
      <c r="AS38" t="s">
        <v>1306</v>
      </c>
      <c r="AT38" t="s">
        <v>1340</v>
      </c>
    </row>
    <row r="39" spans="1:46" x14ac:dyDescent="0.2">
      <c r="A39">
        <v>0</v>
      </c>
      <c r="B39">
        <v>0</v>
      </c>
      <c r="F39">
        <v>51.9</v>
      </c>
      <c r="H39" t="s">
        <v>1101</v>
      </c>
      <c r="I39" t="s">
        <v>1105</v>
      </c>
      <c r="J39">
        <v>45968036</v>
      </c>
      <c r="K39" t="s">
        <v>406</v>
      </c>
      <c r="L39" t="s">
        <v>407</v>
      </c>
      <c r="M39" t="s">
        <v>407</v>
      </c>
      <c r="N39" t="s">
        <v>407</v>
      </c>
      <c r="O39" t="s">
        <v>80</v>
      </c>
      <c r="P39" t="s">
        <v>72</v>
      </c>
      <c r="Q39" t="s">
        <v>203</v>
      </c>
      <c r="R39" t="s">
        <v>48</v>
      </c>
      <c r="S39" t="s">
        <v>49</v>
      </c>
      <c r="T39" t="s">
        <v>74</v>
      </c>
      <c r="U39" t="s">
        <v>39</v>
      </c>
      <c r="V39" t="s">
        <v>39</v>
      </c>
      <c r="W39" t="s">
        <v>39</v>
      </c>
      <c r="X39" t="s">
        <v>41</v>
      </c>
      <c r="Y39" t="s">
        <v>41</v>
      </c>
      <c r="Z39" t="s">
        <v>39</v>
      </c>
      <c r="AA39" t="s">
        <v>39</v>
      </c>
      <c r="AB39" t="s">
        <v>40</v>
      </c>
      <c r="AC39" t="s">
        <v>41</v>
      </c>
      <c r="AD39" t="s">
        <v>461</v>
      </c>
      <c r="AE39" t="s">
        <v>138</v>
      </c>
      <c r="AF39" t="s">
        <v>681</v>
      </c>
      <c r="AG39" t="s">
        <v>887</v>
      </c>
      <c r="AH39">
        <v>45860.632638888892</v>
      </c>
      <c r="AI39">
        <v>45855.632638888892</v>
      </c>
      <c r="AJ39">
        <v>94.8</v>
      </c>
      <c r="AK39">
        <v>0</v>
      </c>
      <c r="AL39" t="s">
        <v>1217</v>
      </c>
      <c r="AM39">
        <v>1</v>
      </c>
      <c r="AN39" t="s">
        <v>1349</v>
      </c>
      <c r="AO39" t="s">
        <v>1530</v>
      </c>
      <c r="AP39" t="s">
        <v>1530</v>
      </c>
      <c r="AQ39" t="s">
        <v>523</v>
      </c>
      <c r="AR39" t="s">
        <v>1322</v>
      </c>
      <c r="AS39" t="s">
        <v>1322</v>
      </c>
      <c r="AT39" t="s">
        <v>1371</v>
      </c>
    </row>
    <row r="40" spans="1:46" x14ac:dyDescent="0.2">
      <c r="A40">
        <v>0</v>
      </c>
      <c r="B40">
        <v>0</v>
      </c>
      <c r="F40">
        <v>92.8</v>
      </c>
      <c r="H40" t="s">
        <v>1100</v>
      </c>
      <c r="I40" t="s">
        <v>1105</v>
      </c>
      <c r="J40">
        <v>45969340</v>
      </c>
      <c r="K40" t="s">
        <v>412</v>
      </c>
      <c r="L40" t="s">
        <v>1235</v>
      </c>
      <c r="M40" t="s">
        <v>1187</v>
      </c>
      <c r="N40" t="s">
        <v>1187</v>
      </c>
      <c r="O40" t="s">
        <v>46</v>
      </c>
      <c r="P40" t="s">
        <v>53</v>
      </c>
      <c r="Q40" t="s">
        <v>69</v>
      </c>
      <c r="R40" t="s">
        <v>36</v>
      </c>
      <c r="S40" t="s">
        <v>37</v>
      </c>
      <c r="T40" t="s">
        <v>50</v>
      </c>
      <c r="U40" t="s">
        <v>39</v>
      </c>
      <c r="V40" t="s">
        <v>41</v>
      </c>
      <c r="W40" t="s">
        <v>39</v>
      </c>
      <c r="X40" t="s">
        <v>41</v>
      </c>
      <c r="Y40" t="s">
        <v>41</v>
      </c>
      <c r="Z40" t="s">
        <v>39</v>
      </c>
      <c r="AA40" t="s">
        <v>39</v>
      </c>
      <c r="AB40" t="s">
        <v>39</v>
      </c>
      <c r="AC40" t="s">
        <v>41</v>
      </c>
      <c r="AD40" t="s">
        <v>585</v>
      </c>
      <c r="AE40" t="s">
        <v>112</v>
      </c>
      <c r="AF40" t="s">
        <v>446</v>
      </c>
      <c r="AG40" t="s">
        <v>887</v>
      </c>
      <c r="AH40">
        <v>45901.598611111112</v>
      </c>
      <c r="AI40">
        <v>45896.598611111112</v>
      </c>
      <c r="AJ40">
        <v>53.9</v>
      </c>
      <c r="AK40">
        <v>0</v>
      </c>
      <c r="AL40" t="s">
        <v>909</v>
      </c>
      <c r="AM40">
        <v>2</v>
      </c>
      <c r="AN40" t="s">
        <v>1633</v>
      </c>
      <c r="AO40" t="s">
        <v>1634</v>
      </c>
      <c r="AP40" t="s">
        <v>1634</v>
      </c>
      <c r="AQ40" t="s">
        <v>539</v>
      </c>
      <c r="AR40" t="s">
        <v>1378</v>
      </c>
      <c r="AS40" t="s">
        <v>1378</v>
      </c>
      <c r="AT40" t="s">
        <v>1369</v>
      </c>
    </row>
    <row r="41" spans="1:46" x14ac:dyDescent="0.2">
      <c r="A41">
        <v>0</v>
      </c>
      <c r="B41">
        <v>0</v>
      </c>
      <c r="F41">
        <v>51.9</v>
      </c>
      <c r="H41" t="s">
        <v>1101</v>
      </c>
      <c r="I41" t="s">
        <v>1105</v>
      </c>
      <c r="J41">
        <v>45970198</v>
      </c>
      <c r="K41" t="s">
        <v>414</v>
      </c>
      <c r="L41" t="s">
        <v>415</v>
      </c>
      <c r="M41" t="s">
        <v>415</v>
      </c>
      <c r="N41" t="s">
        <v>415</v>
      </c>
      <c r="O41" t="s">
        <v>252</v>
      </c>
      <c r="P41" t="s">
        <v>200</v>
      </c>
      <c r="Q41" t="s">
        <v>203</v>
      </c>
      <c r="R41" t="s">
        <v>48</v>
      </c>
      <c r="S41" t="s">
        <v>49</v>
      </c>
      <c r="T41" t="s">
        <v>50</v>
      </c>
      <c r="U41" t="s">
        <v>39</v>
      </c>
      <c r="V41" t="s">
        <v>39</v>
      </c>
      <c r="W41" t="s">
        <v>39</v>
      </c>
      <c r="X41" t="s">
        <v>41</v>
      </c>
      <c r="Y41" t="s">
        <v>41</v>
      </c>
      <c r="Z41" t="s">
        <v>39</v>
      </c>
      <c r="AA41" t="s">
        <v>39</v>
      </c>
      <c r="AB41" t="s">
        <v>40</v>
      </c>
      <c r="AC41" t="s">
        <v>41</v>
      </c>
      <c r="AD41" t="s">
        <v>461</v>
      </c>
      <c r="AE41" t="s">
        <v>138</v>
      </c>
      <c r="AF41" t="s">
        <v>458</v>
      </c>
      <c r="AG41" t="s">
        <v>922</v>
      </c>
      <c r="AH41">
        <v>45913.538888888892</v>
      </c>
      <c r="AI41">
        <v>45908.538888888892</v>
      </c>
      <c r="AJ41">
        <v>42</v>
      </c>
      <c r="AK41">
        <v>0</v>
      </c>
      <c r="AL41" t="s">
        <v>919</v>
      </c>
      <c r="AM41">
        <v>2</v>
      </c>
      <c r="AN41" t="s">
        <v>1350</v>
      </c>
      <c r="AO41" t="s">
        <v>1700</v>
      </c>
      <c r="AP41" t="s">
        <v>1700</v>
      </c>
      <c r="AQ41" t="s">
        <v>1365</v>
      </c>
      <c r="AR41" t="s">
        <v>1357</v>
      </c>
      <c r="AS41" t="s">
        <v>1357</v>
      </c>
      <c r="AT41" t="s">
        <v>1672</v>
      </c>
    </row>
    <row r="42" spans="1:46" x14ac:dyDescent="0.2">
      <c r="A42">
        <v>1</v>
      </c>
      <c r="B42">
        <v>1</v>
      </c>
      <c r="D42" t="s">
        <v>1738</v>
      </c>
      <c r="F42">
        <v>40</v>
      </c>
      <c r="H42" t="s">
        <v>1100</v>
      </c>
      <c r="I42" t="s">
        <v>1105</v>
      </c>
      <c r="J42">
        <v>45969530</v>
      </c>
      <c r="K42" t="s">
        <v>422</v>
      </c>
      <c r="L42" t="s">
        <v>1082</v>
      </c>
      <c r="M42" t="s">
        <v>762</v>
      </c>
      <c r="N42" t="s">
        <v>762</v>
      </c>
      <c r="O42" t="s">
        <v>53</v>
      </c>
      <c r="P42">
        <v>0</v>
      </c>
      <c r="Q42" t="s">
        <v>47</v>
      </c>
      <c r="R42" t="s">
        <v>36</v>
      </c>
      <c r="S42" t="s">
        <v>49</v>
      </c>
      <c r="T42" t="s">
        <v>50</v>
      </c>
      <c r="U42" t="s">
        <v>39</v>
      </c>
      <c r="V42" t="s">
        <v>41</v>
      </c>
      <c r="W42" t="s">
        <v>39</v>
      </c>
      <c r="X42" t="s">
        <v>41</v>
      </c>
      <c r="Y42" t="s">
        <v>41</v>
      </c>
      <c r="Z42" t="s">
        <v>39</v>
      </c>
      <c r="AA42" t="s">
        <v>39</v>
      </c>
      <c r="AB42" t="s">
        <v>40</v>
      </c>
      <c r="AC42" t="s">
        <v>41</v>
      </c>
      <c r="AD42" t="s">
        <v>494</v>
      </c>
      <c r="AE42" t="s">
        <v>448</v>
      </c>
      <c r="AF42" t="s">
        <v>446</v>
      </c>
      <c r="AG42" t="s">
        <v>922</v>
      </c>
      <c r="AH42">
        <v>45902.581250000003</v>
      </c>
      <c r="AI42">
        <v>45897.581250000003</v>
      </c>
      <c r="AJ42">
        <v>52.9</v>
      </c>
      <c r="AK42">
        <v>0</v>
      </c>
      <c r="AL42" t="s">
        <v>975</v>
      </c>
      <c r="AM42">
        <v>3</v>
      </c>
      <c r="AN42" t="s">
        <v>1707</v>
      </c>
      <c r="AO42" t="s">
        <v>1708</v>
      </c>
      <c r="AP42" t="s">
        <v>1708</v>
      </c>
      <c r="AQ42" t="s">
        <v>530</v>
      </c>
      <c r="AR42" t="s">
        <v>1709</v>
      </c>
      <c r="AS42" t="s">
        <v>1709</v>
      </c>
      <c r="AT42" t="s">
        <v>1383</v>
      </c>
    </row>
    <row r="43" spans="1:46" x14ac:dyDescent="0.2">
      <c r="A43">
        <v>0</v>
      </c>
      <c r="B43">
        <v>0</v>
      </c>
      <c r="F43">
        <v>50.9</v>
      </c>
      <c r="H43" t="s">
        <v>1100</v>
      </c>
      <c r="I43" t="s">
        <v>1105</v>
      </c>
      <c r="J43">
        <v>45968103</v>
      </c>
      <c r="K43" t="s">
        <v>430</v>
      </c>
      <c r="L43" t="s">
        <v>431</v>
      </c>
      <c r="M43" t="s">
        <v>431</v>
      </c>
      <c r="N43" t="s">
        <v>431</v>
      </c>
      <c r="O43" t="s">
        <v>46</v>
      </c>
      <c r="P43">
        <v>0</v>
      </c>
      <c r="Q43" t="s">
        <v>138</v>
      </c>
      <c r="R43" t="s">
        <v>48</v>
      </c>
      <c r="S43" t="s">
        <v>49</v>
      </c>
      <c r="T43" t="s">
        <v>50</v>
      </c>
      <c r="U43" t="s">
        <v>39</v>
      </c>
      <c r="V43" t="s">
        <v>39</v>
      </c>
      <c r="W43" t="s">
        <v>39</v>
      </c>
      <c r="X43" t="s">
        <v>41</v>
      </c>
      <c r="Y43" t="s">
        <v>41</v>
      </c>
      <c r="Z43" t="s">
        <v>39</v>
      </c>
      <c r="AA43" t="s">
        <v>39</v>
      </c>
      <c r="AB43" t="s">
        <v>40</v>
      </c>
      <c r="AC43" t="s">
        <v>41</v>
      </c>
      <c r="AD43" t="s">
        <v>461</v>
      </c>
      <c r="AE43" t="s">
        <v>138</v>
      </c>
      <c r="AF43" t="s">
        <v>531</v>
      </c>
      <c r="AG43" t="s">
        <v>887</v>
      </c>
      <c r="AH43">
        <v>45893.703472222223</v>
      </c>
      <c r="AI43">
        <v>45888.703472222223</v>
      </c>
      <c r="AJ43">
        <v>61.8</v>
      </c>
      <c r="AK43">
        <v>0</v>
      </c>
      <c r="AL43" t="s">
        <v>928</v>
      </c>
      <c r="AM43">
        <v>3</v>
      </c>
      <c r="AN43" t="s">
        <v>1713</v>
      </c>
      <c r="AO43" t="s">
        <v>1714</v>
      </c>
      <c r="AP43" t="s">
        <v>1714</v>
      </c>
      <c r="AQ43" t="s">
        <v>523</v>
      </c>
      <c r="AR43" t="s">
        <v>1325</v>
      </c>
      <c r="AS43" t="s">
        <v>1325</v>
      </c>
      <c r="AT43" t="s">
        <v>1715</v>
      </c>
    </row>
    <row r="44" spans="1:46" x14ac:dyDescent="0.2">
      <c r="A44">
        <v>0</v>
      </c>
      <c r="B44">
        <v>0</v>
      </c>
      <c r="F44">
        <v>59.8</v>
      </c>
      <c r="H44" t="s">
        <v>1101</v>
      </c>
      <c r="I44" t="s">
        <v>1105</v>
      </c>
      <c r="J44">
        <v>45968075</v>
      </c>
      <c r="K44" t="s">
        <v>435</v>
      </c>
      <c r="L44" t="s">
        <v>436</v>
      </c>
      <c r="M44" t="s">
        <v>436</v>
      </c>
      <c r="N44" t="s">
        <v>436</v>
      </c>
      <c r="O44" t="s">
        <v>437</v>
      </c>
      <c r="P44" t="s">
        <v>350</v>
      </c>
      <c r="Q44" t="s">
        <v>286</v>
      </c>
      <c r="R44" t="s">
        <v>36</v>
      </c>
      <c r="S44" t="s">
        <v>37</v>
      </c>
      <c r="T44" t="s">
        <v>50</v>
      </c>
      <c r="U44" t="s">
        <v>39</v>
      </c>
      <c r="V44" t="s">
        <v>41</v>
      </c>
      <c r="W44" t="s">
        <v>39</v>
      </c>
      <c r="X44" t="s">
        <v>41</v>
      </c>
      <c r="Y44" t="s">
        <v>41</v>
      </c>
      <c r="Z44" t="s">
        <v>39</v>
      </c>
      <c r="AA44" t="s">
        <v>39</v>
      </c>
      <c r="AB44" t="s">
        <v>40</v>
      </c>
      <c r="AC44" t="s">
        <v>41</v>
      </c>
      <c r="AD44" t="s">
        <v>494</v>
      </c>
      <c r="AE44" t="s">
        <v>286</v>
      </c>
      <c r="AF44" t="s">
        <v>469</v>
      </c>
      <c r="AG44" t="s">
        <v>893</v>
      </c>
      <c r="AH44">
        <v>0</v>
      </c>
      <c r="AI44">
        <v>45875.455555555556</v>
      </c>
      <c r="AJ44">
        <v>75</v>
      </c>
      <c r="AK44">
        <v>0</v>
      </c>
      <c r="AL44" t="s">
        <v>953</v>
      </c>
      <c r="AM44">
        <v>2</v>
      </c>
      <c r="AN44" t="s">
        <v>1717</v>
      </c>
      <c r="AO44" t="s">
        <v>1718</v>
      </c>
      <c r="AP44" t="s">
        <v>1718</v>
      </c>
      <c r="AQ44" t="s">
        <v>676</v>
      </c>
      <c r="AR44" t="s">
        <v>1719</v>
      </c>
      <c r="AS44" t="s">
        <v>1719</v>
      </c>
      <c r="AT44" t="s">
        <v>1315</v>
      </c>
    </row>
    <row r="45" spans="1:46" x14ac:dyDescent="0.2">
      <c r="A45">
        <v>1</v>
      </c>
      <c r="B45" t="e">
        <v>#N/A</v>
      </c>
      <c r="F45">
        <v>73</v>
      </c>
      <c r="H45" t="s">
        <v>1101</v>
      </c>
      <c r="I45" t="s">
        <v>1105</v>
      </c>
      <c r="J45">
        <v>46184776</v>
      </c>
      <c r="K45" t="s">
        <v>836</v>
      </c>
      <c r="L45" t="s">
        <v>835</v>
      </c>
      <c r="M45" t="s">
        <v>835</v>
      </c>
      <c r="N45" t="s">
        <v>835</v>
      </c>
      <c r="O45" t="s">
        <v>68</v>
      </c>
      <c r="P45" t="s">
        <v>59</v>
      </c>
      <c r="Q45" t="s">
        <v>133</v>
      </c>
      <c r="R45" t="s">
        <v>48</v>
      </c>
      <c r="S45" t="s">
        <v>49</v>
      </c>
      <c r="T45" t="s">
        <v>50</v>
      </c>
      <c r="U45" t="s">
        <v>39</v>
      </c>
      <c r="V45" t="s">
        <v>41</v>
      </c>
      <c r="W45" t="s">
        <v>39</v>
      </c>
      <c r="X45" t="s">
        <v>41</v>
      </c>
      <c r="Y45" t="s">
        <v>41</v>
      </c>
      <c r="Z45" t="s">
        <v>39</v>
      </c>
      <c r="AA45" t="s">
        <v>39</v>
      </c>
      <c r="AB45" t="s">
        <v>40</v>
      </c>
      <c r="AC45" t="s">
        <v>41</v>
      </c>
      <c r="AD45" t="s">
        <v>494</v>
      </c>
      <c r="AE45" t="s">
        <v>537</v>
      </c>
      <c r="AF45" t="s">
        <v>469</v>
      </c>
      <c r="AG45" t="s">
        <v>887</v>
      </c>
      <c r="AH45">
        <v>45927.55972222222</v>
      </c>
      <c r="AI45">
        <v>45922.55972222222</v>
      </c>
      <c r="AJ45">
        <v>27.9</v>
      </c>
      <c r="AK45">
        <v>0</v>
      </c>
      <c r="AL45" t="s">
        <v>919</v>
      </c>
      <c r="AM45">
        <v>2</v>
      </c>
      <c r="AN45" t="s">
        <v>1497</v>
      </c>
      <c r="AO45" t="s">
        <v>1497</v>
      </c>
      <c r="AP45" t="s">
        <v>1497</v>
      </c>
      <c r="AQ45" t="s">
        <v>1497</v>
      </c>
      <c r="AR45" t="s">
        <v>1497</v>
      </c>
      <c r="AS45" t="s">
        <v>1497</v>
      </c>
      <c r="AT45" t="s">
        <v>1498</v>
      </c>
    </row>
    <row r="46" spans="1:46" x14ac:dyDescent="0.2">
      <c r="A46">
        <v>1</v>
      </c>
      <c r="B46" t="e">
        <v>#N/A</v>
      </c>
      <c r="H46" t="s">
        <v>1101</v>
      </c>
      <c r="I46" t="s">
        <v>1105</v>
      </c>
      <c r="J46">
        <v>46184787</v>
      </c>
      <c r="K46" t="s">
        <v>849</v>
      </c>
      <c r="L46" t="s">
        <v>848</v>
      </c>
      <c r="M46" t="s">
        <v>848</v>
      </c>
      <c r="N46" t="s">
        <v>848</v>
      </c>
      <c r="O46" t="s">
        <v>89</v>
      </c>
      <c r="P46" t="s">
        <v>90</v>
      </c>
      <c r="Q46" t="s">
        <v>47</v>
      </c>
      <c r="R46" t="s">
        <v>48</v>
      </c>
      <c r="S46" t="s">
        <v>49</v>
      </c>
      <c r="T46" t="s">
        <v>74</v>
      </c>
      <c r="U46" t="s">
        <v>39</v>
      </c>
      <c r="V46" t="s">
        <v>41</v>
      </c>
      <c r="W46" t="s">
        <v>39</v>
      </c>
      <c r="X46" t="s">
        <v>41</v>
      </c>
      <c r="Y46" t="s">
        <v>41</v>
      </c>
      <c r="Z46" t="s">
        <v>39</v>
      </c>
      <c r="AA46" t="s">
        <v>39</v>
      </c>
      <c r="AB46" t="s">
        <v>40</v>
      </c>
      <c r="AC46" t="s">
        <v>41</v>
      </c>
      <c r="AD46" t="s">
        <v>494</v>
      </c>
      <c r="AE46" t="s">
        <v>477</v>
      </c>
      <c r="AF46" t="s">
        <v>645</v>
      </c>
      <c r="AG46" t="s">
        <v>887</v>
      </c>
      <c r="AH46">
        <v>45932.762499999997</v>
      </c>
      <c r="AI46">
        <v>45927.762499999997</v>
      </c>
      <c r="AJ46">
        <v>22.7</v>
      </c>
      <c r="AK46">
        <v>0</v>
      </c>
      <c r="AL46" t="s">
        <v>891</v>
      </c>
      <c r="AM46">
        <v>1</v>
      </c>
      <c r="AN46" t="s">
        <v>1497</v>
      </c>
      <c r="AO46" t="s">
        <v>1497</v>
      </c>
      <c r="AP46" t="s">
        <v>1497</v>
      </c>
      <c r="AQ46" t="s">
        <v>1497</v>
      </c>
      <c r="AR46" t="s">
        <v>1497</v>
      </c>
      <c r="AS46" t="s">
        <v>1497</v>
      </c>
      <c r="AT46" t="s">
        <v>1498</v>
      </c>
    </row>
    <row r="47" spans="1:46" x14ac:dyDescent="0.2">
      <c r="A47">
        <v>0</v>
      </c>
      <c r="B47" t="e">
        <v>#N/A</v>
      </c>
      <c r="H47" t="s">
        <v>1101</v>
      </c>
      <c r="I47" t="s">
        <v>1105</v>
      </c>
      <c r="J47">
        <v>46184800</v>
      </c>
      <c r="K47" t="s">
        <v>867</v>
      </c>
      <c r="L47" t="s">
        <v>866</v>
      </c>
      <c r="M47" t="s">
        <v>866</v>
      </c>
      <c r="N47" t="s">
        <v>866</v>
      </c>
      <c r="O47" t="s">
        <v>1428</v>
      </c>
      <c r="P47" t="s">
        <v>1429</v>
      </c>
      <c r="Q47" t="s">
        <v>154</v>
      </c>
      <c r="R47" t="s">
        <v>48</v>
      </c>
      <c r="S47" t="s">
        <v>49</v>
      </c>
      <c r="T47" t="s">
        <v>74</v>
      </c>
      <c r="U47" t="s">
        <v>39</v>
      </c>
      <c r="V47" t="s">
        <v>39</v>
      </c>
      <c r="W47" t="s">
        <v>39</v>
      </c>
      <c r="X47" t="s">
        <v>41</v>
      </c>
      <c r="Y47" t="s">
        <v>41</v>
      </c>
      <c r="Z47" t="s">
        <v>39</v>
      </c>
      <c r="AA47" t="s">
        <v>39</v>
      </c>
      <c r="AB47" t="s">
        <v>40</v>
      </c>
      <c r="AC47" t="s">
        <v>41</v>
      </c>
      <c r="AD47" t="s">
        <v>461</v>
      </c>
      <c r="AE47" t="s">
        <v>138</v>
      </c>
      <c r="AF47" t="s">
        <v>645</v>
      </c>
      <c r="AG47" t="s">
        <v>902</v>
      </c>
      <c r="AH47">
        <v>0</v>
      </c>
      <c r="AI47">
        <v>45932.661805555559</v>
      </c>
      <c r="AJ47">
        <v>17.8</v>
      </c>
      <c r="AK47">
        <v>0</v>
      </c>
      <c r="AL47" t="s">
        <v>900</v>
      </c>
      <c r="AM47">
        <v>2</v>
      </c>
      <c r="AN47" t="s">
        <v>1497</v>
      </c>
      <c r="AO47" t="s">
        <v>1497</v>
      </c>
      <c r="AP47" t="s">
        <v>1497</v>
      </c>
      <c r="AQ47" t="s">
        <v>1497</v>
      </c>
      <c r="AR47" t="s">
        <v>1497</v>
      </c>
      <c r="AS47" t="s">
        <v>1497</v>
      </c>
      <c r="AT47" t="s">
        <v>1498</v>
      </c>
    </row>
    <row r="48" spans="1:46" x14ac:dyDescent="0.2">
      <c r="A48">
        <v>1</v>
      </c>
      <c r="B48" t="e">
        <v>#N/A</v>
      </c>
      <c r="H48" t="s">
        <v>1101</v>
      </c>
      <c r="I48" t="s">
        <v>1105</v>
      </c>
      <c r="J48">
        <v>46184805</v>
      </c>
      <c r="K48" t="s">
        <v>1152</v>
      </c>
      <c r="L48" t="s">
        <v>1153</v>
      </c>
      <c r="M48" t="s">
        <v>1153</v>
      </c>
      <c r="N48" t="s">
        <v>1153</v>
      </c>
      <c r="O48" t="s">
        <v>252</v>
      </c>
      <c r="P48" t="s">
        <v>253</v>
      </c>
      <c r="Q48" t="s">
        <v>254</v>
      </c>
      <c r="R48" t="s">
        <v>36</v>
      </c>
      <c r="S48" t="s">
        <v>49</v>
      </c>
      <c r="T48" t="s">
        <v>50</v>
      </c>
      <c r="U48" t="s">
        <v>39</v>
      </c>
      <c r="V48" t="s">
        <v>41</v>
      </c>
      <c r="W48" t="s">
        <v>39</v>
      </c>
      <c r="X48" t="s">
        <v>41</v>
      </c>
      <c r="Y48" t="s">
        <v>41</v>
      </c>
      <c r="Z48" t="s">
        <v>39</v>
      </c>
      <c r="AA48" t="s">
        <v>39</v>
      </c>
      <c r="AB48" t="s">
        <v>40</v>
      </c>
      <c r="AC48" t="s">
        <v>41</v>
      </c>
      <c r="AD48" t="s">
        <v>494</v>
      </c>
      <c r="AE48" t="s">
        <v>537</v>
      </c>
      <c r="AF48" t="s">
        <v>469</v>
      </c>
      <c r="AG48" t="s">
        <v>887</v>
      </c>
      <c r="AH48">
        <v>45943.580555555556</v>
      </c>
      <c r="AI48">
        <v>45938.580555555556</v>
      </c>
      <c r="AJ48">
        <v>11.9</v>
      </c>
      <c r="AK48">
        <v>0</v>
      </c>
      <c r="AL48" t="s">
        <v>1205</v>
      </c>
      <c r="AM48">
        <v>1</v>
      </c>
      <c r="AN48" t="s">
        <v>1497</v>
      </c>
      <c r="AO48" t="s">
        <v>1497</v>
      </c>
      <c r="AP48" t="s">
        <v>1497</v>
      </c>
      <c r="AQ48" t="s">
        <v>1497</v>
      </c>
      <c r="AR48" t="s">
        <v>1497</v>
      </c>
      <c r="AS48" t="s">
        <v>1497</v>
      </c>
      <c r="AT48" t="s">
        <v>1498</v>
      </c>
    </row>
    <row r="49" spans="1:46" x14ac:dyDescent="0.2">
      <c r="A49">
        <v>0</v>
      </c>
      <c r="B49" t="e">
        <v>#N/A</v>
      </c>
      <c r="H49" t="s">
        <v>1101</v>
      </c>
      <c r="I49" t="s">
        <v>1105</v>
      </c>
      <c r="J49">
        <v>46184679</v>
      </c>
      <c r="K49" t="s">
        <v>843</v>
      </c>
      <c r="L49" t="s">
        <v>842</v>
      </c>
      <c r="M49" t="s">
        <v>842</v>
      </c>
      <c r="N49" t="s">
        <v>842</v>
      </c>
      <c r="O49" t="s">
        <v>90</v>
      </c>
      <c r="P49" t="s">
        <v>1158</v>
      </c>
      <c r="Q49" t="s">
        <v>154</v>
      </c>
      <c r="R49" t="s">
        <v>48</v>
      </c>
      <c r="S49" t="s">
        <v>37</v>
      </c>
      <c r="T49" t="s">
        <v>50</v>
      </c>
      <c r="U49" t="s">
        <v>39</v>
      </c>
      <c r="V49" t="s">
        <v>41</v>
      </c>
      <c r="W49" t="s">
        <v>39</v>
      </c>
      <c r="X49" t="s">
        <v>41</v>
      </c>
      <c r="Y49" t="s">
        <v>41</v>
      </c>
      <c r="Z49" t="s">
        <v>39</v>
      </c>
      <c r="AA49" t="s">
        <v>39</v>
      </c>
      <c r="AB49" t="s">
        <v>40</v>
      </c>
      <c r="AC49" t="s">
        <v>41</v>
      </c>
      <c r="AD49" t="s">
        <v>494</v>
      </c>
      <c r="AE49" t="s">
        <v>138</v>
      </c>
      <c r="AF49" t="s">
        <v>458</v>
      </c>
      <c r="AG49" t="s">
        <v>887</v>
      </c>
      <c r="AH49">
        <v>45930.62777777778</v>
      </c>
      <c r="AI49">
        <v>45925.62777777778</v>
      </c>
      <c r="AJ49">
        <v>24.8</v>
      </c>
      <c r="AK49">
        <v>0</v>
      </c>
      <c r="AL49" t="s">
        <v>995</v>
      </c>
      <c r="AM49">
        <v>2</v>
      </c>
      <c r="AN49" t="s">
        <v>1497</v>
      </c>
      <c r="AO49" t="s">
        <v>1497</v>
      </c>
      <c r="AP49" t="s">
        <v>1497</v>
      </c>
      <c r="AQ49" t="s">
        <v>1497</v>
      </c>
      <c r="AR49" t="s">
        <v>1497</v>
      </c>
      <c r="AS49" t="s">
        <v>1497</v>
      </c>
      <c r="AT49" t="s">
        <v>1498</v>
      </c>
    </row>
    <row r="50" spans="1:46" x14ac:dyDescent="0.2">
      <c r="A50">
        <v>1</v>
      </c>
      <c r="B50" t="e">
        <v>#N/A</v>
      </c>
      <c r="H50" t="s">
        <v>1101</v>
      </c>
      <c r="I50" t="s">
        <v>1105</v>
      </c>
      <c r="J50">
        <v>46184656</v>
      </c>
      <c r="K50" t="s">
        <v>775</v>
      </c>
      <c r="L50" t="s">
        <v>774</v>
      </c>
      <c r="M50" t="s">
        <v>774</v>
      </c>
      <c r="N50" t="s">
        <v>774</v>
      </c>
      <c r="O50" t="s">
        <v>90</v>
      </c>
      <c r="P50">
        <v>0</v>
      </c>
      <c r="Q50" t="s">
        <v>138</v>
      </c>
      <c r="R50" t="s">
        <v>48</v>
      </c>
      <c r="S50" t="s">
        <v>49</v>
      </c>
      <c r="T50" t="s">
        <v>50</v>
      </c>
      <c r="U50" t="s">
        <v>39</v>
      </c>
      <c r="V50" t="s">
        <v>39</v>
      </c>
      <c r="W50" t="s">
        <v>39</v>
      </c>
      <c r="X50" t="s">
        <v>41</v>
      </c>
      <c r="Y50" t="s">
        <v>41</v>
      </c>
      <c r="Z50" t="s">
        <v>39</v>
      </c>
      <c r="AA50" t="s">
        <v>39</v>
      </c>
      <c r="AB50" t="s">
        <v>40</v>
      </c>
      <c r="AC50" t="s">
        <v>41</v>
      </c>
      <c r="AD50" t="s">
        <v>461</v>
      </c>
      <c r="AE50" t="s">
        <v>138</v>
      </c>
      <c r="AF50" t="s">
        <v>531</v>
      </c>
      <c r="AG50" t="s">
        <v>887</v>
      </c>
      <c r="AH50">
        <v>45910.564583333333</v>
      </c>
      <c r="AI50">
        <v>45905.564583333333</v>
      </c>
      <c r="AJ50">
        <v>44.9</v>
      </c>
      <c r="AK50">
        <v>0</v>
      </c>
      <c r="AL50" t="s">
        <v>1484</v>
      </c>
      <c r="AM50">
        <v>2</v>
      </c>
      <c r="AN50" t="s">
        <v>1497</v>
      </c>
      <c r="AO50" t="s">
        <v>1497</v>
      </c>
      <c r="AP50" t="s">
        <v>1497</v>
      </c>
      <c r="AQ50" t="s">
        <v>1497</v>
      </c>
      <c r="AR50" t="s">
        <v>1497</v>
      </c>
      <c r="AS50" t="s">
        <v>1497</v>
      </c>
      <c r="AT50" t="s">
        <v>1498</v>
      </c>
    </row>
    <row r="51" spans="1:46" x14ac:dyDescent="0.2">
      <c r="A51">
        <v>0</v>
      </c>
      <c r="B51" t="e">
        <v>#N/A</v>
      </c>
      <c r="H51" t="s">
        <v>1100</v>
      </c>
      <c r="I51" t="s">
        <v>1105</v>
      </c>
      <c r="J51">
        <v>46184864</v>
      </c>
      <c r="K51" t="s">
        <v>827</v>
      </c>
      <c r="L51" t="s">
        <v>826</v>
      </c>
      <c r="M51" t="s">
        <v>826</v>
      </c>
      <c r="N51" t="s">
        <v>826</v>
      </c>
      <c r="O51" t="s">
        <v>46</v>
      </c>
      <c r="P51" t="s">
        <v>90</v>
      </c>
      <c r="Q51" t="s">
        <v>154</v>
      </c>
      <c r="R51" t="s">
        <v>48</v>
      </c>
      <c r="S51" t="s">
        <v>37</v>
      </c>
      <c r="T51" t="s">
        <v>50</v>
      </c>
      <c r="U51" t="s">
        <v>39</v>
      </c>
      <c r="V51" t="s">
        <v>41</v>
      </c>
      <c r="W51" t="s">
        <v>39</v>
      </c>
      <c r="X51" t="s">
        <v>41</v>
      </c>
      <c r="Y51" t="s">
        <v>41</v>
      </c>
      <c r="Z51" t="s">
        <v>39</v>
      </c>
      <c r="AA51" t="s">
        <v>39</v>
      </c>
      <c r="AB51" t="s">
        <v>40</v>
      </c>
      <c r="AC51" t="s">
        <v>41</v>
      </c>
      <c r="AD51" t="s">
        <v>494</v>
      </c>
      <c r="AE51" t="s">
        <v>138</v>
      </c>
      <c r="AF51" t="s">
        <v>531</v>
      </c>
      <c r="AG51" t="s">
        <v>922</v>
      </c>
      <c r="AH51">
        <v>45924.633333333331</v>
      </c>
      <c r="AI51">
        <v>45919.633333333331</v>
      </c>
      <c r="AJ51">
        <v>30.8</v>
      </c>
      <c r="AK51">
        <v>0</v>
      </c>
      <c r="AL51" t="s">
        <v>933</v>
      </c>
      <c r="AM51">
        <v>2</v>
      </c>
      <c r="AN51" t="s">
        <v>1497</v>
      </c>
      <c r="AO51" t="s">
        <v>1497</v>
      </c>
      <c r="AP51" t="s">
        <v>1497</v>
      </c>
      <c r="AQ51" t="s">
        <v>1497</v>
      </c>
      <c r="AR51" t="s">
        <v>1497</v>
      </c>
      <c r="AS51" t="s">
        <v>1497</v>
      </c>
      <c r="AT51" t="s">
        <v>1498</v>
      </c>
    </row>
    <row r="52" spans="1:46" x14ac:dyDescent="0.2">
      <c r="A52">
        <v>1</v>
      </c>
      <c r="B52" t="e">
        <v>#N/A</v>
      </c>
      <c r="H52" t="s">
        <v>1101</v>
      </c>
      <c r="I52" t="s">
        <v>1105</v>
      </c>
      <c r="J52">
        <v>46184910</v>
      </c>
      <c r="K52" t="s">
        <v>802</v>
      </c>
      <c r="L52" t="s">
        <v>1095</v>
      </c>
      <c r="M52" t="s">
        <v>1095</v>
      </c>
      <c r="N52" t="s">
        <v>1095</v>
      </c>
      <c r="O52" t="s">
        <v>1428</v>
      </c>
      <c r="P52" t="s">
        <v>90</v>
      </c>
      <c r="Q52" t="s">
        <v>146</v>
      </c>
      <c r="R52" t="s">
        <v>48</v>
      </c>
      <c r="S52" t="s">
        <v>37</v>
      </c>
      <c r="T52" t="s">
        <v>50</v>
      </c>
      <c r="U52" t="s">
        <v>39</v>
      </c>
      <c r="V52" t="s">
        <v>39</v>
      </c>
      <c r="W52" t="s">
        <v>39</v>
      </c>
      <c r="X52" t="s">
        <v>41</v>
      </c>
      <c r="Y52" t="s">
        <v>41</v>
      </c>
      <c r="Z52" t="s">
        <v>39</v>
      </c>
      <c r="AA52" t="s">
        <v>39</v>
      </c>
      <c r="AB52" t="s">
        <v>40</v>
      </c>
      <c r="AC52" t="s">
        <v>41</v>
      </c>
      <c r="AD52" t="s">
        <v>461</v>
      </c>
      <c r="AE52" t="s">
        <v>448</v>
      </c>
      <c r="AF52" t="s">
        <v>531</v>
      </c>
      <c r="AG52" t="s">
        <v>922</v>
      </c>
      <c r="AH52">
        <v>45920.520138888889</v>
      </c>
      <c r="AI52">
        <v>45915.520138888889</v>
      </c>
      <c r="AJ52">
        <v>35</v>
      </c>
      <c r="AK52">
        <v>0</v>
      </c>
      <c r="AL52" t="s">
        <v>933</v>
      </c>
      <c r="AM52">
        <v>2</v>
      </c>
      <c r="AN52" t="s">
        <v>1497</v>
      </c>
      <c r="AO52" t="s">
        <v>1497</v>
      </c>
      <c r="AP52" t="s">
        <v>1497</v>
      </c>
      <c r="AQ52" t="s">
        <v>1497</v>
      </c>
      <c r="AR52" t="s">
        <v>1497</v>
      </c>
      <c r="AS52" t="s">
        <v>1497</v>
      </c>
      <c r="AT52" t="s">
        <v>1498</v>
      </c>
    </row>
    <row r="53" spans="1:46" x14ac:dyDescent="0.2">
      <c r="A53">
        <v>0</v>
      </c>
      <c r="B53" t="e">
        <v>#N/A</v>
      </c>
      <c r="H53" t="s">
        <v>1101</v>
      </c>
      <c r="I53" t="s">
        <v>1105</v>
      </c>
      <c r="J53">
        <v>46184923</v>
      </c>
      <c r="K53" t="s">
        <v>799</v>
      </c>
      <c r="L53" t="s">
        <v>798</v>
      </c>
      <c r="M53" t="s">
        <v>798</v>
      </c>
      <c r="N53" t="s">
        <v>798</v>
      </c>
      <c r="O53" t="s">
        <v>90</v>
      </c>
      <c r="P53" t="s">
        <v>96</v>
      </c>
      <c r="Q53" t="s">
        <v>1438</v>
      </c>
      <c r="R53" t="s">
        <v>48</v>
      </c>
      <c r="S53" t="s">
        <v>37</v>
      </c>
      <c r="T53" t="s">
        <v>50</v>
      </c>
      <c r="U53" t="s">
        <v>39</v>
      </c>
      <c r="V53" t="s">
        <v>39</v>
      </c>
      <c r="W53" t="s">
        <v>39</v>
      </c>
      <c r="X53" t="s">
        <v>41</v>
      </c>
      <c r="Y53" t="s">
        <v>41</v>
      </c>
      <c r="Z53" t="s">
        <v>39</v>
      </c>
      <c r="AA53" t="s">
        <v>39</v>
      </c>
      <c r="AB53" t="s">
        <v>40</v>
      </c>
      <c r="AC53" t="s">
        <v>41</v>
      </c>
      <c r="AD53" t="s">
        <v>461</v>
      </c>
      <c r="AE53" t="s">
        <v>448</v>
      </c>
      <c r="AF53" t="s">
        <v>531</v>
      </c>
      <c r="AG53" t="s">
        <v>887</v>
      </c>
      <c r="AH53">
        <v>45918.493750000001</v>
      </c>
      <c r="AI53">
        <v>45913.493750000001</v>
      </c>
      <c r="AJ53">
        <v>37</v>
      </c>
      <c r="AK53">
        <v>0</v>
      </c>
      <c r="AL53" t="s">
        <v>1485</v>
      </c>
      <c r="AM53">
        <v>2</v>
      </c>
      <c r="AN53" t="s">
        <v>1497</v>
      </c>
      <c r="AO53" t="s">
        <v>1497</v>
      </c>
      <c r="AP53" t="s">
        <v>1497</v>
      </c>
      <c r="AQ53" t="s">
        <v>1497</v>
      </c>
      <c r="AR53" t="s">
        <v>1497</v>
      </c>
      <c r="AS53" t="s">
        <v>1497</v>
      </c>
      <c r="AT53" t="s">
        <v>1498</v>
      </c>
    </row>
    <row r="54" spans="1:46" x14ac:dyDescent="0.2">
      <c r="A54">
        <v>0</v>
      </c>
      <c r="B54" t="e">
        <v>#N/A</v>
      </c>
      <c r="H54" t="s">
        <v>1100</v>
      </c>
      <c r="I54" t="s">
        <v>1105</v>
      </c>
      <c r="J54">
        <v>46184930</v>
      </c>
      <c r="K54" t="s">
        <v>768</v>
      </c>
      <c r="L54" t="s">
        <v>767</v>
      </c>
      <c r="M54" t="s">
        <v>767</v>
      </c>
      <c r="N54" t="s">
        <v>767</v>
      </c>
      <c r="O54" t="s">
        <v>46</v>
      </c>
      <c r="P54" t="s">
        <v>59</v>
      </c>
      <c r="Q54" t="s">
        <v>123</v>
      </c>
      <c r="R54" t="s">
        <v>36</v>
      </c>
      <c r="S54" t="s">
        <v>37</v>
      </c>
      <c r="T54" t="s">
        <v>50</v>
      </c>
      <c r="U54" t="s">
        <v>39</v>
      </c>
      <c r="V54" t="s">
        <v>39</v>
      </c>
      <c r="W54" t="s">
        <v>39</v>
      </c>
      <c r="X54" t="s">
        <v>41</v>
      </c>
      <c r="Y54" t="s">
        <v>41</v>
      </c>
      <c r="Z54" t="s">
        <v>39</v>
      </c>
      <c r="AA54" t="s">
        <v>39</v>
      </c>
      <c r="AB54" t="s">
        <v>40</v>
      </c>
      <c r="AC54" t="s">
        <v>41</v>
      </c>
      <c r="AD54" t="s">
        <v>461</v>
      </c>
      <c r="AE54" t="s">
        <v>537</v>
      </c>
      <c r="AF54" t="s">
        <v>737</v>
      </c>
      <c r="AG54" t="s">
        <v>922</v>
      </c>
      <c r="AH54">
        <v>45908.488888888889</v>
      </c>
      <c r="AI54">
        <v>45903.488888888889</v>
      </c>
      <c r="AJ54">
        <v>47</v>
      </c>
      <c r="AK54">
        <v>0</v>
      </c>
      <c r="AL54" t="s">
        <v>1486</v>
      </c>
      <c r="AM54">
        <v>2</v>
      </c>
      <c r="AN54" t="s">
        <v>1497</v>
      </c>
      <c r="AO54" t="s">
        <v>1497</v>
      </c>
      <c r="AP54" t="s">
        <v>1497</v>
      </c>
      <c r="AQ54" t="s">
        <v>1497</v>
      </c>
      <c r="AR54" t="s">
        <v>1497</v>
      </c>
      <c r="AS54" t="s">
        <v>1497</v>
      </c>
      <c r="AT54" t="s">
        <v>1498</v>
      </c>
    </row>
    <row r="55" spans="1:46" x14ac:dyDescent="0.2">
      <c r="A55">
        <v>1</v>
      </c>
      <c r="B55" t="e">
        <v>#N/A</v>
      </c>
      <c r="H55" t="s">
        <v>1101</v>
      </c>
      <c r="I55" t="s">
        <v>1105</v>
      </c>
      <c r="J55">
        <v>46184949</v>
      </c>
      <c r="K55" t="s">
        <v>792</v>
      </c>
      <c r="L55" t="s">
        <v>791</v>
      </c>
      <c r="M55" t="s">
        <v>791</v>
      </c>
      <c r="N55" t="s">
        <v>791</v>
      </c>
      <c r="O55" t="s">
        <v>80</v>
      </c>
      <c r="P55" t="s">
        <v>1439</v>
      </c>
      <c r="Q55" t="s">
        <v>342</v>
      </c>
      <c r="R55" t="s">
        <v>36</v>
      </c>
      <c r="S55" t="s">
        <v>37</v>
      </c>
      <c r="T55" t="s">
        <v>50</v>
      </c>
      <c r="U55" t="s">
        <v>39</v>
      </c>
      <c r="V55" t="s">
        <v>39</v>
      </c>
      <c r="W55" t="s">
        <v>39</v>
      </c>
      <c r="X55" t="s">
        <v>41</v>
      </c>
      <c r="Y55" t="s">
        <v>41</v>
      </c>
      <c r="Z55" t="s">
        <v>39</v>
      </c>
      <c r="AA55" t="s">
        <v>39</v>
      </c>
      <c r="AB55" t="s">
        <v>40</v>
      </c>
      <c r="AC55" t="s">
        <v>41</v>
      </c>
      <c r="AD55" t="s">
        <v>461</v>
      </c>
      <c r="AE55" t="s">
        <v>448</v>
      </c>
      <c r="AF55" t="s">
        <v>737</v>
      </c>
      <c r="AG55" t="s">
        <v>922</v>
      </c>
      <c r="AH55">
        <v>45916.484722222223</v>
      </c>
      <c r="AI55">
        <v>45911.484722222223</v>
      </c>
      <c r="AJ55">
        <v>39</v>
      </c>
      <c r="AK55">
        <v>0</v>
      </c>
      <c r="AL55" t="s">
        <v>925</v>
      </c>
      <c r="AM55">
        <v>2</v>
      </c>
      <c r="AN55" t="s">
        <v>1497</v>
      </c>
      <c r="AO55" t="s">
        <v>1497</v>
      </c>
      <c r="AP55" t="s">
        <v>1497</v>
      </c>
      <c r="AQ55" t="s">
        <v>1497</v>
      </c>
      <c r="AR55" t="s">
        <v>1497</v>
      </c>
      <c r="AS55" t="s">
        <v>1497</v>
      </c>
      <c r="AT55" t="s">
        <v>1498</v>
      </c>
    </row>
    <row r="56" spans="1:46" x14ac:dyDescent="0.2">
      <c r="A56">
        <v>0</v>
      </c>
      <c r="B56" t="e">
        <v>#N/A</v>
      </c>
      <c r="H56" t="s">
        <v>1100</v>
      </c>
      <c r="I56" t="s">
        <v>1105</v>
      </c>
      <c r="J56">
        <v>46184619</v>
      </c>
      <c r="K56" t="s">
        <v>713</v>
      </c>
      <c r="L56" t="s">
        <v>712</v>
      </c>
      <c r="M56" t="s">
        <v>712</v>
      </c>
      <c r="N56" t="s">
        <v>712</v>
      </c>
      <c r="O56" t="s">
        <v>46</v>
      </c>
      <c r="P56" t="s">
        <v>53</v>
      </c>
      <c r="Q56" t="s">
        <v>1440</v>
      </c>
      <c r="R56" t="s">
        <v>48</v>
      </c>
      <c r="S56" t="s">
        <v>49</v>
      </c>
      <c r="T56" t="s">
        <v>50</v>
      </c>
      <c r="U56" t="s">
        <v>39</v>
      </c>
      <c r="V56" t="s">
        <v>39</v>
      </c>
      <c r="W56" t="s">
        <v>39</v>
      </c>
      <c r="X56" t="s">
        <v>41</v>
      </c>
      <c r="Y56" t="s">
        <v>41</v>
      </c>
      <c r="Z56" t="s">
        <v>39</v>
      </c>
      <c r="AA56" t="s">
        <v>39</v>
      </c>
      <c r="AB56" t="s">
        <v>40</v>
      </c>
      <c r="AC56" t="s">
        <v>41</v>
      </c>
      <c r="AD56" t="s">
        <v>461</v>
      </c>
      <c r="AE56" t="s">
        <v>286</v>
      </c>
      <c r="AF56" t="s">
        <v>492</v>
      </c>
      <c r="AG56" t="s">
        <v>893</v>
      </c>
      <c r="AH56">
        <v>0</v>
      </c>
      <c r="AI56">
        <v>45875.455555555556</v>
      </c>
      <c r="AJ56">
        <v>75</v>
      </c>
      <c r="AK56">
        <v>0</v>
      </c>
      <c r="AL56" t="s">
        <v>1210</v>
      </c>
      <c r="AM56">
        <v>2</v>
      </c>
      <c r="AN56" t="s">
        <v>1497</v>
      </c>
      <c r="AO56" t="s">
        <v>1497</v>
      </c>
      <c r="AP56" t="s">
        <v>1497</v>
      </c>
      <c r="AQ56" t="s">
        <v>1497</v>
      </c>
      <c r="AR56" t="s">
        <v>1497</v>
      </c>
      <c r="AS56" t="s">
        <v>1497</v>
      </c>
      <c r="AT56" t="s">
        <v>1498</v>
      </c>
    </row>
    <row r="57" spans="1:46" x14ac:dyDescent="0.2">
      <c r="A57">
        <v>1</v>
      </c>
      <c r="B57" t="e">
        <v>#N/A</v>
      </c>
      <c r="H57" t="s">
        <v>1100</v>
      </c>
      <c r="I57" t="s">
        <v>1105</v>
      </c>
      <c r="J57">
        <v>46185064</v>
      </c>
      <c r="K57" t="s">
        <v>834</v>
      </c>
      <c r="L57" t="s">
        <v>833</v>
      </c>
      <c r="M57" t="s">
        <v>833</v>
      </c>
      <c r="N57" t="s">
        <v>833</v>
      </c>
      <c r="O57" t="s">
        <v>46</v>
      </c>
      <c r="P57" t="s">
        <v>1444</v>
      </c>
      <c r="Q57" t="s">
        <v>69</v>
      </c>
      <c r="R57" t="s">
        <v>48</v>
      </c>
      <c r="S57" t="s">
        <v>49</v>
      </c>
      <c r="T57" t="s">
        <v>50</v>
      </c>
      <c r="U57" t="s">
        <v>39</v>
      </c>
      <c r="V57" t="s">
        <v>41</v>
      </c>
      <c r="W57" t="s">
        <v>39</v>
      </c>
      <c r="X57" t="s">
        <v>41</v>
      </c>
      <c r="Y57" t="s">
        <v>41</v>
      </c>
      <c r="Z57" t="s">
        <v>39</v>
      </c>
      <c r="AA57" t="s">
        <v>39</v>
      </c>
      <c r="AB57" t="s">
        <v>40</v>
      </c>
      <c r="AC57" t="s">
        <v>41</v>
      </c>
      <c r="AD57" t="s">
        <v>494</v>
      </c>
      <c r="AE57" t="s">
        <v>448</v>
      </c>
      <c r="AF57" t="s">
        <v>531</v>
      </c>
      <c r="AG57" t="s">
        <v>887</v>
      </c>
      <c r="AH57">
        <v>45927.527083333334</v>
      </c>
      <c r="AI57">
        <v>45922.527083333334</v>
      </c>
      <c r="AJ57">
        <v>28</v>
      </c>
      <c r="AK57">
        <v>0</v>
      </c>
      <c r="AL57" t="s">
        <v>916</v>
      </c>
      <c r="AM57">
        <v>2</v>
      </c>
      <c r="AN57" t="s">
        <v>1497</v>
      </c>
      <c r="AO57" t="s">
        <v>1497</v>
      </c>
      <c r="AP57" t="s">
        <v>1497</v>
      </c>
      <c r="AQ57" t="s">
        <v>1497</v>
      </c>
      <c r="AR57" t="s">
        <v>1497</v>
      </c>
      <c r="AS57" t="s">
        <v>1497</v>
      </c>
      <c r="AT57" t="s">
        <v>1498</v>
      </c>
    </row>
    <row r="58" spans="1:46" x14ac:dyDescent="0.2">
      <c r="A58">
        <v>1</v>
      </c>
      <c r="B58" t="e">
        <v>#N/A</v>
      </c>
      <c r="H58" t="s">
        <v>1101</v>
      </c>
      <c r="I58" t="s">
        <v>1105</v>
      </c>
      <c r="J58">
        <v>46185077</v>
      </c>
      <c r="K58" t="s">
        <v>865</v>
      </c>
      <c r="L58" t="s">
        <v>864</v>
      </c>
      <c r="M58" t="s">
        <v>864</v>
      </c>
      <c r="N58" t="s">
        <v>864</v>
      </c>
      <c r="O58" t="s">
        <v>1428</v>
      </c>
      <c r="P58" t="s">
        <v>1429</v>
      </c>
      <c r="Q58" t="s">
        <v>154</v>
      </c>
      <c r="R58" t="s">
        <v>48</v>
      </c>
      <c r="S58" t="s">
        <v>49</v>
      </c>
      <c r="T58" t="s">
        <v>50</v>
      </c>
      <c r="U58" t="s">
        <v>39</v>
      </c>
      <c r="V58" t="s">
        <v>39</v>
      </c>
      <c r="W58" t="s">
        <v>39</v>
      </c>
      <c r="X58" t="s">
        <v>41</v>
      </c>
      <c r="Y58" t="s">
        <v>41</v>
      </c>
      <c r="Z58" t="s">
        <v>39</v>
      </c>
      <c r="AA58" t="s">
        <v>39</v>
      </c>
      <c r="AB58" t="s">
        <v>40</v>
      </c>
      <c r="AC58" t="s">
        <v>41</v>
      </c>
      <c r="AD58" t="s">
        <v>461</v>
      </c>
      <c r="AE58" t="s">
        <v>138</v>
      </c>
      <c r="AF58" t="s">
        <v>645</v>
      </c>
      <c r="AG58" t="s">
        <v>902</v>
      </c>
      <c r="AH58">
        <v>0</v>
      </c>
      <c r="AI58">
        <v>45932.661805555559</v>
      </c>
      <c r="AJ58">
        <v>17.8</v>
      </c>
      <c r="AK58">
        <v>0</v>
      </c>
      <c r="AL58" t="s">
        <v>904</v>
      </c>
      <c r="AM58">
        <v>2</v>
      </c>
      <c r="AN58" t="s">
        <v>1497</v>
      </c>
      <c r="AO58" t="s">
        <v>1497</v>
      </c>
      <c r="AP58" t="s">
        <v>1497</v>
      </c>
      <c r="AQ58" t="s">
        <v>1497</v>
      </c>
      <c r="AR58" t="s">
        <v>1497</v>
      </c>
      <c r="AS58" t="s">
        <v>1497</v>
      </c>
      <c r="AT58" t="s">
        <v>1498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1D1FE-5F4F-8F41-8569-7CFD689B979A}">
  <sheetPr>
    <tabColor theme="8" tint="0.79998168889431442"/>
  </sheetPr>
  <dimension ref="A1:I103"/>
  <sheetViews>
    <sheetView workbookViewId="0">
      <selection activeCell="D23" sqref="D23"/>
    </sheetView>
  </sheetViews>
  <sheetFormatPr baseColWidth="10" defaultColWidth="8.83203125" defaultRowHeight="15" x14ac:dyDescent="0.2"/>
  <cols>
    <col min="1" max="1" width="23.6640625" style="6" bestFit="1" customWidth="1"/>
    <col min="2" max="2" width="12.1640625" style="6" bestFit="1" customWidth="1"/>
    <col min="3" max="3" width="22.1640625" style="6" bestFit="1" customWidth="1"/>
    <col min="4" max="4" width="23.1640625" style="6" bestFit="1" customWidth="1"/>
    <col min="5" max="5" width="21.6640625" style="6" bestFit="1" customWidth="1"/>
    <col min="6" max="6" width="19" style="6" bestFit="1" customWidth="1"/>
    <col min="7" max="7" width="20" style="6" bestFit="1" customWidth="1"/>
    <col min="8" max="8" width="18.5" style="6" bestFit="1" customWidth="1"/>
    <col min="9" max="9" width="17.33203125" style="6" bestFit="1" customWidth="1"/>
    <col min="10" max="16384" width="8.83203125" style="6"/>
  </cols>
  <sheetData>
    <row r="1" spans="1:9" x14ac:dyDescent="0.2">
      <c r="A1" s="18" t="s">
        <v>2</v>
      </c>
      <c r="B1" s="18" t="s">
        <v>1263</v>
      </c>
      <c r="C1" s="18" t="s">
        <v>1401</v>
      </c>
      <c r="D1" s="18" t="s">
        <v>1400</v>
      </c>
      <c r="E1" s="18" t="s">
        <v>1399</v>
      </c>
      <c r="F1" s="18" t="s">
        <v>1398</v>
      </c>
      <c r="G1" s="18" t="s">
        <v>1397</v>
      </c>
      <c r="H1" s="18" t="s">
        <v>1396</v>
      </c>
      <c r="I1" s="18" t="s">
        <v>1395</v>
      </c>
    </row>
    <row r="2" spans="1:9" x14ac:dyDescent="0.2">
      <c r="A2" s="6" t="s">
        <v>288</v>
      </c>
      <c r="B2" s="6" t="s">
        <v>287</v>
      </c>
      <c r="C2" s="6" t="s">
        <v>1488</v>
      </c>
      <c r="D2" s="6" t="s">
        <v>1489</v>
      </c>
      <c r="E2" s="6" t="s">
        <v>1490</v>
      </c>
      <c r="F2" s="6" t="s">
        <v>1313</v>
      </c>
      <c r="G2" s="6" t="s">
        <v>1370</v>
      </c>
      <c r="H2" s="6" t="s">
        <v>1491</v>
      </c>
      <c r="I2" s="6" t="s">
        <v>1492</v>
      </c>
    </row>
    <row r="3" spans="1:9" x14ac:dyDescent="0.2">
      <c r="A3" s="6" t="s">
        <v>559</v>
      </c>
      <c r="B3" s="6" t="s">
        <v>560</v>
      </c>
      <c r="C3" s="6" t="s">
        <v>1493</v>
      </c>
      <c r="D3" s="6" t="s">
        <v>1494</v>
      </c>
      <c r="E3" s="6" t="s">
        <v>1494</v>
      </c>
      <c r="F3" s="6" t="s">
        <v>491</v>
      </c>
      <c r="G3" s="6" t="s">
        <v>523</v>
      </c>
      <c r="H3" s="6" t="s">
        <v>523</v>
      </c>
      <c r="I3" s="6" t="s">
        <v>1495</v>
      </c>
    </row>
    <row r="4" spans="1:9" x14ac:dyDescent="0.2">
      <c r="A4" s="6" t="s">
        <v>591</v>
      </c>
      <c r="B4" s="6" t="s">
        <v>592</v>
      </c>
      <c r="C4" s="6" t="s">
        <v>1496</v>
      </c>
      <c r="D4" s="6" t="s">
        <v>1307</v>
      </c>
      <c r="E4" s="6" t="s">
        <v>1307</v>
      </c>
      <c r="F4" s="6" t="s">
        <v>523</v>
      </c>
      <c r="G4" s="6" t="s">
        <v>512</v>
      </c>
      <c r="H4" s="6" t="s">
        <v>512</v>
      </c>
      <c r="I4" s="6" t="s">
        <v>1305</v>
      </c>
    </row>
    <row r="5" spans="1:9" x14ac:dyDescent="0.2">
      <c r="A5" s="6" t="s">
        <v>835</v>
      </c>
      <c r="B5" s="6" t="s">
        <v>836</v>
      </c>
      <c r="C5" s="6" t="s">
        <v>1497</v>
      </c>
      <c r="D5" s="6" t="s">
        <v>1497</v>
      </c>
      <c r="E5" s="6" t="s">
        <v>1497</v>
      </c>
      <c r="F5" s="6" t="s">
        <v>1497</v>
      </c>
      <c r="G5" s="6" t="s">
        <v>1497</v>
      </c>
      <c r="H5" s="6" t="s">
        <v>1497</v>
      </c>
      <c r="I5" s="6" t="s">
        <v>1498</v>
      </c>
    </row>
    <row r="6" spans="1:9" x14ac:dyDescent="0.2">
      <c r="A6" s="6" t="s">
        <v>368</v>
      </c>
      <c r="B6" s="6" t="s">
        <v>367</v>
      </c>
      <c r="C6" s="6" t="s">
        <v>1499</v>
      </c>
      <c r="D6" s="6" t="s">
        <v>1500</v>
      </c>
      <c r="E6" s="6" t="s">
        <v>1500</v>
      </c>
      <c r="F6" s="6" t="s">
        <v>1390</v>
      </c>
      <c r="G6" s="6" t="s">
        <v>1501</v>
      </c>
      <c r="H6" s="6" t="s">
        <v>1501</v>
      </c>
      <c r="I6" s="6" t="s">
        <v>1502</v>
      </c>
    </row>
    <row r="7" spans="1:9" x14ac:dyDescent="0.2">
      <c r="A7" s="6" t="s">
        <v>58</v>
      </c>
      <c r="B7" s="6" t="s">
        <v>57</v>
      </c>
      <c r="C7" s="6" t="s">
        <v>1503</v>
      </c>
      <c r="D7" s="6" t="s">
        <v>1504</v>
      </c>
      <c r="E7" s="6" t="s">
        <v>1505</v>
      </c>
      <c r="F7" s="6" t="s">
        <v>521</v>
      </c>
      <c r="G7" s="6" t="s">
        <v>1300</v>
      </c>
      <c r="H7" s="6" t="s">
        <v>1381</v>
      </c>
      <c r="I7" s="6" t="s">
        <v>1291</v>
      </c>
    </row>
    <row r="8" spans="1:9" x14ac:dyDescent="0.2">
      <c r="A8" s="6" t="s">
        <v>179</v>
      </c>
      <c r="B8" s="6" t="s">
        <v>178</v>
      </c>
      <c r="C8" s="6" t="s">
        <v>1330</v>
      </c>
      <c r="D8" s="6" t="s">
        <v>1506</v>
      </c>
      <c r="E8" s="6" t="s">
        <v>1507</v>
      </c>
      <c r="F8" s="6" t="s">
        <v>1278</v>
      </c>
      <c r="G8" s="6" t="s">
        <v>1389</v>
      </c>
      <c r="H8" s="6" t="s">
        <v>1508</v>
      </c>
      <c r="I8" s="6" t="s">
        <v>1509</v>
      </c>
    </row>
    <row r="9" spans="1:9" x14ac:dyDescent="0.2">
      <c r="A9" s="6" t="s">
        <v>362</v>
      </c>
      <c r="B9" s="6" t="s">
        <v>361</v>
      </c>
      <c r="C9" s="6" t="s">
        <v>1382</v>
      </c>
      <c r="D9" s="6" t="s">
        <v>1510</v>
      </c>
      <c r="E9" s="6" t="s">
        <v>1511</v>
      </c>
      <c r="F9" s="6" t="s">
        <v>698</v>
      </c>
      <c r="G9" s="6" t="s">
        <v>1390</v>
      </c>
      <c r="H9" s="6" t="s">
        <v>1512</v>
      </c>
      <c r="I9" s="6" t="s">
        <v>1513</v>
      </c>
    </row>
    <row r="10" spans="1:9" x14ac:dyDescent="0.2">
      <c r="A10" s="6" t="s">
        <v>209</v>
      </c>
      <c r="B10" s="6" t="s">
        <v>208</v>
      </c>
      <c r="C10" s="6" t="s">
        <v>1514</v>
      </c>
      <c r="D10" s="6" t="s">
        <v>1515</v>
      </c>
      <c r="E10" s="6" t="s">
        <v>1516</v>
      </c>
      <c r="F10" s="6" t="s">
        <v>525</v>
      </c>
      <c r="G10" s="6" t="s">
        <v>676</v>
      </c>
      <c r="H10" s="6" t="s">
        <v>1377</v>
      </c>
      <c r="I10" s="6" t="s">
        <v>1517</v>
      </c>
    </row>
    <row r="11" spans="1:9" x14ac:dyDescent="0.2">
      <c r="A11" s="6" t="s">
        <v>866</v>
      </c>
      <c r="B11" s="6" t="s">
        <v>867</v>
      </c>
      <c r="C11" s="6" t="s">
        <v>1497</v>
      </c>
      <c r="D11" s="6" t="s">
        <v>1497</v>
      </c>
      <c r="E11" s="6" t="s">
        <v>1497</v>
      </c>
      <c r="F11" s="6" t="s">
        <v>1497</v>
      </c>
      <c r="G11" s="6" t="s">
        <v>1497</v>
      </c>
      <c r="H11" s="6" t="s">
        <v>1497</v>
      </c>
      <c r="I11" s="6" t="s">
        <v>1498</v>
      </c>
    </row>
    <row r="12" spans="1:9" x14ac:dyDescent="0.2">
      <c r="A12" s="6" t="s">
        <v>322</v>
      </c>
      <c r="B12" s="6" t="s">
        <v>321</v>
      </c>
      <c r="C12" s="6" t="s">
        <v>1328</v>
      </c>
      <c r="D12" s="6" t="s">
        <v>1518</v>
      </c>
      <c r="E12" s="6" t="s">
        <v>1519</v>
      </c>
      <c r="F12" s="6" t="s">
        <v>472</v>
      </c>
      <c r="G12" s="6" t="s">
        <v>1275</v>
      </c>
      <c r="H12" s="6" t="s">
        <v>1520</v>
      </c>
      <c r="I12" s="6" t="s">
        <v>1521</v>
      </c>
    </row>
    <row r="13" spans="1:9" x14ac:dyDescent="0.2">
      <c r="A13" s="6" t="s">
        <v>184</v>
      </c>
      <c r="B13" s="6" t="s">
        <v>183</v>
      </c>
      <c r="C13" s="6" t="s">
        <v>1522</v>
      </c>
      <c r="D13" s="6" t="s">
        <v>1523</v>
      </c>
      <c r="E13" s="6" t="s">
        <v>1524</v>
      </c>
      <c r="F13" s="6" t="s">
        <v>491</v>
      </c>
      <c r="G13" s="6" t="s">
        <v>1322</v>
      </c>
      <c r="H13" s="6" t="s">
        <v>1525</v>
      </c>
      <c r="I13" s="6" t="s">
        <v>1526</v>
      </c>
    </row>
    <row r="14" spans="1:9" x14ac:dyDescent="0.2">
      <c r="A14" s="6" t="s">
        <v>306</v>
      </c>
      <c r="B14" s="6" t="s">
        <v>305</v>
      </c>
      <c r="C14" s="6" t="s">
        <v>1527</v>
      </c>
      <c r="D14" s="6" t="s">
        <v>1528</v>
      </c>
      <c r="E14" s="6" t="s">
        <v>1529</v>
      </c>
      <c r="F14" s="6" t="s">
        <v>636</v>
      </c>
      <c r="G14" s="6" t="s">
        <v>1384</v>
      </c>
      <c r="H14" s="6" t="s">
        <v>1385</v>
      </c>
      <c r="I14" s="6" t="s">
        <v>1299</v>
      </c>
    </row>
    <row r="15" spans="1:9" x14ac:dyDescent="0.2">
      <c r="A15" s="6" t="s">
        <v>172</v>
      </c>
      <c r="B15" s="6" t="s">
        <v>171</v>
      </c>
      <c r="C15" s="6" t="s">
        <v>1530</v>
      </c>
      <c r="D15" s="6" t="s">
        <v>1531</v>
      </c>
      <c r="E15" s="6" t="s">
        <v>1532</v>
      </c>
      <c r="F15" s="6" t="s">
        <v>1344</v>
      </c>
      <c r="G15" s="6" t="s">
        <v>1533</v>
      </c>
      <c r="H15" s="6" t="s">
        <v>1326</v>
      </c>
      <c r="I15" s="6" t="s">
        <v>1513</v>
      </c>
    </row>
    <row r="16" spans="1:9" x14ac:dyDescent="0.2">
      <c r="A16" s="6" t="s">
        <v>612</v>
      </c>
      <c r="B16" s="6" t="s">
        <v>613</v>
      </c>
      <c r="C16" s="6" t="s">
        <v>1292</v>
      </c>
      <c r="D16" s="6" t="s">
        <v>1280</v>
      </c>
      <c r="E16" s="6" t="s">
        <v>1280</v>
      </c>
      <c r="F16" s="6" t="s">
        <v>523</v>
      </c>
      <c r="G16" s="6" t="s">
        <v>1345</v>
      </c>
      <c r="H16" s="6" t="s">
        <v>1345</v>
      </c>
      <c r="I16" s="6" t="s">
        <v>1534</v>
      </c>
    </row>
    <row r="17" spans="1:9" x14ac:dyDescent="0.2">
      <c r="A17" s="6" t="s">
        <v>214</v>
      </c>
      <c r="B17" s="6" t="s">
        <v>213</v>
      </c>
      <c r="C17" s="6" t="s">
        <v>1394</v>
      </c>
      <c r="D17" s="6" t="s">
        <v>1535</v>
      </c>
      <c r="E17" s="6" t="s">
        <v>1324</v>
      </c>
      <c r="F17" s="6" t="s">
        <v>530</v>
      </c>
      <c r="G17" s="6" t="s">
        <v>1384</v>
      </c>
      <c r="H17" s="6" t="s">
        <v>1376</v>
      </c>
      <c r="I17" s="6" t="s">
        <v>1269</v>
      </c>
    </row>
    <row r="18" spans="1:9" x14ac:dyDescent="0.2">
      <c r="A18" s="6" t="s">
        <v>44</v>
      </c>
      <c r="B18" s="6" t="s">
        <v>43</v>
      </c>
      <c r="C18" s="6" t="s">
        <v>1536</v>
      </c>
      <c r="D18" s="6" t="s">
        <v>1537</v>
      </c>
      <c r="E18" s="6" t="s">
        <v>1538</v>
      </c>
      <c r="F18" s="6" t="s">
        <v>523</v>
      </c>
      <c r="G18" s="6" t="s">
        <v>1333</v>
      </c>
      <c r="H18" s="6" t="s">
        <v>1539</v>
      </c>
      <c r="I18" s="6" t="s">
        <v>1281</v>
      </c>
    </row>
    <row r="19" spans="1:9" x14ac:dyDescent="0.2">
      <c r="A19" s="6" t="s">
        <v>371</v>
      </c>
      <c r="B19" s="6" t="s">
        <v>370</v>
      </c>
      <c r="C19" s="6" t="s">
        <v>1379</v>
      </c>
      <c r="D19" s="6" t="s">
        <v>1540</v>
      </c>
      <c r="E19" s="6" t="s">
        <v>1540</v>
      </c>
      <c r="F19" s="6" t="s">
        <v>676</v>
      </c>
      <c r="G19" s="6" t="s">
        <v>1343</v>
      </c>
      <c r="H19" s="6" t="s">
        <v>1343</v>
      </c>
      <c r="I19" s="6" t="s">
        <v>1332</v>
      </c>
    </row>
    <row r="20" spans="1:9" x14ac:dyDescent="0.2">
      <c r="A20" s="6" t="s">
        <v>378</v>
      </c>
      <c r="B20" s="6" t="s">
        <v>377</v>
      </c>
      <c r="C20" s="6" t="s">
        <v>1541</v>
      </c>
      <c r="D20" s="6" t="s">
        <v>1542</v>
      </c>
      <c r="E20" s="6" t="s">
        <v>1542</v>
      </c>
      <c r="F20" s="6" t="s">
        <v>691</v>
      </c>
      <c r="G20" s="6" t="s">
        <v>1317</v>
      </c>
      <c r="H20" s="6" t="s">
        <v>1317</v>
      </c>
      <c r="I20" s="6" t="s">
        <v>1543</v>
      </c>
    </row>
    <row r="21" spans="1:9" x14ac:dyDescent="0.2">
      <c r="A21" s="6" t="s">
        <v>64</v>
      </c>
      <c r="B21" s="6" t="s">
        <v>63</v>
      </c>
      <c r="C21" s="6" t="s">
        <v>1316</v>
      </c>
      <c r="D21" s="6" t="s">
        <v>1294</v>
      </c>
      <c r="E21" s="6" t="s">
        <v>1544</v>
      </c>
      <c r="F21" s="6" t="s">
        <v>691</v>
      </c>
      <c r="G21" s="6" t="s">
        <v>1304</v>
      </c>
      <c r="H21" s="6" t="s">
        <v>1545</v>
      </c>
      <c r="I21" s="6" t="s">
        <v>1281</v>
      </c>
    </row>
    <row r="22" spans="1:9" x14ac:dyDescent="0.2">
      <c r="A22" s="6" t="s">
        <v>312</v>
      </c>
      <c r="B22" s="6" t="s">
        <v>311</v>
      </c>
      <c r="C22" s="6" t="s">
        <v>1546</v>
      </c>
      <c r="D22" s="6" t="s">
        <v>1547</v>
      </c>
      <c r="E22" s="6" t="s">
        <v>1548</v>
      </c>
      <c r="F22" s="6" t="s">
        <v>472</v>
      </c>
      <c r="G22" s="6" t="s">
        <v>1384</v>
      </c>
      <c r="H22" s="6" t="s">
        <v>1317</v>
      </c>
      <c r="I22" s="6" t="s">
        <v>1358</v>
      </c>
    </row>
    <row r="23" spans="1:9" x14ac:dyDescent="0.2">
      <c r="A23" s="6" t="s">
        <v>848</v>
      </c>
      <c r="B23" s="6" t="s">
        <v>849</v>
      </c>
      <c r="C23" s="6" t="s">
        <v>1497</v>
      </c>
      <c r="D23" s="6" t="s">
        <v>1497</v>
      </c>
      <c r="E23" s="6" t="s">
        <v>1497</v>
      </c>
      <c r="F23" s="6" t="s">
        <v>1497</v>
      </c>
      <c r="G23" s="6" t="s">
        <v>1497</v>
      </c>
      <c r="H23" s="6" t="s">
        <v>1497</v>
      </c>
      <c r="I23" s="6" t="s">
        <v>1498</v>
      </c>
    </row>
    <row r="24" spans="1:9" x14ac:dyDescent="0.2">
      <c r="A24" s="6" t="s">
        <v>317</v>
      </c>
      <c r="B24" s="6" t="s">
        <v>316</v>
      </c>
      <c r="C24" s="6" t="s">
        <v>1541</v>
      </c>
      <c r="D24" s="6" t="s">
        <v>1364</v>
      </c>
      <c r="E24" s="6" t="s">
        <v>1500</v>
      </c>
      <c r="F24" s="6" t="s">
        <v>472</v>
      </c>
      <c r="G24" s="6" t="s">
        <v>1391</v>
      </c>
      <c r="H24" s="6" t="s">
        <v>1549</v>
      </c>
      <c r="I24" s="6" t="s">
        <v>1363</v>
      </c>
    </row>
    <row r="25" spans="1:9" x14ac:dyDescent="0.2">
      <c r="A25" s="6" t="s">
        <v>553</v>
      </c>
      <c r="B25" s="6" t="s">
        <v>554</v>
      </c>
      <c r="C25" s="6" t="s">
        <v>1550</v>
      </c>
      <c r="D25" s="6" t="s">
        <v>1551</v>
      </c>
      <c r="E25" s="6" t="s">
        <v>1551</v>
      </c>
      <c r="F25" s="6" t="s">
        <v>691</v>
      </c>
      <c r="G25" s="6" t="s">
        <v>509</v>
      </c>
      <c r="H25" s="6" t="s">
        <v>509</v>
      </c>
      <c r="I25" s="6" t="s">
        <v>1305</v>
      </c>
    </row>
    <row r="26" spans="1:9" x14ac:dyDescent="0.2">
      <c r="A26" s="6" t="s">
        <v>328</v>
      </c>
      <c r="B26" s="6" t="s">
        <v>327</v>
      </c>
      <c r="C26" s="6" t="s">
        <v>1552</v>
      </c>
      <c r="D26" s="6" t="s">
        <v>1553</v>
      </c>
      <c r="E26" s="6" t="s">
        <v>1554</v>
      </c>
      <c r="F26" s="6" t="s">
        <v>1345</v>
      </c>
      <c r="G26" s="6" t="s">
        <v>1549</v>
      </c>
      <c r="H26" s="6" t="s">
        <v>1555</v>
      </c>
      <c r="I26" s="6" t="s">
        <v>1556</v>
      </c>
    </row>
    <row r="27" spans="1:9" x14ac:dyDescent="0.2">
      <c r="A27" s="6" t="s">
        <v>67</v>
      </c>
      <c r="B27" s="6" t="s">
        <v>66</v>
      </c>
      <c r="C27" s="6" t="s">
        <v>1309</v>
      </c>
      <c r="D27" s="6" t="s">
        <v>1557</v>
      </c>
      <c r="E27" s="6" t="s">
        <v>1558</v>
      </c>
      <c r="F27" s="6" t="s">
        <v>495</v>
      </c>
      <c r="G27" s="6" t="s">
        <v>1282</v>
      </c>
      <c r="H27" s="6" t="s">
        <v>1559</v>
      </c>
      <c r="I27" s="6" t="s">
        <v>1274</v>
      </c>
    </row>
    <row r="28" spans="1:9" x14ac:dyDescent="0.2">
      <c r="A28" s="6" t="s">
        <v>487</v>
      </c>
      <c r="B28" s="6" t="s">
        <v>488</v>
      </c>
      <c r="C28" s="6" t="s">
        <v>1560</v>
      </c>
      <c r="D28" s="6" t="s">
        <v>1561</v>
      </c>
      <c r="E28" s="6" t="s">
        <v>1561</v>
      </c>
      <c r="F28" s="6" t="s">
        <v>472</v>
      </c>
      <c r="G28" s="6" t="s">
        <v>676</v>
      </c>
      <c r="H28" s="6" t="s">
        <v>676</v>
      </c>
      <c r="I28" s="6" t="s">
        <v>1340</v>
      </c>
    </row>
    <row r="29" spans="1:9" x14ac:dyDescent="0.2">
      <c r="A29" s="6" t="s">
        <v>110</v>
      </c>
      <c r="B29" s="6" t="s">
        <v>109</v>
      </c>
      <c r="C29" s="6" t="s">
        <v>1562</v>
      </c>
      <c r="D29" s="6" t="s">
        <v>1286</v>
      </c>
      <c r="E29" s="6" t="s">
        <v>1563</v>
      </c>
      <c r="F29" s="6" t="s">
        <v>457</v>
      </c>
      <c r="G29" s="6" t="s">
        <v>1343</v>
      </c>
      <c r="H29" s="6" t="s">
        <v>1367</v>
      </c>
      <c r="I29" s="6" t="s">
        <v>1564</v>
      </c>
    </row>
    <row r="30" spans="1:9" x14ac:dyDescent="0.2">
      <c r="A30" s="6" t="s">
        <v>666</v>
      </c>
      <c r="B30" s="6" t="s">
        <v>245</v>
      </c>
      <c r="C30" s="6" t="s">
        <v>1367</v>
      </c>
      <c r="D30" s="6" t="s">
        <v>1565</v>
      </c>
      <c r="E30" s="6" t="s">
        <v>1566</v>
      </c>
      <c r="F30" s="6" t="s">
        <v>525</v>
      </c>
      <c r="G30" s="6" t="s">
        <v>1384</v>
      </c>
      <c r="H30" s="6" t="s">
        <v>1567</v>
      </c>
      <c r="I30" s="6" t="s">
        <v>1517</v>
      </c>
    </row>
    <row r="31" spans="1:9" x14ac:dyDescent="0.2">
      <c r="A31" s="6" t="s">
        <v>1354</v>
      </c>
      <c r="B31" s="6" t="s">
        <v>552</v>
      </c>
      <c r="C31" s="6" t="s">
        <v>1568</v>
      </c>
      <c r="D31" s="6" t="s">
        <v>1330</v>
      </c>
      <c r="E31" s="6" t="s">
        <v>1569</v>
      </c>
      <c r="F31" s="6" t="s">
        <v>530</v>
      </c>
      <c r="G31" s="6" t="s">
        <v>1384</v>
      </c>
      <c r="H31" s="6" t="s">
        <v>1570</v>
      </c>
      <c r="I31" s="6" t="s">
        <v>1571</v>
      </c>
    </row>
    <row r="32" spans="1:9" x14ac:dyDescent="0.2">
      <c r="A32" s="6" t="s">
        <v>1095</v>
      </c>
      <c r="B32" s="6" t="s">
        <v>802</v>
      </c>
      <c r="C32" s="6" t="s">
        <v>1497</v>
      </c>
      <c r="D32" s="6" t="s">
        <v>1497</v>
      </c>
      <c r="E32" s="6" t="s">
        <v>1497</v>
      </c>
      <c r="F32" s="6" t="s">
        <v>1497</v>
      </c>
      <c r="G32" s="6" t="s">
        <v>1497</v>
      </c>
      <c r="H32" s="6" t="s">
        <v>1497</v>
      </c>
      <c r="I32" s="6" t="s">
        <v>1498</v>
      </c>
    </row>
    <row r="33" spans="1:9" x14ac:dyDescent="0.2">
      <c r="A33" s="6" t="s">
        <v>121</v>
      </c>
      <c r="B33" s="6" t="s">
        <v>120</v>
      </c>
      <c r="C33" s="6" t="s">
        <v>1572</v>
      </c>
      <c r="D33" s="6" t="s">
        <v>1573</v>
      </c>
      <c r="E33" s="6" t="s">
        <v>1574</v>
      </c>
      <c r="F33" s="6" t="s">
        <v>523</v>
      </c>
      <c r="G33" s="6" t="s">
        <v>1273</v>
      </c>
      <c r="H33" s="6" t="s">
        <v>1575</v>
      </c>
      <c r="I33" s="6" t="s">
        <v>1576</v>
      </c>
    </row>
    <row r="34" spans="1:9" x14ac:dyDescent="0.2">
      <c r="A34" s="6" t="s">
        <v>251</v>
      </c>
      <c r="B34" s="6" t="s">
        <v>250</v>
      </c>
      <c r="C34" s="6" t="s">
        <v>1360</v>
      </c>
      <c r="D34" s="6" t="s">
        <v>1577</v>
      </c>
      <c r="E34" s="6" t="s">
        <v>1578</v>
      </c>
      <c r="F34" s="6" t="s">
        <v>676</v>
      </c>
      <c r="G34" s="6" t="s">
        <v>1284</v>
      </c>
      <c r="H34" s="6" t="s">
        <v>1579</v>
      </c>
      <c r="I34" s="6" t="s">
        <v>1576</v>
      </c>
    </row>
    <row r="35" spans="1:9" x14ac:dyDescent="0.2">
      <c r="A35" s="6" t="s">
        <v>344</v>
      </c>
      <c r="B35" s="6" t="s">
        <v>343</v>
      </c>
      <c r="C35" s="6" t="s">
        <v>1561</v>
      </c>
      <c r="D35" s="6" t="s">
        <v>1580</v>
      </c>
      <c r="E35" s="6" t="s">
        <v>1581</v>
      </c>
      <c r="F35" s="6" t="s">
        <v>491</v>
      </c>
      <c r="G35" s="6" t="s">
        <v>1344</v>
      </c>
      <c r="H35" s="6" t="s">
        <v>1582</v>
      </c>
      <c r="I35" s="6" t="s">
        <v>1335</v>
      </c>
    </row>
    <row r="36" spans="1:9" x14ac:dyDescent="0.2">
      <c r="A36" s="6" t="s">
        <v>191</v>
      </c>
      <c r="B36" s="6" t="s">
        <v>190</v>
      </c>
      <c r="C36" s="6" t="s">
        <v>1583</v>
      </c>
      <c r="D36" s="6" t="s">
        <v>1584</v>
      </c>
      <c r="E36" s="6" t="s">
        <v>1585</v>
      </c>
      <c r="F36" s="6" t="s">
        <v>1370</v>
      </c>
      <c r="G36" s="6" t="s">
        <v>1321</v>
      </c>
      <c r="H36" s="6" t="s">
        <v>1586</v>
      </c>
      <c r="I36" s="6" t="s">
        <v>1587</v>
      </c>
    </row>
    <row r="37" spans="1:9" x14ac:dyDescent="0.2">
      <c r="A37" s="6" t="s">
        <v>168</v>
      </c>
      <c r="B37" s="6" t="s">
        <v>167</v>
      </c>
      <c r="C37" s="6" t="s">
        <v>1342</v>
      </c>
      <c r="D37" s="6" t="s">
        <v>1588</v>
      </c>
      <c r="E37" s="6" t="s">
        <v>1589</v>
      </c>
      <c r="F37" s="6" t="s">
        <v>530</v>
      </c>
      <c r="G37" s="6" t="s">
        <v>1327</v>
      </c>
      <c r="H37" s="6" t="s">
        <v>1590</v>
      </c>
      <c r="I37" s="6" t="s">
        <v>1495</v>
      </c>
    </row>
    <row r="38" spans="1:9" x14ac:dyDescent="0.2">
      <c r="A38" s="6" t="s">
        <v>128</v>
      </c>
      <c r="B38" s="6" t="s">
        <v>127</v>
      </c>
      <c r="C38" s="6" t="s">
        <v>1591</v>
      </c>
      <c r="D38" s="6" t="s">
        <v>1592</v>
      </c>
      <c r="E38" s="6" t="s">
        <v>1593</v>
      </c>
      <c r="F38" s="6" t="s">
        <v>691</v>
      </c>
      <c r="G38" s="6" t="s">
        <v>1365</v>
      </c>
      <c r="H38" s="6" t="s">
        <v>1594</v>
      </c>
      <c r="I38" s="6" t="s">
        <v>1288</v>
      </c>
    </row>
    <row r="39" spans="1:9" x14ac:dyDescent="0.2">
      <c r="A39" s="6" t="s">
        <v>334</v>
      </c>
      <c r="B39" s="6" t="s">
        <v>333</v>
      </c>
      <c r="C39" s="6" t="s">
        <v>1530</v>
      </c>
      <c r="D39" s="6" t="s">
        <v>1595</v>
      </c>
      <c r="E39" s="6" t="s">
        <v>1596</v>
      </c>
      <c r="F39" s="6" t="s">
        <v>457</v>
      </c>
      <c r="G39" s="6" t="s">
        <v>1273</v>
      </c>
      <c r="H39" s="6" t="s">
        <v>1597</v>
      </c>
      <c r="I39" s="6" t="s">
        <v>1268</v>
      </c>
    </row>
    <row r="40" spans="1:9" x14ac:dyDescent="0.2">
      <c r="A40" s="6" t="s">
        <v>1153</v>
      </c>
      <c r="B40" s="6" t="s">
        <v>1152</v>
      </c>
      <c r="C40" s="6" t="s">
        <v>1497</v>
      </c>
      <c r="D40" s="6" t="s">
        <v>1497</v>
      </c>
      <c r="E40" s="6" t="s">
        <v>1497</v>
      </c>
      <c r="F40" s="6" t="s">
        <v>1497</v>
      </c>
      <c r="G40" s="6" t="s">
        <v>1497</v>
      </c>
      <c r="H40" s="6" t="s">
        <v>1497</v>
      </c>
      <c r="I40" s="6" t="s">
        <v>1498</v>
      </c>
    </row>
    <row r="41" spans="1:9" x14ac:dyDescent="0.2">
      <c r="A41" s="6" t="s">
        <v>842</v>
      </c>
      <c r="B41" s="6" t="s">
        <v>843</v>
      </c>
      <c r="C41" s="6" t="s">
        <v>1497</v>
      </c>
      <c r="D41" s="6" t="s">
        <v>1497</v>
      </c>
      <c r="E41" s="6" t="s">
        <v>1497</v>
      </c>
      <c r="F41" s="6" t="s">
        <v>1497</v>
      </c>
      <c r="G41" s="6" t="s">
        <v>1497</v>
      </c>
      <c r="H41" s="6" t="s">
        <v>1497</v>
      </c>
      <c r="I41" s="6" t="s">
        <v>1498</v>
      </c>
    </row>
    <row r="42" spans="1:9" x14ac:dyDescent="0.2">
      <c r="A42" s="6" t="s">
        <v>116</v>
      </c>
      <c r="B42" s="6" t="s">
        <v>115</v>
      </c>
      <c r="C42" s="6" t="s">
        <v>1598</v>
      </c>
      <c r="D42" s="6" t="s">
        <v>1599</v>
      </c>
      <c r="E42" s="6" t="s">
        <v>1600</v>
      </c>
      <c r="F42" s="6" t="s">
        <v>1304</v>
      </c>
      <c r="G42" s="6" t="s">
        <v>1601</v>
      </c>
      <c r="H42" s="6" t="s">
        <v>1285</v>
      </c>
      <c r="I42" s="6" t="s">
        <v>1556</v>
      </c>
    </row>
    <row r="43" spans="1:9" x14ac:dyDescent="0.2">
      <c r="A43" s="6" t="s">
        <v>774</v>
      </c>
      <c r="B43" s="6" t="s">
        <v>775</v>
      </c>
      <c r="C43" s="6" t="s">
        <v>1497</v>
      </c>
      <c r="D43" s="6" t="s">
        <v>1497</v>
      </c>
      <c r="E43" s="6" t="s">
        <v>1497</v>
      </c>
      <c r="F43" s="6" t="s">
        <v>1497</v>
      </c>
      <c r="G43" s="6" t="s">
        <v>1497</v>
      </c>
      <c r="H43" s="6" t="s">
        <v>1497</v>
      </c>
      <c r="I43" s="6" t="s">
        <v>1498</v>
      </c>
    </row>
    <row r="44" spans="1:9" x14ac:dyDescent="0.2">
      <c r="A44" s="6" t="s">
        <v>826</v>
      </c>
      <c r="B44" s="6" t="s">
        <v>827</v>
      </c>
      <c r="C44" s="6" t="s">
        <v>1497</v>
      </c>
      <c r="D44" s="6" t="s">
        <v>1497</v>
      </c>
      <c r="E44" s="6" t="s">
        <v>1497</v>
      </c>
      <c r="F44" s="6" t="s">
        <v>1497</v>
      </c>
      <c r="G44" s="6" t="s">
        <v>1497</v>
      </c>
      <c r="H44" s="6" t="s">
        <v>1497</v>
      </c>
      <c r="I44" s="6" t="s">
        <v>1498</v>
      </c>
    </row>
    <row r="45" spans="1:9" x14ac:dyDescent="0.2">
      <c r="A45" s="6" t="s">
        <v>384</v>
      </c>
      <c r="B45" s="6" t="s">
        <v>383</v>
      </c>
      <c r="C45" s="6" t="s">
        <v>1374</v>
      </c>
      <c r="D45" s="6" t="s">
        <v>1602</v>
      </c>
      <c r="E45" s="6" t="s">
        <v>1602</v>
      </c>
      <c r="F45" s="6" t="s">
        <v>1344</v>
      </c>
      <c r="G45" s="6" t="s">
        <v>1321</v>
      </c>
      <c r="H45" s="6" t="s">
        <v>1321</v>
      </c>
      <c r="I45" s="6" t="s">
        <v>1603</v>
      </c>
    </row>
    <row r="46" spans="1:9" x14ac:dyDescent="0.2">
      <c r="A46" s="6" t="s">
        <v>1353</v>
      </c>
      <c r="B46" s="6" t="s">
        <v>465</v>
      </c>
      <c r="C46" s="6" t="s">
        <v>1604</v>
      </c>
      <c r="D46" s="6" t="s">
        <v>1605</v>
      </c>
      <c r="E46" s="6" t="s">
        <v>1606</v>
      </c>
      <c r="F46" s="6" t="s">
        <v>691</v>
      </c>
      <c r="G46" s="6" t="s">
        <v>1362</v>
      </c>
      <c r="H46" s="6" t="s">
        <v>1607</v>
      </c>
      <c r="I46" s="6" t="s">
        <v>1308</v>
      </c>
    </row>
    <row r="47" spans="1:9" x14ac:dyDescent="0.2">
      <c r="A47" s="6" t="s">
        <v>798</v>
      </c>
      <c r="B47" s="6" t="s">
        <v>799</v>
      </c>
      <c r="C47" s="6" t="s">
        <v>1497</v>
      </c>
      <c r="D47" s="6" t="s">
        <v>1497</v>
      </c>
      <c r="E47" s="6" t="s">
        <v>1497</v>
      </c>
      <c r="F47" s="6" t="s">
        <v>1497</v>
      </c>
      <c r="G47" s="6" t="s">
        <v>1497</v>
      </c>
      <c r="H47" s="6" t="s">
        <v>1497</v>
      </c>
      <c r="I47" s="6" t="s">
        <v>1498</v>
      </c>
    </row>
    <row r="48" spans="1:9" x14ac:dyDescent="0.2">
      <c r="A48" s="6" t="s">
        <v>388</v>
      </c>
      <c r="B48" s="6" t="s">
        <v>387</v>
      </c>
      <c r="C48" s="6" t="s">
        <v>1608</v>
      </c>
      <c r="D48" s="6" t="s">
        <v>1287</v>
      </c>
      <c r="E48" s="6" t="s">
        <v>1287</v>
      </c>
      <c r="F48" s="6" t="s">
        <v>630</v>
      </c>
      <c r="G48" s="6" t="s">
        <v>1270</v>
      </c>
      <c r="H48" s="6" t="s">
        <v>1270</v>
      </c>
      <c r="I48" s="6" t="s">
        <v>1271</v>
      </c>
    </row>
    <row r="49" spans="1:9" x14ac:dyDescent="0.2">
      <c r="A49" s="6" t="s">
        <v>186</v>
      </c>
      <c r="B49" s="6" t="s">
        <v>185</v>
      </c>
      <c r="C49" s="6" t="s">
        <v>1522</v>
      </c>
      <c r="D49" s="6" t="s">
        <v>1341</v>
      </c>
      <c r="E49" s="6" t="s">
        <v>1609</v>
      </c>
      <c r="F49" s="6" t="s">
        <v>467</v>
      </c>
      <c r="G49" s="6" t="s">
        <v>1391</v>
      </c>
      <c r="H49" s="6" t="s">
        <v>1610</v>
      </c>
      <c r="I49" s="6" t="s">
        <v>1576</v>
      </c>
    </row>
    <row r="50" spans="1:9" x14ac:dyDescent="0.2">
      <c r="A50" s="6" t="s">
        <v>163</v>
      </c>
      <c r="B50" s="6" t="s">
        <v>162</v>
      </c>
      <c r="C50" s="6" t="s">
        <v>1560</v>
      </c>
      <c r="D50" s="6" t="s">
        <v>1352</v>
      </c>
      <c r="E50" s="6" t="s">
        <v>1611</v>
      </c>
      <c r="F50" s="6" t="s">
        <v>658</v>
      </c>
      <c r="G50" s="6" t="s">
        <v>1385</v>
      </c>
      <c r="H50" s="6" t="s">
        <v>1612</v>
      </c>
      <c r="I50" s="6" t="s">
        <v>1613</v>
      </c>
    </row>
    <row r="51" spans="1:9" x14ac:dyDescent="0.2">
      <c r="A51" s="6" t="s">
        <v>193</v>
      </c>
      <c r="B51" s="6" t="s">
        <v>192</v>
      </c>
      <c r="C51" s="6" t="s">
        <v>1614</v>
      </c>
      <c r="D51" s="6" t="s">
        <v>1615</v>
      </c>
      <c r="E51" s="6" t="s">
        <v>1616</v>
      </c>
      <c r="F51" s="6" t="s">
        <v>530</v>
      </c>
      <c r="G51" s="6" t="s">
        <v>1300</v>
      </c>
      <c r="H51" s="6" t="s">
        <v>1555</v>
      </c>
      <c r="I51" s="6" t="s">
        <v>1383</v>
      </c>
    </row>
    <row r="52" spans="1:9" x14ac:dyDescent="0.2">
      <c r="A52" s="6" t="s">
        <v>130</v>
      </c>
      <c r="B52" s="6" t="s">
        <v>129</v>
      </c>
      <c r="C52" s="6" t="s">
        <v>1536</v>
      </c>
      <c r="D52" s="6" t="s">
        <v>1617</v>
      </c>
      <c r="E52" s="6" t="s">
        <v>1618</v>
      </c>
      <c r="F52" s="6" t="s">
        <v>636</v>
      </c>
      <c r="G52" s="6" t="s">
        <v>1393</v>
      </c>
      <c r="H52" s="6" t="s">
        <v>1375</v>
      </c>
      <c r="I52" s="6" t="s">
        <v>1320</v>
      </c>
    </row>
    <row r="53" spans="1:9" x14ac:dyDescent="0.2">
      <c r="A53" s="6" t="s">
        <v>264</v>
      </c>
      <c r="B53" s="6" t="s">
        <v>263</v>
      </c>
      <c r="C53" s="6" t="s">
        <v>1388</v>
      </c>
      <c r="D53" s="6" t="s">
        <v>1619</v>
      </c>
      <c r="E53" s="6" t="s">
        <v>1620</v>
      </c>
      <c r="F53" s="6" t="s">
        <v>467</v>
      </c>
      <c r="G53" s="6" t="s">
        <v>1370</v>
      </c>
      <c r="H53" s="6" t="s">
        <v>1590</v>
      </c>
      <c r="I53" s="6" t="s">
        <v>1305</v>
      </c>
    </row>
    <row r="54" spans="1:9" x14ac:dyDescent="0.2">
      <c r="A54" s="6" t="s">
        <v>729</v>
      </c>
      <c r="B54" s="6" t="s">
        <v>730</v>
      </c>
      <c r="C54" s="6" t="s">
        <v>1376</v>
      </c>
      <c r="D54" s="6" t="s">
        <v>1621</v>
      </c>
      <c r="E54" s="6" t="s">
        <v>1621</v>
      </c>
      <c r="F54" s="6" t="s">
        <v>523</v>
      </c>
      <c r="G54" s="6" t="s">
        <v>1344</v>
      </c>
      <c r="H54" s="6" t="s">
        <v>1344</v>
      </c>
      <c r="I54" s="6" t="s">
        <v>1347</v>
      </c>
    </row>
    <row r="55" spans="1:9" x14ac:dyDescent="0.2">
      <c r="A55" s="6" t="s">
        <v>1230</v>
      </c>
      <c r="B55" s="6" t="s">
        <v>292</v>
      </c>
      <c r="C55" s="6" t="s">
        <v>1381</v>
      </c>
      <c r="D55" s="6" t="s">
        <v>1622</v>
      </c>
      <c r="E55" s="6" t="s">
        <v>1623</v>
      </c>
      <c r="F55" s="6" t="s">
        <v>467</v>
      </c>
      <c r="G55" s="6" t="s">
        <v>1298</v>
      </c>
      <c r="H55" s="6" t="s">
        <v>1624</v>
      </c>
      <c r="I55" s="6" t="s">
        <v>1526</v>
      </c>
    </row>
    <row r="56" spans="1:9" x14ac:dyDescent="0.2">
      <c r="A56" s="6" t="s">
        <v>1222</v>
      </c>
      <c r="B56" s="6" t="s">
        <v>131</v>
      </c>
      <c r="C56" s="6" t="s">
        <v>1328</v>
      </c>
      <c r="D56" s="6" t="s">
        <v>1625</v>
      </c>
      <c r="E56" s="6" t="s">
        <v>1626</v>
      </c>
      <c r="F56" s="6" t="s">
        <v>472</v>
      </c>
      <c r="G56" s="6" t="s">
        <v>1393</v>
      </c>
      <c r="H56" s="6" t="s">
        <v>1627</v>
      </c>
      <c r="I56" s="6" t="s">
        <v>1521</v>
      </c>
    </row>
    <row r="57" spans="1:9" x14ac:dyDescent="0.2">
      <c r="A57" s="6" t="s">
        <v>238</v>
      </c>
      <c r="B57" s="6" t="s">
        <v>237</v>
      </c>
      <c r="C57" s="6" t="s">
        <v>1628</v>
      </c>
      <c r="D57" s="6" t="s">
        <v>1629</v>
      </c>
      <c r="E57" s="6" t="s">
        <v>1630</v>
      </c>
      <c r="F57" s="6" t="s">
        <v>457</v>
      </c>
      <c r="G57" s="6" t="s">
        <v>1298</v>
      </c>
      <c r="H57" s="6" t="s">
        <v>1631</v>
      </c>
      <c r="I57" s="6" t="s">
        <v>1368</v>
      </c>
    </row>
    <row r="58" spans="1:9" x14ac:dyDescent="0.2">
      <c r="A58" s="6" t="s">
        <v>725</v>
      </c>
      <c r="B58" s="6" t="s">
        <v>726</v>
      </c>
      <c r="C58" s="6" t="s">
        <v>1608</v>
      </c>
      <c r="D58" s="6" t="s">
        <v>1632</v>
      </c>
      <c r="E58" s="6" t="s">
        <v>1632</v>
      </c>
      <c r="F58" s="6" t="s">
        <v>467</v>
      </c>
      <c r="G58" s="6" t="s">
        <v>658</v>
      </c>
      <c r="H58" s="6" t="s">
        <v>658</v>
      </c>
      <c r="I58" s="6" t="s">
        <v>1329</v>
      </c>
    </row>
    <row r="59" spans="1:9" x14ac:dyDescent="0.2">
      <c r="A59" s="6" t="s">
        <v>1235</v>
      </c>
      <c r="B59" s="6" t="s">
        <v>412</v>
      </c>
      <c r="C59" s="6" t="s">
        <v>1633</v>
      </c>
      <c r="D59" s="6" t="s">
        <v>1634</v>
      </c>
      <c r="E59" s="6" t="s">
        <v>1634</v>
      </c>
      <c r="F59" s="6" t="s">
        <v>539</v>
      </c>
      <c r="G59" s="6" t="s">
        <v>1378</v>
      </c>
      <c r="H59" s="6" t="s">
        <v>1378</v>
      </c>
      <c r="I59" s="6" t="s">
        <v>1369</v>
      </c>
    </row>
    <row r="60" spans="1:9" x14ac:dyDescent="0.2">
      <c r="A60" s="6" t="s">
        <v>52</v>
      </c>
      <c r="B60" s="6" t="s">
        <v>51</v>
      </c>
      <c r="C60" s="6" t="s">
        <v>1536</v>
      </c>
      <c r="D60" s="6" t="s">
        <v>1635</v>
      </c>
      <c r="E60" s="6" t="s">
        <v>1636</v>
      </c>
      <c r="F60" s="6" t="s">
        <v>636</v>
      </c>
      <c r="G60" s="6" t="s">
        <v>1338</v>
      </c>
      <c r="H60" s="6" t="s">
        <v>1351</v>
      </c>
      <c r="I60" s="6" t="s">
        <v>1320</v>
      </c>
    </row>
    <row r="61" spans="1:9" x14ac:dyDescent="0.2">
      <c r="A61" s="6" t="s">
        <v>791</v>
      </c>
      <c r="B61" s="6" t="s">
        <v>792</v>
      </c>
      <c r="C61" s="6" t="s">
        <v>1497</v>
      </c>
      <c r="D61" s="6" t="s">
        <v>1497</v>
      </c>
      <c r="E61" s="6" t="s">
        <v>1497</v>
      </c>
      <c r="F61" s="6" t="s">
        <v>1497</v>
      </c>
      <c r="G61" s="6" t="s">
        <v>1497</v>
      </c>
      <c r="H61" s="6" t="s">
        <v>1497</v>
      </c>
      <c r="I61" s="6" t="s">
        <v>1498</v>
      </c>
    </row>
    <row r="62" spans="1:9" x14ac:dyDescent="0.2">
      <c r="A62" s="6" t="s">
        <v>145</v>
      </c>
      <c r="B62" s="6" t="s">
        <v>144</v>
      </c>
      <c r="C62" s="6" t="s">
        <v>1637</v>
      </c>
      <c r="D62" s="6" t="s">
        <v>1318</v>
      </c>
      <c r="E62" s="6" t="s">
        <v>1638</v>
      </c>
      <c r="F62" s="6" t="s">
        <v>525</v>
      </c>
      <c r="G62" s="6" t="s">
        <v>1278</v>
      </c>
      <c r="H62" s="6" t="s">
        <v>1639</v>
      </c>
      <c r="I62" s="6" t="s">
        <v>1295</v>
      </c>
    </row>
    <row r="63" spans="1:9" x14ac:dyDescent="0.2">
      <c r="A63" s="6" t="s">
        <v>284</v>
      </c>
      <c r="B63" s="6" t="s">
        <v>283</v>
      </c>
      <c r="C63" s="6" t="s">
        <v>1359</v>
      </c>
      <c r="D63" s="6" t="s">
        <v>1599</v>
      </c>
      <c r="E63" s="6" t="s">
        <v>1640</v>
      </c>
      <c r="F63" s="6" t="s">
        <v>624</v>
      </c>
      <c r="G63" s="6" t="s">
        <v>1323</v>
      </c>
      <c r="H63" s="6" t="s">
        <v>1641</v>
      </c>
      <c r="I63" s="6" t="s">
        <v>1347</v>
      </c>
    </row>
    <row r="64" spans="1:9" x14ac:dyDescent="0.2">
      <c r="A64" s="6" t="s">
        <v>259</v>
      </c>
      <c r="B64" s="6" t="s">
        <v>258</v>
      </c>
      <c r="C64" s="6" t="s">
        <v>1642</v>
      </c>
      <c r="D64" s="6" t="s">
        <v>1643</v>
      </c>
      <c r="E64" s="6" t="s">
        <v>1346</v>
      </c>
      <c r="F64" s="6" t="s">
        <v>1300</v>
      </c>
      <c r="G64" s="6" t="s">
        <v>1301</v>
      </c>
      <c r="H64" s="6" t="s">
        <v>1644</v>
      </c>
      <c r="I64" s="6" t="s">
        <v>1290</v>
      </c>
    </row>
    <row r="65" spans="1:9" x14ac:dyDescent="0.2">
      <c r="A65" s="6" t="s">
        <v>767</v>
      </c>
      <c r="B65" s="6" t="s">
        <v>768</v>
      </c>
      <c r="C65" s="6" t="s">
        <v>1497</v>
      </c>
      <c r="D65" s="6" t="s">
        <v>1497</v>
      </c>
      <c r="E65" s="6" t="s">
        <v>1497</v>
      </c>
      <c r="F65" s="6" t="s">
        <v>1497</v>
      </c>
      <c r="G65" s="6" t="s">
        <v>1497</v>
      </c>
      <c r="H65" s="6" t="s">
        <v>1497</v>
      </c>
      <c r="I65" s="6" t="s">
        <v>1498</v>
      </c>
    </row>
    <row r="66" spans="1:9" x14ac:dyDescent="0.2">
      <c r="A66" s="6" t="s">
        <v>547</v>
      </c>
      <c r="B66" s="6" t="s">
        <v>549</v>
      </c>
      <c r="C66" s="6" t="s">
        <v>1387</v>
      </c>
      <c r="D66" s="6" t="s">
        <v>1514</v>
      </c>
      <c r="E66" s="6" t="s">
        <v>1514</v>
      </c>
      <c r="F66" s="6" t="s">
        <v>467</v>
      </c>
      <c r="G66" s="6" t="s">
        <v>658</v>
      </c>
      <c r="H66" s="6" t="s">
        <v>658</v>
      </c>
      <c r="I66" s="6" t="s">
        <v>1340</v>
      </c>
    </row>
    <row r="67" spans="1:9" x14ac:dyDescent="0.2">
      <c r="A67" s="6" t="s">
        <v>79</v>
      </c>
      <c r="B67" s="6" t="s">
        <v>78</v>
      </c>
      <c r="C67" s="6" t="s">
        <v>1348</v>
      </c>
      <c r="D67" s="6" t="s">
        <v>1645</v>
      </c>
      <c r="E67" s="6" t="s">
        <v>1646</v>
      </c>
      <c r="F67" s="6" t="s">
        <v>525</v>
      </c>
      <c r="G67" s="6" t="s">
        <v>509</v>
      </c>
      <c r="H67" s="6" t="s">
        <v>1311</v>
      </c>
      <c r="I67" s="6" t="s">
        <v>1271</v>
      </c>
    </row>
    <row r="68" spans="1:9" x14ac:dyDescent="0.2">
      <c r="A68" s="6" t="s">
        <v>396</v>
      </c>
      <c r="B68" s="6" t="s">
        <v>395</v>
      </c>
      <c r="C68" s="6" t="s">
        <v>1647</v>
      </c>
      <c r="D68" s="6" t="s">
        <v>1648</v>
      </c>
      <c r="E68" s="6" t="s">
        <v>1648</v>
      </c>
      <c r="F68" s="6" t="s">
        <v>539</v>
      </c>
      <c r="G68" s="6" t="s">
        <v>1649</v>
      </c>
      <c r="H68" s="6" t="s">
        <v>1649</v>
      </c>
      <c r="I68" s="6" t="s">
        <v>1650</v>
      </c>
    </row>
    <row r="69" spans="1:9" x14ac:dyDescent="0.2">
      <c r="A69" s="6" t="s">
        <v>1083</v>
      </c>
      <c r="B69" s="6" t="s">
        <v>400</v>
      </c>
      <c r="C69" s="6" t="s">
        <v>1575</v>
      </c>
      <c r="D69" s="6" t="s">
        <v>1366</v>
      </c>
      <c r="E69" s="6" t="s">
        <v>1366</v>
      </c>
      <c r="F69" s="6" t="s">
        <v>491</v>
      </c>
      <c r="G69" s="6" t="s">
        <v>1520</v>
      </c>
      <c r="H69" s="6" t="s">
        <v>1520</v>
      </c>
      <c r="I69" s="6" t="s">
        <v>1526</v>
      </c>
    </row>
    <row r="70" spans="1:9" x14ac:dyDescent="0.2">
      <c r="A70" s="6" t="s">
        <v>402</v>
      </c>
      <c r="B70" s="6" t="s">
        <v>401</v>
      </c>
      <c r="C70" s="6" t="s">
        <v>1374</v>
      </c>
      <c r="D70" s="6" t="s">
        <v>1651</v>
      </c>
      <c r="E70" s="6" t="s">
        <v>1651</v>
      </c>
      <c r="F70" s="6" t="s">
        <v>509</v>
      </c>
      <c r="G70" s="6" t="s">
        <v>1649</v>
      </c>
      <c r="H70" s="6" t="s">
        <v>1649</v>
      </c>
      <c r="I70" s="6" t="s">
        <v>1652</v>
      </c>
    </row>
    <row r="71" spans="1:9" x14ac:dyDescent="0.2">
      <c r="A71" s="6" t="s">
        <v>1234</v>
      </c>
      <c r="B71" s="6" t="s">
        <v>403</v>
      </c>
      <c r="C71" s="6" t="s">
        <v>1653</v>
      </c>
      <c r="D71" s="6" t="s">
        <v>1654</v>
      </c>
      <c r="E71" s="6" t="s">
        <v>1654</v>
      </c>
      <c r="F71" s="6" t="s">
        <v>658</v>
      </c>
      <c r="G71" s="6" t="s">
        <v>1306</v>
      </c>
      <c r="H71" s="6" t="s">
        <v>1306</v>
      </c>
      <c r="I71" s="6" t="s">
        <v>1340</v>
      </c>
    </row>
    <row r="72" spans="1:9" x14ac:dyDescent="0.2">
      <c r="A72" s="6" t="s">
        <v>407</v>
      </c>
      <c r="B72" s="6" t="s">
        <v>406</v>
      </c>
      <c r="C72" s="6" t="s">
        <v>1349</v>
      </c>
      <c r="D72" s="6" t="s">
        <v>1530</v>
      </c>
      <c r="E72" s="6" t="s">
        <v>1530</v>
      </c>
      <c r="F72" s="6" t="s">
        <v>523</v>
      </c>
      <c r="G72" s="6" t="s">
        <v>1322</v>
      </c>
      <c r="H72" s="6" t="s">
        <v>1322</v>
      </c>
      <c r="I72" s="6" t="s">
        <v>1371</v>
      </c>
    </row>
    <row r="73" spans="1:9" x14ac:dyDescent="0.2">
      <c r="A73" s="6" t="s">
        <v>241</v>
      </c>
      <c r="B73" s="6" t="s">
        <v>240</v>
      </c>
      <c r="C73" s="6" t="s">
        <v>1655</v>
      </c>
      <c r="D73" s="6" t="s">
        <v>1656</v>
      </c>
      <c r="E73" s="6" t="s">
        <v>1302</v>
      </c>
      <c r="F73" s="6" t="s">
        <v>525</v>
      </c>
      <c r="G73" s="6" t="s">
        <v>624</v>
      </c>
      <c r="H73" s="6" t="s">
        <v>1312</v>
      </c>
      <c r="I73" s="6" t="s">
        <v>1368</v>
      </c>
    </row>
    <row r="74" spans="1:9" x14ac:dyDescent="0.2">
      <c r="A74" s="6" t="s">
        <v>140</v>
      </c>
      <c r="B74" s="6" t="s">
        <v>139</v>
      </c>
      <c r="C74" s="6" t="s">
        <v>1657</v>
      </c>
      <c r="D74" s="6" t="s">
        <v>1658</v>
      </c>
      <c r="E74" s="6" t="s">
        <v>1659</v>
      </c>
      <c r="F74" s="6" t="s">
        <v>1327</v>
      </c>
      <c r="G74" s="6" t="s">
        <v>1660</v>
      </c>
      <c r="H74" s="6" t="s">
        <v>1331</v>
      </c>
      <c r="I74" s="6" t="s">
        <v>1661</v>
      </c>
    </row>
    <row r="75" spans="1:9" x14ac:dyDescent="0.2">
      <c r="A75" s="6" t="s">
        <v>88</v>
      </c>
      <c r="B75" s="6" t="s">
        <v>87</v>
      </c>
      <c r="C75" s="6" t="s">
        <v>1662</v>
      </c>
      <c r="D75" s="6" t="s">
        <v>1663</v>
      </c>
      <c r="E75" s="6" t="s">
        <v>1664</v>
      </c>
      <c r="F75" s="6" t="s">
        <v>676</v>
      </c>
      <c r="G75" s="6" t="s">
        <v>1361</v>
      </c>
      <c r="H75" s="6" t="s">
        <v>1501</v>
      </c>
      <c r="I75" s="6" t="s">
        <v>1332</v>
      </c>
    </row>
    <row r="76" spans="1:9" x14ac:dyDescent="0.2">
      <c r="A76" s="6" t="s">
        <v>202</v>
      </c>
      <c r="B76" s="6" t="s">
        <v>201</v>
      </c>
      <c r="C76" s="6" t="s">
        <v>1665</v>
      </c>
      <c r="D76" s="6" t="s">
        <v>1666</v>
      </c>
      <c r="E76" s="6" t="s">
        <v>1667</v>
      </c>
      <c r="F76" s="6" t="s">
        <v>495</v>
      </c>
      <c r="G76" s="6" t="s">
        <v>1533</v>
      </c>
      <c r="H76" s="6" t="s">
        <v>1334</v>
      </c>
      <c r="I76" s="6" t="s">
        <v>1386</v>
      </c>
    </row>
    <row r="77" spans="1:9" x14ac:dyDescent="0.2">
      <c r="A77" s="6" t="s">
        <v>1233</v>
      </c>
      <c r="B77" s="6" t="s">
        <v>351</v>
      </c>
      <c r="C77" s="6" t="s">
        <v>1309</v>
      </c>
      <c r="D77" s="6" t="s">
        <v>1557</v>
      </c>
      <c r="E77" s="6" t="s">
        <v>1668</v>
      </c>
      <c r="F77" s="6" t="s">
        <v>512</v>
      </c>
      <c r="G77" s="6" t="s">
        <v>1669</v>
      </c>
      <c r="H77" s="6" t="s">
        <v>1670</v>
      </c>
      <c r="I77" s="6" t="s">
        <v>1671</v>
      </c>
    </row>
    <row r="78" spans="1:9" x14ac:dyDescent="0.2">
      <c r="A78" s="6" t="s">
        <v>596</v>
      </c>
      <c r="B78" s="6" t="s">
        <v>597</v>
      </c>
      <c r="C78" s="6" t="s">
        <v>1550</v>
      </c>
      <c r="D78" s="6" t="s">
        <v>1641</v>
      </c>
      <c r="E78" s="6" t="s">
        <v>1641</v>
      </c>
      <c r="F78" s="6" t="s">
        <v>676</v>
      </c>
      <c r="G78" s="6" t="s">
        <v>1300</v>
      </c>
      <c r="H78" s="6" t="s">
        <v>1300</v>
      </c>
      <c r="I78" s="6" t="s">
        <v>1672</v>
      </c>
    </row>
    <row r="79" spans="1:9" x14ac:dyDescent="0.2">
      <c r="A79" s="6" t="s">
        <v>270</v>
      </c>
      <c r="B79" s="6" t="s">
        <v>269</v>
      </c>
      <c r="C79" s="6" t="s">
        <v>1673</v>
      </c>
      <c r="D79" s="6" t="s">
        <v>1674</v>
      </c>
      <c r="E79" s="6" t="s">
        <v>1675</v>
      </c>
      <c r="F79" s="6" t="s">
        <v>1297</v>
      </c>
      <c r="G79" s="6" t="s">
        <v>1303</v>
      </c>
      <c r="H79" s="6" t="s">
        <v>1493</v>
      </c>
      <c r="I79" s="6" t="s">
        <v>1335</v>
      </c>
    </row>
    <row r="80" spans="1:9" x14ac:dyDescent="0.2">
      <c r="A80" s="6" t="s">
        <v>833</v>
      </c>
      <c r="B80" s="6" t="s">
        <v>834</v>
      </c>
      <c r="C80" s="6" t="s">
        <v>1497</v>
      </c>
      <c r="D80" s="6" t="s">
        <v>1497</v>
      </c>
      <c r="E80" s="6" t="s">
        <v>1497</v>
      </c>
      <c r="F80" s="6" t="s">
        <v>1497</v>
      </c>
      <c r="G80" s="6" t="s">
        <v>1497</v>
      </c>
      <c r="H80" s="6" t="s">
        <v>1497</v>
      </c>
      <c r="I80" s="6" t="s">
        <v>1498</v>
      </c>
    </row>
    <row r="81" spans="1:9" x14ac:dyDescent="0.2">
      <c r="A81" s="6" t="s">
        <v>354</v>
      </c>
      <c r="B81" s="6" t="s">
        <v>353</v>
      </c>
      <c r="C81" s="6" t="s">
        <v>1676</v>
      </c>
      <c r="D81" s="6" t="s">
        <v>1339</v>
      </c>
      <c r="E81" s="6" t="s">
        <v>1677</v>
      </c>
      <c r="F81" s="6" t="s">
        <v>525</v>
      </c>
      <c r="G81" s="6" t="s">
        <v>1533</v>
      </c>
      <c r="H81" s="6" t="s">
        <v>1296</v>
      </c>
      <c r="I81" s="6" t="s">
        <v>1368</v>
      </c>
    </row>
    <row r="82" spans="1:9" x14ac:dyDescent="0.2">
      <c r="A82" s="6" t="s">
        <v>864</v>
      </c>
      <c r="B82" s="6" t="s">
        <v>865</v>
      </c>
      <c r="C82" s="6" t="s">
        <v>1497</v>
      </c>
      <c r="D82" s="6" t="s">
        <v>1497</v>
      </c>
      <c r="E82" s="6" t="s">
        <v>1497</v>
      </c>
      <c r="F82" s="6" t="s">
        <v>1497</v>
      </c>
      <c r="G82" s="6" t="s">
        <v>1497</v>
      </c>
      <c r="H82" s="6" t="s">
        <v>1497</v>
      </c>
      <c r="I82" s="6" t="s">
        <v>1498</v>
      </c>
    </row>
    <row r="83" spans="1:9" x14ac:dyDescent="0.2">
      <c r="A83" s="6" t="s">
        <v>299</v>
      </c>
      <c r="B83" s="6" t="s">
        <v>298</v>
      </c>
      <c r="C83" s="6" t="s">
        <v>1678</v>
      </c>
      <c r="D83" s="6" t="s">
        <v>1679</v>
      </c>
      <c r="E83" s="6" t="s">
        <v>1680</v>
      </c>
      <c r="F83" s="6" t="s">
        <v>472</v>
      </c>
      <c r="G83" s="6" t="s">
        <v>1297</v>
      </c>
      <c r="H83" s="6" t="s">
        <v>1303</v>
      </c>
      <c r="I83" s="6" t="s">
        <v>1319</v>
      </c>
    </row>
    <row r="84" spans="1:9" x14ac:dyDescent="0.2">
      <c r="A84" s="6" t="s">
        <v>1223</v>
      </c>
      <c r="B84" s="6" t="s">
        <v>155</v>
      </c>
      <c r="C84" s="6" t="s">
        <v>1681</v>
      </c>
      <c r="D84" s="6" t="s">
        <v>1373</v>
      </c>
      <c r="E84" s="6" t="s">
        <v>1682</v>
      </c>
      <c r="F84" s="6" t="s">
        <v>525</v>
      </c>
      <c r="G84" s="6" t="s">
        <v>698</v>
      </c>
      <c r="H84" s="6" t="s">
        <v>1560</v>
      </c>
      <c r="I84" s="6" t="s">
        <v>1368</v>
      </c>
    </row>
    <row r="85" spans="1:9" x14ac:dyDescent="0.2">
      <c r="A85" s="6" t="s">
        <v>627</v>
      </c>
      <c r="B85" s="6" t="s">
        <v>628</v>
      </c>
      <c r="C85" s="6" t="s">
        <v>1683</v>
      </c>
      <c r="D85" s="6" t="s">
        <v>1684</v>
      </c>
      <c r="E85" s="6" t="s">
        <v>1684</v>
      </c>
      <c r="F85" s="6" t="s">
        <v>457</v>
      </c>
      <c r="G85" s="6" t="s">
        <v>727</v>
      </c>
      <c r="H85" s="6" t="s">
        <v>727</v>
      </c>
      <c r="I85" s="6" t="s">
        <v>1271</v>
      </c>
    </row>
    <row r="86" spans="1:9" x14ac:dyDescent="0.2">
      <c r="A86" s="6" t="s">
        <v>273</v>
      </c>
      <c r="B86" s="6" t="s">
        <v>272</v>
      </c>
      <c r="C86" s="6" t="s">
        <v>1685</v>
      </c>
      <c r="D86" s="6" t="s">
        <v>1686</v>
      </c>
      <c r="E86" s="6" t="s">
        <v>1687</v>
      </c>
      <c r="F86" s="6" t="s">
        <v>636</v>
      </c>
      <c r="G86" s="6" t="s">
        <v>1378</v>
      </c>
      <c r="H86" s="6" t="s">
        <v>1276</v>
      </c>
      <c r="I86" s="6" t="s">
        <v>1277</v>
      </c>
    </row>
    <row r="87" spans="1:9" x14ac:dyDescent="0.2">
      <c r="A87" s="6" t="s">
        <v>100</v>
      </c>
      <c r="B87" s="6" t="s">
        <v>99</v>
      </c>
      <c r="C87" s="6" t="s">
        <v>1279</v>
      </c>
      <c r="D87" s="6" t="s">
        <v>1688</v>
      </c>
      <c r="E87" s="6" t="s">
        <v>1689</v>
      </c>
      <c r="F87" s="6" t="s">
        <v>525</v>
      </c>
      <c r="G87" s="6" t="s">
        <v>1384</v>
      </c>
      <c r="H87" s="6" t="s">
        <v>1681</v>
      </c>
      <c r="I87" s="6" t="s">
        <v>1368</v>
      </c>
    </row>
    <row r="88" spans="1:9" x14ac:dyDescent="0.2">
      <c r="A88" s="6" t="s">
        <v>1085</v>
      </c>
      <c r="B88" s="6" t="s">
        <v>104</v>
      </c>
      <c r="C88" s="6" t="s">
        <v>1690</v>
      </c>
      <c r="D88" s="6" t="s">
        <v>1293</v>
      </c>
      <c r="E88" s="6" t="s">
        <v>1691</v>
      </c>
      <c r="F88" s="6" t="s">
        <v>509</v>
      </c>
      <c r="G88" s="6" t="s">
        <v>1391</v>
      </c>
      <c r="H88" s="6" t="s">
        <v>1692</v>
      </c>
      <c r="I88" s="6" t="s">
        <v>1305</v>
      </c>
    </row>
    <row r="89" spans="1:9" x14ac:dyDescent="0.2">
      <c r="A89" s="6" t="s">
        <v>224</v>
      </c>
      <c r="B89" s="6" t="s">
        <v>223</v>
      </c>
      <c r="C89" s="6" t="s">
        <v>1272</v>
      </c>
      <c r="D89" s="6" t="s">
        <v>1693</v>
      </c>
      <c r="E89" s="6" t="s">
        <v>1577</v>
      </c>
      <c r="F89" s="6" t="s">
        <v>691</v>
      </c>
      <c r="G89" s="6" t="s">
        <v>658</v>
      </c>
      <c r="H89" s="6" t="s">
        <v>1694</v>
      </c>
      <c r="I89" s="6" t="s">
        <v>1386</v>
      </c>
    </row>
    <row r="90" spans="1:9" x14ac:dyDescent="0.2">
      <c r="A90" s="6" t="s">
        <v>199</v>
      </c>
      <c r="B90" s="6" t="s">
        <v>198</v>
      </c>
      <c r="C90" s="6" t="s">
        <v>1695</v>
      </c>
      <c r="D90" s="6" t="s">
        <v>1380</v>
      </c>
      <c r="E90" s="6" t="s">
        <v>1696</v>
      </c>
      <c r="F90" s="6" t="s">
        <v>525</v>
      </c>
      <c r="G90" s="6" t="s">
        <v>1289</v>
      </c>
      <c r="H90" s="6" t="s">
        <v>1697</v>
      </c>
      <c r="I90" s="6" t="s">
        <v>1368</v>
      </c>
    </row>
    <row r="91" spans="1:9" x14ac:dyDescent="0.2">
      <c r="A91" s="6" t="s">
        <v>152</v>
      </c>
      <c r="B91" s="6" t="s">
        <v>151</v>
      </c>
      <c r="C91" s="6" t="s">
        <v>1372</v>
      </c>
      <c r="D91" s="6" t="s">
        <v>1698</v>
      </c>
      <c r="E91" s="6" t="s">
        <v>1699</v>
      </c>
      <c r="F91" s="6" t="s">
        <v>523</v>
      </c>
      <c r="G91" s="6" t="s">
        <v>1301</v>
      </c>
      <c r="H91" s="6" t="s">
        <v>1372</v>
      </c>
      <c r="I91" s="6" t="s">
        <v>1369</v>
      </c>
    </row>
    <row r="92" spans="1:9" x14ac:dyDescent="0.2">
      <c r="A92" s="6" t="s">
        <v>712</v>
      </c>
      <c r="B92" s="6" t="s">
        <v>713</v>
      </c>
      <c r="C92" s="6" t="s">
        <v>1497</v>
      </c>
      <c r="D92" s="6" t="s">
        <v>1497</v>
      </c>
      <c r="E92" s="6" t="s">
        <v>1497</v>
      </c>
      <c r="F92" s="6" t="s">
        <v>1497</v>
      </c>
      <c r="G92" s="6" t="s">
        <v>1497</v>
      </c>
      <c r="H92" s="6" t="s">
        <v>1497</v>
      </c>
      <c r="I92" s="6" t="s">
        <v>1498</v>
      </c>
    </row>
    <row r="93" spans="1:9" x14ac:dyDescent="0.2">
      <c r="A93" s="6" t="s">
        <v>415</v>
      </c>
      <c r="B93" s="6" t="s">
        <v>414</v>
      </c>
      <c r="C93" s="6" t="s">
        <v>1350</v>
      </c>
      <c r="D93" s="6" t="s">
        <v>1700</v>
      </c>
      <c r="E93" s="6" t="s">
        <v>1700</v>
      </c>
      <c r="F93" s="6" t="s">
        <v>1365</v>
      </c>
      <c r="G93" s="6" t="s">
        <v>1357</v>
      </c>
      <c r="H93" s="6" t="s">
        <v>1357</v>
      </c>
      <c r="I93" s="6" t="s">
        <v>1672</v>
      </c>
    </row>
    <row r="94" spans="1:9" x14ac:dyDescent="0.2">
      <c r="A94" s="6" t="s">
        <v>356</v>
      </c>
      <c r="B94" s="6" t="s">
        <v>355</v>
      </c>
      <c r="C94" s="6" t="s">
        <v>1328</v>
      </c>
      <c r="D94" s="6" t="s">
        <v>1701</v>
      </c>
      <c r="E94" s="6" t="s">
        <v>1702</v>
      </c>
      <c r="F94" s="6" t="s">
        <v>525</v>
      </c>
      <c r="G94" s="6" t="s">
        <v>658</v>
      </c>
      <c r="H94" s="6" t="s">
        <v>1284</v>
      </c>
      <c r="I94" s="6" t="s">
        <v>1283</v>
      </c>
    </row>
    <row r="95" spans="1:9" x14ac:dyDescent="0.2">
      <c r="A95" s="6" t="s">
        <v>71</v>
      </c>
      <c r="B95" s="6" t="s">
        <v>70</v>
      </c>
      <c r="C95" s="6" t="s">
        <v>1703</v>
      </c>
      <c r="D95" s="6" t="s">
        <v>1704</v>
      </c>
      <c r="E95" s="6" t="s">
        <v>1705</v>
      </c>
      <c r="F95" s="6" t="s">
        <v>539</v>
      </c>
      <c r="G95" s="6" t="s">
        <v>1323</v>
      </c>
      <c r="H95" s="6" t="s">
        <v>1706</v>
      </c>
      <c r="I95" s="6" t="s">
        <v>1368</v>
      </c>
    </row>
    <row r="96" spans="1:9" x14ac:dyDescent="0.2">
      <c r="A96" s="6" t="s">
        <v>1082</v>
      </c>
      <c r="B96" s="6" t="s">
        <v>422</v>
      </c>
      <c r="C96" s="6" t="s">
        <v>1707</v>
      </c>
      <c r="D96" s="6" t="s">
        <v>1708</v>
      </c>
      <c r="E96" s="6" t="s">
        <v>1708</v>
      </c>
      <c r="F96" s="6" t="s">
        <v>530</v>
      </c>
      <c r="G96" s="6" t="s">
        <v>1709</v>
      </c>
      <c r="H96" s="6" t="s">
        <v>1709</v>
      </c>
      <c r="I96" s="6" t="s">
        <v>1383</v>
      </c>
    </row>
    <row r="97" spans="1:9" x14ac:dyDescent="0.2">
      <c r="A97" s="6" t="s">
        <v>229</v>
      </c>
      <c r="B97" s="6" t="s">
        <v>228</v>
      </c>
      <c r="C97" s="6" t="s">
        <v>1355</v>
      </c>
      <c r="D97" s="6" t="s">
        <v>1710</v>
      </c>
      <c r="E97" s="6" t="s">
        <v>1711</v>
      </c>
      <c r="F97" s="6" t="s">
        <v>467</v>
      </c>
      <c r="G97" s="6" t="s">
        <v>1365</v>
      </c>
      <c r="H97" s="6" t="s">
        <v>1712</v>
      </c>
      <c r="I97" s="6" t="s">
        <v>1521</v>
      </c>
    </row>
    <row r="98" spans="1:9" x14ac:dyDescent="0.2">
      <c r="A98" s="6" t="s">
        <v>431</v>
      </c>
      <c r="B98" s="6" t="s">
        <v>430</v>
      </c>
      <c r="C98" s="6" t="s">
        <v>1713</v>
      </c>
      <c r="D98" s="6" t="s">
        <v>1714</v>
      </c>
      <c r="E98" s="6" t="s">
        <v>1714</v>
      </c>
      <c r="F98" s="6" t="s">
        <v>523</v>
      </c>
      <c r="G98" s="6" t="s">
        <v>1325</v>
      </c>
      <c r="H98" s="6" t="s">
        <v>1325</v>
      </c>
      <c r="I98" s="6" t="s">
        <v>1715</v>
      </c>
    </row>
    <row r="99" spans="1:9" x14ac:dyDescent="0.2">
      <c r="A99" s="6" t="s">
        <v>302</v>
      </c>
      <c r="B99" s="6" t="s">
        <v>301</v>
      </c>
      <c r="C99" s="6" t="s">
        <v>1376</v>
      </c>
      <c r="D99" s="6" t="s">
        <v>1337</v>
      </c>
      <c r="E99" s="6" t="s">
        <v>1716</v>
      </c>
      <c r="F99" s="6" t="s">
        <v>467</v>
      </c>
      <c r="G99" s="6" t="s">
        <v>1275</v>
      </c>
      <c r="H99" s="6" t="s">
        <v>1356</v>
      </c>
      <c r="I99" s="6" t="s">
        <v>1392</v>
      </c>
    </row>
    <row r="100" spans="1:9" x14ac:dyDescent="0.2">
      <c r="A100" s="6" t="s">
        <v>436</v>
      </c>
      <c r="B100" s="6" t="s">
        <v>435</v>
      </c>
      <c r="C100" s="6" t="s">
        <v>1717</v>
      </c>
      <c r="D100" s="6" t="s">
        <v>1718</v>
      </c>
      <c r="E100" s="6" t="s">
        <v>1718</v>
      </c>
      <c r="F100" s="6" t="s">
        <v>676</v>
      </c>
      <c r="G100" s="6" t="s">
        <v>1719</v>
      </c>
      <c r="H100" s="6" t="s">
        <v>1719</v>
      </c>
      <c r="I100" s="6" t="s">
        <v>1315</v>
      </c>
    </row>
    <row r="101" spans="1:9" x14ac:dyDescent="0.2">
      <c r="A101" s="6" t="s">
        <v>279</v>
      </c>
      <c r="B101" s="6" t="s">
        <v>278</v>
      </c>
      <c r="C101" s="6" t="s">
        <v>1720</v>
      </c>
      <c r="D101" s="6" t="s">
        <v>1721</v>
      </c>
      <c r="E101" s="6" t="s">
        <v>1722</v>
      </c>
      <c r="F101" s="6" t="s">
        <v>457</v>
      </c>
      <c r="G101" s="6" t="s">
        <v>1336</v>
      </c>
      <c r="H101" s="6" t="s">
        <v>1310</v>
      </c>
      <c r="I101" s="6" t="s">
        <v>1295</v>
      </c>
    </row>
    <row r="102" spans="1:9" x14ac:dyDescent="0.2">
      <c r="A102" s="6" t="s">
        <v>609</v>
      </c>
      <c r="B102" s="6" t="s">
        <v>610</v>
      </c>
      <c r="C102" s="6" t="s">
        <v>1723</v>
      </c>
      <c r="D102" s="6" t="s">
        <v>1724</v>
      </c>
      <c r="E102" s="6" t="s">
        <v>1724</v>
      </c>
      <c r="F102" s="6" t="s">
        <v>495</v>
      </c>
      <c r="G102" s="6" t="s">
        <v>676</v>
      </c>
      <c r="H102" s="6" t="s">
        <v>676</v>
      </c>
      <c r="I102" s="6" t="s">
        <v>1271</v>
      </c>
    </row>
    <row r="103" spans="1:9" x14ac:dyDescent="0.2">
      <c r="A103" s="6" t="s">
        <v>157</v>
      </c>
      <c r="B103" s="6" t="s">
        <v>156</v>
      </c>
      <c r="C103" s="6" t="s">
        <v>1314</v>
      </c>
      <c r="D103" s="6" t="s">
        <v>1725</v>
      </c>
      <c r="E103" s="6" t="s">
        <v>1726</v>
      </c>
      <c r="F103" s="6" t="s">
        <v>491</v>
      </c>
      <c r="G103" s="6" t="s">
        <v>1344</v>
      </c>
      <c r="H103" s="6" t="s">
        <v>1326</v>
      </c>
      <c r="I103" s="6" t="s">
        <v>1269</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D4CD66-EEAF-9442-AB29-42B644005663}">
  <sheetPr>
    <tabColor theme="5" tint="0.79998168889431442"/>
  </sheetPr>
  <dimension ref="A1:E34"/>
  <sheetViews>
    <sheetView workbookViewId="0">
      <selection activeCell="B33" sqref="B33:B34"/>
    </sheetView>
  </sheetViews>
  <sheetFormatPr baseColWidth="10" defaultRowHeight="15" x14ac:dyDescent="0.2"/>
  <cols>
    <col min="1" max="1" width="26.1640625" bestFit="1" customWidth="1"/>
  </cols>
  <sheetData>
    <row r="1" spans="1:5" x14ac:dyDescent="0.2">
      <c r="A1" s="8" t="s">
        <v>1044</v>
      </c>
      <c r="B1" s="8" t="s">
        <v>1099</v>
      </c>
      <c r="D1" s="8" t="s">
        <v>1102</v>
      </c>
      <c r="E1" s="4" t="s">
        <v>1103</v>
      </c>
    </row>
    <row r="2" spans="1:5" x14ac:dyDescent="0.2">
      <c r="A2" t="s">
        <v>59</v>
      </c>
      <c r="B2" s="8" t="s">
        <v>1101</v>
      </c>
    </row>
    <row r="3" spans="1:5" x14ac:dyDescent="0.2">
      <c r="A3" t="s">
        <v>122</v>
      </c>
      <c r="B3" s="8" t="s">
        <v>1101</v>
      </c>
    </row>
    <row r="4" spans="1:5" x14ac:dyDescent="0.2">
      <c r="A4" t="s">
        <v>46</v>
      </c>
      <c r="B4" s="8" t="s">
        <v>1100</v>
      </c>
    </row>
    <row r="5" spans="1:5" x14ac:dyDescent="0.2">
      <c r="A5" t="s">
        <v>53</v>
      </c>
      <c r="B5" s="8" t="s">
        <v>1100</v>
      </c>
    </row>
    <row r="6" spans="1:5" x14ac:dyDescent="0.2">
      <c r="A6" t="s">
        <v>397</v>
      </c>
      <c r="B6" s="8" t="s">
        <v>1101</v>
      </c>
    </row>
    <row r="7" spans="1:5" x14ac:dyDescent="0.2">
      <c r="A7" t="s">
        <v>341</v>
      </c>
      <c r="B7" s="8" t="s">
        <v>1101</v>
      </c>
    </row>
    <row r="8" spans="1:5" x14ac:dyDescent="0.2">
      <c r="A8" t="s">
        <v>200</v>
      </c>
      <c r="B8" s="8" t="s">
        <v>1101</v>
      </c>
    </row>
    <row r="9" spans="1:5" x14ac:dyDescent="0.2">
      <c r="A9" t="s">
        <v>372</v>
      </c>
      <c r="B9" s="8" t="s">
        <v>1101</v>
      </c>
    </row>
    <row r="10" spans="1:5" x14ac:dyDescent="0.2">
      <c r="A10" t="s">
        <v>398</v>
      </c>
      <c r="B10" s="8" t="s">
        <v>1101</v>
      </c>
    </row>
    <row r="11" spans="1:5" x14ac:dyDescent="0.2">
      <c r="A11" t="s">
        <v>68</v>
      </c>
      <c r="B11" s="8" t="s">
        <v>1101</v>
      </c>
    </row>
    <row r="12" spans="1:5" x14ac:dyDescent="0.2">
      <c r="A12" t="s">
        <v>335</v>
      </c>
      <c r="B12" s="8" t="s">
        <v>1101</v>
      </c>
    </row>
    <row r="13" spans="1:5" x14ac:dyDescent="0.2">
      <c r="A13" t="s">
        <v>111</v>
      </c>
      <c r="B13" s="8" t="s">
        <v>1100</v>
      </c>
    </row>
    <row r="14" spans="1:5" x14ac:dyDescent="0.2">
      <c r="A14" t="s">
        <v>173</v>
      </c>
      <c r="B14" s="8" t="s">
        <v>1101</v>
      </c>
    </row>
    <row r="15" spans="1:5" x14ac:dyDescent="0.2">
      <c r="A15" t="s">
        <v>336</v>
      </c>
      <c r="B15" s="8" t="s">
        <v>1101</v>
      </c>
    </row>
    <row r="16" spans="1:5" x14ac:dyDescent="0.2">
      <c r="A16" t="s">
        <v>429</v>
      </c>
      <c r="B16" s="8" t="s">
        <v>1101</v>
      </c>
    </row>
    <row r="17" spans="1:2" x14ac:dyDescent="0.2">
      <c r="A17" t="s">
        <v>285</v>
      </c>
      <c r="B17" s="8" t="s">
        <v>1101</v>
      </c>
    </row>
    <row r="18" spans="1:2" x14ac:dyDescent="0.2">
      <c r="A18" t="s">
        <v>253</v>
      </c>
      <c r="B18" s="8" t="s">
        <v>1101</v>
      </c>
    </row>
    <row r="19" spans="1:2" x14ac:dyDescent="0.2">
      <c r="A19" t="s">
        <v>369</v>
      </c>
      <c r="B19" s="8" t="s">
        <v>1101</v>
      </c>
    </row>
    <row r="20" spans="1:2" x14ac:dyDescent="0.2">
      <c r="A20" t="s">
        <v>96</v>
      </c>
      <c r="B20" s="8" t="s">
        <v>1101</v>
      </c>
    </row>
    <row r="21" spans="1:2" x14ac:dyDescent="0.2">
      <c r="A21" t="s">
        <v>97</v>
      </c>
      <c r="B21" s="8" t="s">
        <v>1100</v>
      </c>
    </row>
    <row r="22" spans="1:2" x14ac:dyDescent="0.2">
      <c r="A22" t="s">
        <v>350</v>
      </c>
      <c r="B22" s="8" t="s">
        <v>1101</v>
      </c>
    </row>
    <row r="23" spans="1:2" x14ac:dyDescent="0.2">
      <c r="A23" t="s">
        <v>90</v>
      </c>
      <c r="B23" s="8" t="s">
        <v>1101</v>
      </c>
    </row>
    <row r="24" spans="1:2" x14ac:dyDescent="0.2">
      <c r="A24" t="s">
        <v>105</v>
      </c>
      <c r="B24" s="8" t="s">
        <v>1101</v>
      </c>
    </row>
    <row r="25" spans="1:2" x14ac:dyDescent="0.2">
      <c r="A25" t="s">
        <v>271</v>
      </c>
      <c r="B25" s="8" t="s">
        <v>1101</v>
      </c>
    </row>
    <row r="26" spans="1:2" x14ac:dyDescent="0.2">
      <c r="A26" t="s">
        <v>132</v>
      </c>
      <c r="B26" s="8" t="s">
        <v>1101</v>
      </c>
    </row>
    <row r="27" spans="1:2" x14ac:dyDescent="0.2">
      <c r="A27" t="s">
        <v>385</v>
      </c>
      <c r="B27" s="8" t="s">
        <v>1101</v>
      </c>
    </row>
    <row r="28" spans="1:2" x14ac:dyDescent="0.2">
      <c r="A28" t="s">
        <v>72</v>
      </c>
      <c r="B28" s="8" t="s">
        <v>1100</v>
      </c>
    </row>
    <row r="29" spans="1:2" x14ac:dyDescent="0.2">
      <c r="A29" t="s">
        <v>80</v>
      </c>
      <c r="B29" s="8" t="s">
        <v>1101</v>
      </c>
    </row>
    <row r="30" spans="1:2" x14ac:dyDescent="0.2">
      <c r="A30" t="s">
        <v>81</v>
      </c>
      <c r="B30" s="8" t="s">
        <v>1101</v>
      </c>
    </row>
    <row r="31" spans="1:2" x14ac:dyDescent="0.2">
      <c r="A31" t="s">
        <v>252</v>
      </c>
      <c r="B31" s="8" t="s">
        <v>1101</v>
      </c>
    </row>
    <row r="32" spans="1:2" x14ac:dyDescent="0.2">
      <c r="A32" t="s">
        <v>89</v>
      </c>
      <c r="B32" s="8" t="s">
        <v>1101</v>
      </c>
    </row>
    <row r="33" spans="1:2" x14ac:dyDescent="0.2">
      <c r="A33" t="s">
        <v>437</v>
      </c>
      <c r="B33" s="8" t="s">
        <v>1101</v>
      </c>
    </row>
    <row r="34" spans="1:2" x14ac:dyDescent="0.2">
      <c r="A34" t="s">
        <v>1428</v>
      </c>
      <c r="B34" s="8" t="s">
        <v>1101</v>
      </c>
    </row>
  </sheetData>
  <sortState xmlns:xlrd2="http://schemas.microsoft.com/office/spreadsheetml/2017/richdata2" ref="A2:B33">
    <sortCondition ref="A1:A33"/>
  </sortState>
  <hyperlinks>
    <hyperlink ref="E1" r:id="rId1" xr:uid="{F4B54FA2-7EC2-D443-AA42-9BC46A5DBD0C}"/>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1ECD2-002A-6D41-8E73-BB74B2EFEE29}">
  <sheetPr>
    <tabColor theme="5" tint="0.79998168889431442"/>
  </sheetPr>
  <dimension ref="A1:AL49"/>
  <sheetViews>
    <sheetView workbookViewId="0">
      <selection activeCell="H3" sqref="H3"/>
    </sheetView>
  </sheetViews>
  <sheetFormatPr baseColWidth="10" defaultRowHeight="16" x14ac:dyDescent="0.2"/>
  <cols>
    <col min="1" max="16384" width="10.83203125" style="14"/>
  </cols>
  <sheetData>
    <row r="1" spans="1:38" x14ac:dyDescent="0.2">
      <c r="A1" s="14" t="s">
        <v>1055</v>
      </c>
      <c r="B1" s="14" t="s">
        <v>1059</v>
      </c>
      <c r="C1" s="14" t="s">
        <v>1056</v>
      </c>
      <c r="D1" s="14" t="s">
        <v>1057</v>
      </c>
      <c r="E1" s="14" t="s">
        <v>1058</v>
      </c>
      <c r="F1" s="14" t="s">
        <v>1098</v>
      </c>
      <c r="G1" s="14" t="s">
        <v>1054</v>
      </c>
      <c r="H1" s="14" t="s">
        <v>0</v>
      </c>
      <c r="I1" s="14" t="s">
        <v>1</v>
      </c>
      <c r="J1" s="14" t="s">
        <v>1049</v>
      </c>
      <c r="K1" s="14" t="s">
        <v>1050</v>
      </c>
      <c r="L1" s="14" t="s">
        <v>1051</v>
      </c>
      <c r="M1" s="14" t="s">
        <v>7</v>
      </c>
      <c r="N1" s="14" t="s">
        <v>8</v>
      </c>
      <c r="O1" s="14" t="s">
        <v>9</v>
      </c>
      <c r="P1" s="14" t="s">
        <v>10</v>
      </c>
      <c r="Q1" s="14" t="s">
        <v>11</v>
      </c>
      <c r="R1" s="14" t="s">
        <v>12</v>
      </c>
      <c r="S1" s="14" t="s">
        <v>14</v>
      </c>
      <c r="T1" s="14" t="s">
        <v>15</v>
      </c>
      <c r="U1" s="14" t="s">
        <v>16</v>
      </c>
      <c r="V1" s="14" t="s">
        <v>17</v>
      </c>
      <c r="W1" s="14" t="s">
        <v>19</v>
      </c>
      <c r="X1" s="14" t="s">
        <v>20</v>
      </c>
      <c r="Y1" s="14" t="s">
        <v>21</v>
      </c>
      <c r="Z1" s="14" t="s">
        <v>22</v>
      </c>
      <c r="AA1" s="14" t="s">
        <v>1052</v>
      </c>
      <c r="AB1" s="14" t="s">
        <v>881</v>
      </c>
      <c r="AC1" s="14" t="s">
        <v>878</v>
      </c>
      <c r="AD1" s="14" t="s">
        <v>876</v>
      </c>
      <c r="AE1" s="14" t="s">
        <v>1053</v>
      </c>
      <c r="AF1" s="14" t="s">
        <v>1015</v>
      </c>
      <c r="AG1" s="14" t="s">
        <v>1013</v>
      </c>
      <c r="AH1" s="14" t="s">
        <v>1012</v>
      </c>
      <c r="AI1" s="14" t="s">
        <v>1011</v>
      </c>
      <c r="AJ1" s="14" t="s">
        <v>1009</v>
      </c>
      <c r="AK1" s="14" t="s">
        <v>1006</v>
      </c>
      <c r="AL1" s="14" t="s">
        <v>1107</v>
      </c>
    </row>
    <row r="2" spans="1:38" x14ac:dyDescent="0.2">
      <c r="A2" s="14" t="s">
        <v>1106</v>
      </c>
      <c r="B2" s="14" t="s">
        <v>1106</v>
      </c>
      <c r="C2" s="14" t="s">
        <v>1106</v>
      </c>
      <c r="D2" s="14" t="s">
        <v>1106</v>
      </c>
      <c r="E2" s="14" t="s">
        <v>1106</v>
      </c>
      <c r="F2" s="14" t="s">
        <v>1100</v>
      </c>
      <c r="G2" s="14" t="s">
        <v>1105</v>
      </c>
      <c r="H2" s="14">
        <v>45606391</v>
      </c>
      <c r="I2" s="14" t="s">
        <v>287</v>
      </c>
      <c r="J2" s="14" t="s">
        <v>288</v>
      </c>
      <c r="K2" s="14" t="s">
        <v>288</v>
      </c>
      <c r="L2" s="14" t="s">
        <v>288</v>
      </c>
      <c r="M2" s="14" t="s">
        <v>53</v>
      </c>
      <c r="N2" s="14" t="s">
        <v>89</v>
      </c>
      <c r="O2" s="14" t="s">
        <v>54</v>
      </c>
      <c r="P2" s="14" t="s">
        <v>48</v>
      </c>
      <c r="Q2" s="14" t="s">
        <v>37</v>
      </c>
      <c r="R2" s="14" t="s">
        <v>289</v>
      </c>
      <c r="S2" s="14" t="s">
        <v>39</v>
      </c>
      <c r="T2" s="14" t="s">
        <v>39</v>
      </c>
      <c r="U2" s="14" t="s">
        <v>39</v>
      </c>
      <c r="V2" s="14" t="s">
        <v>41</v>
      </c>
      <c r="W2" s="14" t="s">
        <v>41</v>
      </c>
      <c r="X2" s="14" t="s">
        <v>39</v>
      </c>
      <c r="Y2" s="14" t="s">
        <v>39</v>
      </c>
      <c r="Z2" s="14" t="s">
        <v>40</v>
      </c>
      <c r="AA2" s="14" t="s">
        <v>41</v>
      </c>
      <c r="AB2" s="14" t="s">
        <v>461</v>
      </c>
      <c r="AC2" s="14" t="s">
        <v>477</v>
      </c>
      <c r="AD2" s="14" t="s">
        <v>531</v>
      </c>
      <c r="AE2" s="14" t="s">
        <v>887</v>
      </c>
      <c r="AF2" s="15">
        <v>45878.51458333333</v>
      </c>
      <c r="AG2" s="15">
        <v>45873.51458333333</v>
      </c>
      <c r="AH2" s="14">
        <v>64.2</v>
      </c>
      <c r="AI2" s="14">
        <v>0</v>
      </c>
      <c r="AJ2" s="14" t="s">
        <v>931</v>
      </c>
      <c r="AK2" s="14">
        <v>3</v>
      </c>
      <c r="AL2" s="14">
        <v>0</v>
      </c>
    </row>
    <row r="3" spans="1:38" x14ac:dyDescent="0.2">
      <c r="A3" s="14" t="s">
        <v>1106</v>
      </c>
      <c r="B3" s="14" t="s">
        <v>1106</v>
      </c>
      <c r="C3" s="14" t="s">
        <v>1106</v>
      </c>
      <c r="D3" s="14" t="s">
        <v>1106</v>
      </c>
      <c r="E3" s="14" t="s">
        <v>1106</v>
      </c>
      <c r="F3" s="14" t="s">
        <v>1100</v>
      </c>
      <c r="G3" s="14" t="s">
        <v>1105</v>
      </c>
      <c r="H3" s="14">
        <v>45190855</v>
      </c>
      <c r="I3" s="14" t="s">
        <v>171</v>
      </c>
      <c r="J3" s="14" t="s">
        <v>172</v>
      </c>
      <c r="K3" s="14" t="s">
        <v>172</v>
      </c>
      <c r="L3" s="14" t="s">
        <v>172</v>
      </c>
      <c r="M3" s="14" t="s">
        <v>53</v>
      </c>
      <c r="N3" s="14" t="s">
        <v>173</v>
      </c>
      <c r="O3" s="14" t="s">
        <v>69</v>
      </c>
      <c r="P3" s="14" t="s">
        <v>36</v>
      </c>
      <c r="Q3" s="14" t="s">
        <v>49</v>
      </c>
      <c r="R3" s="14" t="s">
        <v>74</v>
      </c>
      <c r="S3" s="14" t="s">
        <v>39</v>
      </c>
      <c r="T3" s="14" t="s">
        <v>39</v>
      </c>
      <c r="U3" s="14" t="s">
        <v>39</v>
      </c>
      <c r="V3" s="14" t="s">
        <v>41</v>
      </c>
      <c r="W3" s="14" t="s">
        <v>41</v>
      </c>
      <c r="X3" s="14" t="s">
        <v>39</v>
      </c>
      <c r="Y3" s="14" t="s">
        <v>39</v>
      </c>
      <c r="Z3" s="14" t="s">
        <v>40</v>
      </c>
      <c r="AA3" s="14" t="s">
        <v>41</v>
      </c>
      <c r="AB3" s="14" t="s">
        <v>461</v>
      </c>
      <c r="AC3" s="14" t="s">
        <v>448</v>
      </c>
      <c r="AD3" s="14" t="s">
        <v>492</v>
      </c>
      <c r="AE3" s="14" t="s">
        <v>963</v>
      </c>
      <c r="AF3" s="15">
        <v>45829.554166666669</v>
      </c>
      <c r="AG3" s="15">
        <v>45824.554166666669</v>
      </c>
      <c r="AH3" s="14">
        <v>113.2</v>
      </c>
      <c r="AI3" s="14">
        <v>0</v>
      </c>
      <c r="AJ3" s="14" t="s">
        <v>962</v>
      </c>
      <c r="AK3" s="14">
        <v>3</v>
      </c>
      <c r="AL3" s="14">
        <v>0</v>
      </c>
    </row>
    <row r="4" spans="1:38" x14ac:dyDescent="0.2">
      <c r="A4" s="14" t="s">
        <v>1106</v>
      </c>
      <c r="B4" s="14" t="s">
        <v>1106</v>
      </c>
      <c r="C4" s="14" t="s">
        <v>1106</v>
      </c>
      <c r="D4" s="14" t="s">
        <v>1106</v>
      </c>
      <c r="E4" s="14" t="s">
        <v>1106</v>
      </c>
      <c r="F4" s="14" t="s">
        <v>1100</v>
      </c>
      <c r="G4" s="14" t="s">
        <v>1105</v>
      </c>
      <c r="H4" s="14">
        <v>45970157</v>
      </c>
      <c r="I4" s="14" t="s">
        <v>365</v>
      </c>
      <c r="J4" s="14" t="s">
        <v>366</v>
      </c>
      <c r="K4" s="14" t="s">
        <v>366</v>
      </c>
      <c r="L4" s="14" t="s">
        <v>366</v>
      </c>
      <c r="M4" s="14" t="s">
        <v>46</v>
      </c>
      <c r="N4" s="14" t="s">
        <v>90</v>
      </c>
      <c r="O4" s="14" t="s">
        <v>342</v>
      </c>
      <c r="P4" s="14" t="s">
        <v>36</v>
      </c>
      <c r="Q4" s="14" t="s">
        <v>49</v>
      </c>
      <c r="R4" s="14" t="s">
        <v>50</v>
      </c>
      <c r="S4" s="14" t="s">
        <v>39</v>
      </c>
      <c r="T4" s="14" t="s">
        <v>41</v>
      </c>
      <c r="U4" s="14" t="s">
        <v>39</v>
      </c>
      <c r="V4" s="14" t="s">
        <v>41</v>
      </c>
      <c r="W4" s="14" t="s">
        <v>41</v>
      </c>
      <c r="X4" s="14" t="s">
        <v>39</v>
      </c>
      <c r="Y4" s="14" t="s">
        <v>39</v>
      </c>
      <c r="Z4" s="14" t="s">
        <v>40</v>
      </c>
      <c r="AA4" s="14" t="s">
        <v>41</v>
      </c>
      <c r="AB4" s="14" t="s">
        <v>494</v>
      </c>
      <c r="AC4" s="14" t="s">
        <v>448</v>
      </c>
      <c r="AD4" s="14" t="s">
        <v>469</v>
      </c>
      <c r="AE4" s="14" t="s">
        <v>887</v>
      </c>
      <c r="AF4" s="15">
        <v>45911.486111111109</v>
      </c>
      <c r="AG4" s="15">
        <v>45906.486111111109</v>
      </c>
      <c r="AH4" s="14">
        <v>31.3</v>
      </c>
      <c r="AI4" s="14">
        <v>0</v>
      </c>
      <c r="AJ4" s="14" t="s">
        <v>921</v>
      </c>
      <c r="AK4" s="14">
        <v>2</v>
      </c>
      <c r="AL4" s="14">
        <v>0</v>
      </c>
    </row>
    <row r="5" spans="1:38" x14ac:dyDescent="0.2">
      <c r="A5" s="14" t="s">
        <v>1106</v>
      </c>
      <c r="B5" s="14" t="s">
        <v>1106</v>
      </c>
      <c r="C5" s="14" t="s">
        <v>1106</v>
      </c>
      <c r="D5" s="14" t="s">
        <v>1106</v>
      </c>
      <c r="E5" s="14" t="s">
        <v>1106</v>
      </c>
      <c r="F5" s="14" t="s">
        <v>1100</v>
      </c>
      <c r="G5" s="14" t="s">
        <v>1105</v>
      </c>
      <c r="H5" s="14">
        <v>42938868</v>
      </c>
      <c r="I5" s="14" t="s">
        <v>57</v>
      </c>
      <c r="J5" s="14" t="s">
        <v>58</v>
      </c>
      <c r="K5" s="14" t="s">
        <v>507</v>
      </c>
      <c r="L5" s="14" t="s">
        <v>507</v>
      </c>
      <c r="M5" s="14" t="s">
        <v>46</v>
      </c>
      <c r="N5" s="14" t="s">
        <v>59</v>
      </c>
      <c r="O5" s="14" t="s">
        <v>60</v>
      </c>
      <c r="P5" s="14" t="s">
        <v>48</v>
      </c>
      <c r="Q5" s="14" t="s">
        <v>49</v>
      </c>
      <c r="R5" s="14" t="s">
        <v>50</v>
      </c>
      <c r="S5" s="14" t="s">
        <v>39</v>
      </c>
      <c r="T5" s="14" t="s">
        <v>39</v>
      </c>
      <c r="U5" s="14" t="s">
        <v>39</v>
      </c>
      <c r="V5" s="14" t="s">
        <v>41</v>
      </c>
      <c r="W5" s="14" t="s">
        <v>41</v>
      </c>
      <c r="X5" s="14" t="s">
        <v>39</v>
      </c>
      <c r="Y5" s="14" t="s">
        <v>39</v>
      </c>
      <c r="Z5" s="14" t="s">
        <v>40</v>
      </c>
      <c r="AA5" s="14" t="s">
        <v>41</v>
      </c>
      <c r="AB5" s="14" t="s">
        <v>461</v>
      </c>
      <c r="AC5" s="14" t="s">
        <v>448</v>
      </c>
      <c r="AD5" s="14" t="s">
        <v>446</v>
      </c>
      <c r="AE5" s="14" t="s">
        <v>887</v>
      </c>
      <c r="AF5" s="15">
        <v>45539.418749999997</v>
      </c>
      <c r="AG5" s="15">
        <v>45534.418749999997</v>
      </c>
      <c r="AH5" s="14">
        <v>403.3</v>
      </c>
      <c r="AI5" s="14">
        <v>0</v>
      </c>
      <c r="AJ5" s="14" t="s">
        <v>960</v>
      </c>
      <c r="AK5" s="14">
        <v>3</v>
      </c>
      <c r="AL5" s="14">
        <v>1</v>
      </c>
    </row>
    <row r="6" spans="1:38" x14ac:dyDescent="0.2">
      <c r="A6" s="14" t="s">
        <v>1106</v>
      </c>
      <c r="B6" s="14" t="s">
        <v>1106</v>
      </c>
      <c r="C6" s="14" t="s">
        <v>1106</v>
      </c>
      <c r="D6" s="14" t="s">
        <v>1106</v>
      </c>
      <c r="E6" s="14" t="s">
        <v>1106</v>
      </c>
      <c r="F6" s="14" t="s">
        <v>1100</v>
      </c>
      <c r="G6" s="14" t="s">
        <v>1105</v>
      </c>
      <c r="H6" s="14">
        <v>45968065</v>
      </c>
      <c r="I6" s="14" t="s">
        <v>377</v>
      </c>
      <c r="J6" s="14" t="s">
        <v>378</v>
      </c>
      <c r="K6" s="14" t="s">
        <v>378</v>
      </c>
      <c r="L6" s="14" t="s">
        <v>378</v>
      </c>
      <c r="M6" s="14" t="s">
        <v>46</v>
      </c>
      <c r="N6" s="14" t="s">
        <v>90</v>
      </c>
      <c r="O6" s="14" t="s">
        <v>117</v>
      </c>
      <c r="P6" s="14" t="s">
        <v>36</v>
      </c>
      <c r="Q6" s="14" t="s">
        <v>37</v>
      </c>
      <c r="R6" s="14" t="s">
        <v>50</v>
      </c>
      <c r="S6" s="14" t="s">
        <v>39</v>
      </c>
      <c r="T6" s="14" t="s">
        <v>41</v>
      </c>
      <c r="U6" s="14" t="s">
        <v>39</v>
      </c>
      <c r="V6" s="14" t="s">
        <v>41</v>
      </c>
      <c r="W6" s="14" t="s">
        <v>41</v>
      </c>
      <c r="X6" s="14" t="s">
        <v>39</v>
      </c>
      <c r="Y6" s="14" t="s">
        <v>39</v>
      </c>
      <c r="Z6" s="14" t="s">
        <v>40</v>
      </c>
      <c r="AA6" s="14" t="s">
        <v>41</v>
      </c>
      <c r="AB6" s="14" t="s">
        <v>494</v>
      </c>
      <c r="AC6" s="14" t="s">
        <v>448</v>
      </c>
      <c r="AD6" s="14" t="s">
        <v>531</v>
      </c>
      <c r="AE6" s="14" t="s">
        <v>887</v>
      </c>
      <c r="AF6" s="15">
        <v>45893.373611111114</v>
      </c>
      <c r="AG6" s="15">
        <v>45888.373611111114</v>
      </c>
      <c r="AH6" s="14">
        <v>49.4</v>
      </c>
      <c r="AI6" s="14">
        <v>0</v>
      </c>
      <c r="AJ6" s="14" t="s">
        <v>940</v>
      </c>
      <c r="AK6" s="14">
        <v>3</v>
      </c>
      <c r="AL6" s="14">
        <v>1</v>
      </c>
    </row>
    <row r="7" spans="1:38" x14ac:dyDescent="0.2">
      <c r="A7" s="14" t="s">
        <v>1106</v>
      </c>
      <c r="B7" s="14" t="s">
        <v>1106</v>
      </c>
      <c r="C7" s="14" t="s">
        <v>1106</v>
      </c>
      <c r="D7" s="14" t="s">
        <v>1106</v>
      </c>
      <c r="E7" s="14" t="s">
        <v>1106</v>
      </c>
      <c r="F7" s="14" t="s">
        <v>1100</v>
      </c>
      <c r="G7" s="14" t="s">
        <v>1105</v>
      </c>
      <c r="H7" s="14">
        <v>45793976</v>
      </c>
      <c r="I7" s="14" t="s">
        <v>361</v>
      </c>
      <c r="J7" s="14" t="s">
        <v>362</v>
      </c>
      <c r="K7" s="14" t="s">
        <v>362</v>
      </c>
      <c r="L7" s="14" t="s">
        <v>362</v>
      </c>
      <c r="M7" s="14" t="s">
        <v>46</v>
      </c>
      <c r="N7" s="14" t="s">
        <v>105</v>
      </c>
      <c r="O7" s="14" t="s">
        <v>112</v>
      </c>
      <c r="P7" s="14" t="s">
        <v>48</v>
      </c>
      <c r="Q7" s="14" t="s">
        <v>37</v>
      </c>
      <c r="R7" s="14" t="s">
        <v>50</v>
      </c>
      <c r="S7" s="14" t="s">
        <v>39</v>
      </c>
      <c r="T7" s="14" t="s">
        <v>39</v>
      </c>
      <c r="U7" s="14" t="s">
        <v>39</v>
      </c>
      <c r="V7" s="14" t="s">
        <v>41</v>
      </c>
      <c r="W7" s="14" t="s">
        <v>41</v>
      </c>
      <c r="X7" s="14" t="s">
        <v>39</v>
      </c>
      <c r="Y7" s="14" t="s">
        <v>39</v>
      </c>
      <c r="Z7" s="14" t="s">
        <v>40</v>
      </c>
      <c r="AA7" s="14" t="s">
        <v>41</v>
      </c>
      <c r="AB7" s="14" t="s">
        <v>461</v>
      </c>
      <c r="AC7" s="14" t="s">
        <v>112</v>
      </c>
      <c r="AD7" s="14" t="s">
        <v>492</v>
      </c>
      <c r="AE7" s="14" t="s">
        <v>887</v>
      </c>
      <c r="AF7" s="15">
        <v>45878.518750000003</v>
      </c>
      <c r="AG7" s="15">
        <v>45873.518750000003</v>
      </c>
      <c r="AH7" s="14">
        <v>64.2</v>
      </c>
      <c r="AI7" s="14">
        <v>0</v>
      </c>
      <c r="AJ7" s="14" t="s">
        <v>966</v>
      </c>
      <c r="AK7" s="14">
        <v>3</v>
      </c>
      <c r="AL7" s="14">
        <v>1</v>
      </c>
    </row>
    <row r="8" spans="1:38" x14ac:dyDescent="0.2">
      <c r="A8" s="14" t="s">
        <v>1106</v>
      </c>
      <c r="B8" s="14" t="s">
        <v>1106</v>
      </c>
      <c r="C8" s="14" t="s">
        <v>1106</v>
      </c>
      <c r="D8" s="14" t="s">
        <v>1106</v>
      </c>
      <c r="E8" s="14" t="s">
        <v>1106</v>
      </c>
      <c r="F8" s="14" t="s">
        <v>1100</v>
      </c>
      <c r="G8" s="14" t="s">
        <v>1105</v>
      </c>
      <c r="H8" s="14">
        <v>45606411</v>
      </c>
      <c r="I8" s="14" t="s">
        <v>290</v>
      </c>
      <c r="J8" s="14" t="s">
        <v>291</v>
      </c>
      <c r="K8" s="14" t="s">
        <v>291</v>
      </c>
      <c r="L8" s="14" t="s">
        <v>291</v>
      </c>
      <c r="M8" s="14" t="s">
        <v>53</v>
      </c>
      <c r="N8" s="14" t="s">
        <v>89</v>
      </c>
      <c r="O8" s="14" t="s">
        <v>54</v>
      </c>
      <c r="P8" s="14" t="s">
        <v>48</v>
      </c>
      <c r="Q8" s="14" t="s">
        <v>37</v>
      </c>
      <c r="R8" s="14" t="s">
        <v>289</v>
      </c>
      <c r="S8" s="14" t="s">
        <v>39</v>
      </c>
      <c r="T8" s="14" t="s">
        <v>39</v>
      </c>
      <c r="U8" s="14" t="s">
        <v>39</v>
      </c>
      <c r="V8" s="14" t="s">
        <v>41</v>
      </c>
      <c r="W8" s="14" t="s">
        <v>41</v>
      </c>
      <c r="X8" s="14" t="s">
        <v>39</v>
      </c>
      <c r="Y8" s="14" t="s">
        <v>39</v>
      </c>
      <c r="Z8" s="14" t="s">
        <v>40</v>
      </c>
      <c r="AA8" s="14" t="s">
        <v>41</v>
      </c>
      <c r="AB8" s="14" t="s">
        <v>461</v>
      </c>
      <c r="AC8" s="14" t="s">
        <v>477</v>
      </c>
      <c r="AD8" s="14" t="s">
        <v>531</v>
      </c>
      <c r="AE8" s="14" t="s">
        <v>887</v>
      </c>
      <c r="AF8" s="15">
        <v>45878.51458333333</v>
      </c>
      <c r="AG8" s="15">
        <v>45873.51458333333</v>
      </c>
      <c r="AH8" s="14">
        <v>64.2</v>
      </c>
      <c r="AI8" s="14">
        <v>0</v>
      </c>
      <c r="AJ8" s="14" t="s">
        <v>934</v>
      </c>
      <c r="AK8" s="14">
        <v>3</v>
      </c>
      <c r="AL8" s="14">
        <v>1</v>
      </c>
    </row>
    <row r="9" spans="1:38" x14ac:dyDescent="0.2">
      <c r="A9" s="14" t="s">
        <v>1106</v>
      </c>
      <c r="B9" s="14" t="s">
        <v>1106</v>
      </c>
      <c r="C9" s="14" t="s">
        <v>1106</v>
      </c>
      <c r="D9" s="14" t="s">
        <v>1106</v>
      </c>
      <c r="E9" s="14" t="s">
        <v>1106</v>
      </c>
      <c r="F9" s="14" t="s">
        <v>1100</v>
      </c>
      <c r="G9" s="14" t="s">
        <v>1105</v>
      </c>
      <c r="H9" s="14">
        <v>45764004</v>
      </c>
      <c r="I9" s="14" t="s">
        <v>321</v>
      </c>
      <c r="J9" s="14" t="s">
        <v>322</v>
      </c>
      <c r="K9" s="14" t="s">
        <v>322</v>
      </c>
      <c r="L9" s="14" t="s">
        <v>322</v>
      </c>
      <c r="M9" s="14" t="s">
        <v>53</v>
      </c>
      <c r="N9" s="14" t="s">
        <v>46</v>
      </c>
      <c r="O9" s="14" t="s">
        <v>60</v>
      </c>
      <c r="P9" s="14" t="s">
        <v>48</v>
      </c>
      <c r="Q9" s="14" t="s">
        <v>49</v>
      </c>
      <c r="R9" s="14" t="s">
        <v>50</v>
      </c>
      <c r="S9" s="14" t="s">
        <v>39</v>
      </c>
      <c r="T9" s="14" t="s">
        <v>39</v>
      </c>
      <c r="U9" s="14" t="s">
        <v>39</v>
      </c>
      <c r="V9" s="14" t="s">
        <v>41</v>
      </c>
      <c r="W9" s="14" t="s">
        <v>41</v>
      </c>
      <c r="X9" s="14" t="s">
        <v>39</v>
      </c>
      <c r="Y9" s="14" t="s">
        <v>39</v>
      </c>
      <c r="Z9" s="14" t="s">
        <v>39</v>
      </c>
      <c r="AA9" s="14" t="s">
        <v>41</v>
      </c>
      <c r="AB9" s="14" t="s">
        <v>461</v>
      </c>
      <c r="AC9" s="14" t="s">
        <v>448</v>
      </c>
      <c r="AD9" s="14" t="s">
        <v>492</v>
      </c>
      <c r="AE9" s="14" t="s">
        <v>887</v>
      </c>
      <c r="AF9" s="15">
        <v>45880.637499999997</v>
      </c>
      <c r="AG9" s="15">
        <v>45875.637499999997</v>
      </c>
      <c r="AH9" s="14">
        <v>62.1</v>
      </c>
      <c r="AI9" s="14">
        <v>0</v>
      </c>
      <c r="AJ9" s="14" t="s">
        <v>954</v>
      </c>
      <c r="AK9" s="14">
        <v>3</v>
      </c>
      <c r="AL9" s="14">
        <v>0</v>
      </c>
    </row>
    <row r="10" spans="1:38" x14ac:dyDescent="0.2">
      <c r="A10" s="14" t="s">
        <v>1106</v>
      </c>
      <c r="B10" s="14" t="s">
        <v>1106</v>
      </c>
      <c r="C10" s="14" t="s">
        <v>1106</v>
      </c>
      <c r="D10" s="14" t="s">
        <v>1106</v>
      </c>
      <c r="E10" s="14" t="s">
        <v>1106</v>
      </c>
      <c r="F10" s="14" t="s">
        <v>1100</v>
      </c>
      <c r="G10" s="14" t="s">
        <v>1105</v>
      </c>
      <c r="H10" s="14">
        <v>44937909</v>
      </c>
      <c r="I10" s="14" t="s">
        <v>109</v>
      </c>
      <c r="J10" s="14" t="s">
        <v>110</v>
      </c>
      <c r="K10" s="14" t="s">
        <v>110</v>
      </c>
      <c r="L10" s="14" t="s">
        <v>110</v>
      </c>
      <c r="M10" s="14" t="s">
        <v>111</v>
      </c>
      <c r="N10" s="14">
        <v>0</v>
      </c>
      <c r="O10" s="14" t="s">
        <v>112</v>
      </c>
      <c r="P10" s="14" t="s">
        <v>48</v>
      </c>
      <c r="Q10" s="14" t="s">
        <v>49</v>
      </c>
      <c r="R10" s="14" t="s">
        <v>74</v>
      </c>
      <c r="S10" s="14" t="s">
        <v>39</v>
      </c>
      <c r="T10" s="14" t="s">
        <v>39</v>
      </c>
      <c r="U10" s="14" t="s">
        <v>39</v>
      </c>
      <c r="V10" s="14" t="s">
        <v>41</v>
      </c>
      <c r="W10" s="14" t="s">
        <v>41</v>
      </c>
      <c r="X10" s="14" t="s">
        <v>39</v>
      </c>
      <c r="Y10" s="14" t="s">
        <v>39</v>
      </c>
      <c r="Z10" s="14" t="s">
        <v>40</v>
      </c>
      <c r="AA10" s="14" t="s">
        <v>41</v>
      </c>
      <c r="AB10" s="14" t="s">
        <v>461</v>
      </c>
      <c r="AC10" s="14" t="s">
        <v>112</v>
      </c>
      <c r="AD10" s="14" t="s">
        <v>492</v>
      </c>
      <c r="AE10" s="14" t="s">
        <v>956</v>
      </c>
      <c r="AF10" s="14" t="s">
        <v>1104</v>
      </c>
      <c r="AG10" s="15">
        <v>45708.541666666664</v>
      </c>
      <c r="AH10" s="14">
        <v>229.2</v>
      </c>
      <c r="AI10" s="14">
        <v>0</v>
      </c>
      <c r="AJ10" s="14" t="s">
        <v>944</v>
      </c>
      <c r="AK10" s="14">
        <v>3</v>
      </c>
      <c r="AL10" s="14">
        <v>1</v>
      </c>
    </row>
    <row r="11" spans="1:38" x14ac:dyDescent="0.2">
      <c r="A11" s="14" t="s">
        <v>1106</v>
      </c>
      <c r="B11" s="14" t="s">
        <v>1106</v>
      </c>
      <c r="C11" s="14" t="s">
        <v>1106</v>
      </c>
      <c r="D11" s="14" t="s">
        <v>1106</v>
      </c>
      <c r="E11" s="14" t="s">
        <v>1106</v>
      </c>
      <c r="F11" s="14" t="s">
        <v>1100</v>
      </c>
      <c r="G11" s="14" t="s">
        <v>1105</v>
      </c>
      <c r="H11" s="14">
        <v>45472786</v>
      </c>
      <c r="I11" s="14" t="s">
        <v>245</v>
      </c>
      <c r="J11" s="14" t="s">
        <v>666</v>
      </c>
      <c r="K11" s="14" t="s">
        <v>666</v>
      </c>
      <c r="L11" s="14" t="s">
        <v>666</v>
      </c>
      <c r="M11" s="14" t="s">
        <v>46</v>
      </c>
      <c r="N11" s="14" t="s">
        <v>53</v>
      </c>
      <c r="O11" s="14" t="s">
        <v>82</v>
      </c>
      <c r="P11" s="14" t="s">
        <v>36</v>
      </c>
      <c r="Q11" s="14" t="s">
        <v>37</v>
      </c>
      <c r="R11" s="14" t="s">
        <v>50</v>
      </c>
      <c r="S11" s="14" t="s">
        <v>39</v>
      </c>
      <c r="T11" s="14" t="s">
        <v>39</v>
      </c>
      <c r="U11" s="14" t="s">
        <v>39</v>
      </c>
      <c r="V11" s="14" t="s">
        <v>41</v>
      </c>
      <c r="W11" s="14" t="s">
        <v>41</v>
      </c>
      <c r="X11" s="14" t="s">
        <v>39</v>
      </c>
      <c r="Y11" s="14" t="s">
        <v>39</v>
      </c>
      <c r="Z11" s="14" t="s">
        <v>40</v>
      </c>
      <c r="AA11" s="14" t="s">
        <v>41</v>
      </c>
      <c r="AB11" s="14" t="s">
        <v>461</v>
      </c>
      <c r="AC11" s="14" t="s">
        <v>477</v>
      </c>
      <c r="AD11" s="14" t="s">
        <v>492</v>
      </c>
      <c r="AE11" s="14" t="s">
        <v>922</v>
      </c>
      <c r="AF11" s="15">
        <v>45852.512499999997</v>
      </c>
      <c r="AG11" s="15">
        <v>45847.512499999997</v>
      </c>
      <c r="AH11" s="14">
        <v>90.2</v>
      </c>
      <c r="AI11" s="14" t="s">
        <v>990</v>
      </c>
      <c r="AJ11" s="14" t="s">
        <v>936</v>
      </c>
      <c r="AK11" s="14">
        <v>1</v>
      </c>
      <c r="AL11" s="14">
        <v>0</v>
      </c>
    </row>
    <row r="12" spans="1:38" x14ac:dyDescent="0.2">
      <c r="A12" s="14" t="s">
        <v>1106</v>
      </c>
      <c r="B12" s="14" t="s">
        <v>1106</v>
      </c>
      <c r="C12" s="14" t="s">
        <v>1106</v>
      </c>
      <c r="D12" s="14" t="s">
        <v>1106</v>
      </c>
      <c r="E12" s="14" t="s">
        <v>1106</v>
      </c>
      <c r="F12" s="14" t="s">
        <v>1100</v>
      </c>
      <c r="G12" s="14" t="s">
        <v>1105</v>
      </c>
      <c r="H12" s="14">
        <v>45472546</v>
      </c>
      <c r="I12" s="14" t="s">
        <v>258</v>
      </c>
      <c r="J12" s="14" t="s">
        <v>259</v>
      </c>
      <c r="K12" s="14" t="s">
        <v>259</v>
      </c>
      <c r="L12" s="14" t="s">
        <v>259</v>
      </c>
      <c r="M12" s="14" t="s">
        <v>72</v>
      </c>
      <c r="N12" s="14" t="s">
        <v>173</v>
      </c>
      <c r="O12" s="14" t="s">
        <v>54</v>
      </c>
      <c r="P12" s="14" t="s">
        <v>48</v>
      </c>
      <c r="Q12" s="14" t="s">
        <v>49</v>
      </c>
      <c r="R12" s="14" t="s">
        <v>74</v>
      </c>
      <c r="S12" s="14" t="s">
        <v>39</v>
      </c>
      <c r="T12" s="14" t="s">
        <v>39</v>
      </c>
      <c r="U12" s="14" t="s">
        <v>39</v>
      </c>
      <c r="V12" s="14" t="s">
        <v>41</v>
      </c>
      <c r="W12" s="14" t="s">
        <v>41</v>
      </c>
      <c r="X12" s="14" t="s">
        <v>39</v>
      </c>
      <c r="Y12" s="14" t="s">
        <v>39</v>
      </c>
      <c r="Z12" s="14" t="s">
        <v>40</v>
      </c>
      <c r="AA12" s="14" t="s">
        <v>41</v>
      </c>
      <c r="AB12" s="14" t="s">
        <v>461</v>
      </c>
      <c r="AC12" s="14" t="s">
        <v>477</v>
      </c>
      <c r="AD12" s="14" t="s">
        <v>458</v>
      </c>
      <c r="AE12" s="14" t="s">
        <v>896</v>
      </c>
      <c r="AF12" s="14" t="s">
        <v>1104</v>
      </c>
      <c r="AG12" s="15">
        <v>45830.546527777777</v>
      </c>
      <c r="AH12" s="14">
        <v>107.2</v>
      </c>
      <c r="AI12" s="14">
        <v>0</v>
      </c>
      <c r="AJ12" s="14" t="s">
        <v>998</v>
      </c>
      <c r="AK12" s="14">
        <v>3</v>
      </c>
      <c r="AL12" s="14">
        <v>1</v>
      </c>
    </row>
    <row r="13" spans="1:38" x14ac:dyDescent="0.2">
      <c r="A13" s="14" t="s">
        <v>1106</v>
      </c>
      <c r="B13" s="14" t="s">
        <v>1106</v>
      </c>
      <c r="C13" s="14" t="s">
        <v>1106</v>
      </c>
      <c r="D13" s="14" t="s">
        <v>1106</v>
      </c>
      <c r="E13" s="14" t="s">
        <v>1106</v>
      </c>
      <c r="F13" s="14" t="s">
        <v>1100</v>
      </c>
      <c r="G13" s="14" t="s">
        <v>1105</v>
      </c>
      <c r="H13" s="14">
        <v>44938825</v>
      </c>
      <c r="I13" s="14" t="s">
        <v>129</v>
      </c>
      <c r="J13" s="14" t="s">
        <v>130</v>
      </c>
      <c r="K13" s="14" t="s">
        <v>130</v>
      </c>
      <c r="L13" s="14" t="s">
        <v>130</v>
      </c>
      <c r="M13" s="14" t="s">
        <v>46</v>
      </c>
      <c r="N13" s="14">
        <v>0</v>
      </c>
      <c r="O13" s="14" t="s">
        <v>82</v>
      </c>
      <c r="P13" s="14" t="s">
        <v>36</v>
      </c>
      <c r="Q13" s="14" t="s">
        <v>49</v>
      </c>
      <c r="R13" s="14" t="s">
        <v>50</v>
      </c>
      <c r="S13" s="14" t="s">
        <v>39</v>
      </c>
      <c r="T13" s="14" t="s">
        <v>39</v>
      </c>
      <c r="U13" s="14" t="s">
        <v>39</v>
      </c>
      <c r="V13" s="14" t="s">
        <v>41</v>
      </c>
      <c r="W13" s="14" t="s">
        <v>41</v>
      </c>
      <c r="X13" s="14" t="s">
        <v>39</v>
      </c>
      <c r="Y13" s="14" t="s">
        <v>39</v>
      </c>
      <c r="Z13" s="14" t="s">
        <v>40</v>
      </c>
      <c r="AA13" s="14" t="s">
        <v>41</v>
      </c>
      <c r="AB13" s="14" t="s">
        <v>461</v>
      </c>
      <c r="AC13" s="14" t="s">
        <v>474</v>
      </c>
      <c r="AD13" s="14" t="s">
        <v>492</v>
      </c>
      <c r="AE13" s="14" t="s">
        <v>887</v>
      </c>
      <c r="AF13" s="15">
        <v>45761.606249999997</v>
      </c>
      <c r="AG13" s="15">
        <v>45756.606249999997</v>
      </c>
      <c r="AH13" s="14">
        <v>181.1</v>
      </c>
      <c r="AI13" s="14">
        <v>0</v>
      </c>
      <c r="AJ13" s="14" t="s">
        <v>916</v>
      </c>
      <c r="AK13" s="14">
        <v>3</v>
      </c>
      <c r="AL13" s="14">
        <v>1</v>
      </c>
    </row>
    <row r="14" spans="1:38" x14ac:dyDescent="0.2">
      <c r="A14" s="14" t="s">
        <v>1106</v>
      </c>
      <c r="B14" s="14" t="s">
        <v>1106</v>
      </c>
      <c r="C14" s="14" t="s">
        <v>1106</v>
      </c>
      <c r="D14" s="14" t="s">
        <v>1106</v>
      </c>
      <c r="E14" s="14" t="s">
        <v>1106</v>
      </c>
      <c r="F14" s="14" t="s">
        <v>1100</v>
      </c>
      <c r="G14" s="14" t="s">
        <v>1105</v>
      </c>
      <c r="H14" s="14">
        <v>45969544</v>
      </c>
      <c r="I14" s="14" t="s">
        <v>393</v>
      </c>
      <c r="J14" s="14" t="s">
        <v>394</v>
      </c>
      <c r="K14" s="14" t="s">
        <v>394</v>
      </c>
      <c r="L14" s="14" t="s">
        <v>394</v>
      </c>
      <c r="M14" s="14" t="s">
        <v>46</v>
      </c>
      <c r="N14" s="14" t="s">
        <v>53</v>
      </c>
      <c r="O14" s="14" t="s">
        <v>146</v>
      </c>
      <c r="P14" s="14" t="s">
        <v>36</v>
      </c>
      <c r="Q14" s="14" t="s">
        <v>37</v>
      </c>
      <c r="R14" s="14" t="s">
        <v>289</v>
      </c>
      <c r="S14" s="14" t="s">
        <v>39</v>
      </c>
      <c r="T14" s="14" t="s">
        <v>41</v>
      </c>
      <c r="U14" s="14" t="s">
        <v>39</v>
      </c>
      <c r="V14" s="14" t="s">
        <v>41</v>
      </c>
      <c r="W14" s="14" t="s">
        <v>41</v>
      </c>
      <c r="X14" s="14" t="s">
        <v>39</v>
      </c>
      <c r="Y14" s="14" t="s">
        <v>39</v>
      </c>
      <c r="Z14" s="14" t="s">
        <v>39</v>
      </c>
      <c r="AA14" s="14" t="s">
        <v>41</v>
      </c>
      <c r="AB14" s="14" t="s">
        <v>494</v>
      </c>
      <c r="AC14" s="14" t="s">
        <v>448</v>
      </c>
      <c r="AD14" s="14" t="s">
        <v>531</v>
      </c>
      <c r="AE14" s="14" t="s">
        <v>922</v>
      </c>
      <c r="AF14" s="15">
        <v>45908.617361111108</v>
      </c>
      <c r="AG14" s="15">
        <v>45903.617361111108</v>
      </c>
      <c r="AH14" s="14">
        <v>34.1</v>
      </c>
      <c r="AI14" s="14">
        <v>0</v>
      </c>
      <c r="AJ14" s="14" t="s">
        <v>942</v>
      </c>
      <c r="AK14" s="14">
        <v>3</v>
      </c>
      <c r="AL14" s="14">
        <v>0</v>
      </c>
    </row>
    <row r="15" spans="1:38" x14ac:dyDescent="0.2">
      <c r="A15" s="14" t="s">
        <v>1106</v>
      </c>
      <c r="B15" s="14" t="s">
        <v>1106</v>
      </c>
      <c r="C15" s="14" t="s">
        <v>1106</v>
      </c>
      <c r="D15" s="14" t="s">
        <v>1106</v>
      </c>
      <c r="E15" s="14" t="s">
        <v>1106</v>
      </c>
      <c r="F15" s="14" t="s">
        <v>1100</v>
      </c>
      <c r="G15" s="14" t="s">
        <v>1105</v>
      </c>
      <c r="H15" s="14">
        <v>45606729</v>
      </c>
      <c r="I15" s="14" t="s">
        <v>292</v>
      </c>
      <c r="J15" s="14" t="s">
        <v>293</v>
      </c>
      <c r="K15" s="14" t="s">
        <v>703</v>
      </c>
      <c r="L15" s="14" t="s">
        <v>703</v>
      </c>
      <c r="M15" s="14" t="s">
        <v>53</v>
      </c>
      <c r="N15" s="14">
        <v>0</v>
      </c>
      <c r="O15" s="14" t="s">
        <v>146</v>
      </c>
      <c r="P15" s="14" t="s">
        <v>48</v>
      </c>
      <c r="Q15" s="14" t="s">
        <v>37</v>
      </c>
      <c r="R15" s="14" t="s">
        <v>50</v>
      </c>
      <c r="S15" s="14" t="s">
        <v>39</v>
      </c>
      <c r="T15" s="14" t="s">
        <v>39</v>
      </c>
      <c r="U15" s="14" t="s">
        <v>39</v>
      </c>
      <c r="V15" s="14" t="s">
        <v>41</v>
      </c>
      <c r="W15" s="14" t="s">
        <v>41</v>
      </c>
      <c r="X15" s="14" t="s">
        <v>39</v>
      </c>
      <c r="Y15" s="14" t="s">
        <v>39</v>
      </c>
      <c r="Z15" s="14" t="s">
        <v>40</v>
      </c>
      <c r="AA15" s="14" t="s">
        <v>41</v>
      </c>
      <c r="AB15" s="14" t="s">
        <v>461</v>
      </c>
      <c r="AC15" s="14" t="s">
        <v>448</v>
      </c>
      <c r="AD15" s="14" t="s">
        <v>446</v>
      </c>
      <c r="AE15" s="14" t="s">
        <v>922</v>
      </c>
      <c r="AF15" s="15">
        <v>45875.531944444447</v>
      </c>
      <c r="AG15" s="15">
        <v>45870.531944444447</v>
      </c>
      <c r="AH15" s="14">
        <v>67.2</v>
      </c>
      <c r="AI15" s="14">
        <v>0</v>
      </c>
      <c r="AJ15" s="14" t="s">
        <v>978</v>
      </c>
      <c r="AK15" s="14">
        <v>3</v>
      </c>
      <c r="AL15" s="14">
        <v>1</v>
      </c>
    </row>
    <row r="16" spans="1:38" x14ac:dyDescent="0.2">
      <c r="A16" s="14" t="s">
        <v>1106</v>
      </c>
      <c r="B16" s="14" t="s">
        <v>1106</v>
      </c>
      <c r="C16" s="14" t="s">
        <v>1106</v>
      </c>
      <c r="D16" s="14" t="s">
        <v>1106</v>
      </c>
      <c r="E16" s="14" t="s">
        <v>1106</v>
      </c>
      <c r="F16" s="14" t="s">
        <v>1100</v>
      </c>
      <c r="G16" s="14" t="s">
        <v>1105</v>
      </c>
      <c r="H16" s="14">
        <v>45969485</v>
      </c>
      <c r="I16" s="14" t="s">
        <v>403</v>
      </c>
      <c r="J16" s="14" t="s">
        <v>404</v>
      </c>
      <c r="K16" s="14" t="s">
        <v>404</v>
      </c>
      <c r="L16" s="14" t="s">
        <v>404</v>
      </c>
      <c r="M16" s="14" t="s">
        <v>46</v>
      </c>
      <c r="N16" s="14" t="s">
        <v>53</v>
      </c>
      <c r="O16" s="14" t="s">
        <v>286</v>
      </c>
      <c r="P16" s="14" t="s">
        <v>36</v>
      </c>
      <c r="Q16" s="14" t="s">
        <v>37</v>
      </c>
      <c r="R16" s="14" t="s">
        <v>50</v>
      </c>
      <c r="S16" s="14" t="s">
        <v>39</v>
      </c>
      <c r="T16" s="14" t="s">
        <v>41</v>
      </c>
      <c r="U16" s="14" t="s">
        <v>39</v>
      </c>
      <c r="V16" s="14" t="s">
        <v>41</v>
      </c>
      <c r="W16" s="14" t="s">
        <v>41</v>
      </c>
      <c r="X16" s="14" t="s">
        <v>39</v>
      </c>
      <c r="Y16" s="14" t="s">
        <v>39</v>
      </c>
      <c r="Z16" s="14" t="s">
        <v>39</v>
      </c>
      <c r="AA16" s="14" t="s">
        <v>41</v>
      </c>
      <c r="AB16" s="14" t="s">
        <v>494</v>
      </c>
      <c r="AC16" s="14" t="s">
        <v>286</v>
      </c>
      <c r="AD16" s="14" t="s">
        <v>531</v>
      </c>
      <c r="AE16" s="14" t="s">
        <v>887</v>
      </c>
      <c r="AF16" s="15">
        <v>45901.598611111112</v>
      </c>
      <c r="AG16" s="15">
        <v>45896.598611111112</v>
      </c>
      <c r="AH16" s="14">
        <v>41.1</v>
      </c>
      <c r="AI16" s="14">
        <v>0</v>
      </c>
      <c r="AJ16" s="14" t="s">
        <v>909</v>
      </c>
      <c r="AK16" s="14">
        <v>1</v>
      </c>
      <c r="AL16" s="14">
        <v>1</v>
      </c>
    </row>
    <row r="17" spans="1:38" x14ac:dyDescent="0.2">
      <c r="A17" s="14" t="s">
        <v>1106</v>
      </c>
      <c r="B17" s="14" t="s">
        <v>1106</v>
      </c>
      <c r="C17" s="14" t="s">
        <v>1106</v>
      </c>
      <c r="D17" s="14" t="s">
        <v>1106</v>
      </c>
      <c r="E17" s="14" t="s">
        <v>1106</v>
      </c>
      <c r="F17" s="14" t="s">
        <v>1100</v>
      </c>
      <c r="G17" s="14" t="s">
        <v>1105</v>
      </c>
      <c r="H17" s="14">
        <v>45969340</v>
      </c>
      <c r="I17" s="14" t="s">
        <v>412</v>
      </c>
      <c r="J17" s="14" t="s">
        <v>413</v>
      </c>
      <c r="K17" s="14" t="s">
        <v>413</v>
      </c>
      <c r="L17" s="14" t="s">
        <v>413</v>
      </c>
      <c r="M17" s="14" t="s">
        <v>46</v>
      </c>
      <c r="N17" s="14" t="s">
        <v>53</v>
      </c>
      <c r="O17" s="14" t="s">
        <v>69</v>
      </c>
      <c r="P17" s="14" t="s">
        <v>36</v>
      </c>
      <c r="Q17" s="14" t="s">
        <v>37</v>
      </c>
      <c r="R17" s="14" t="s">
        <v>50</v>
      </c>
      <c r="S17" s="14" t="s">
        <v>39</v>
      </c>
      <c r="T17" s="14" t="s">
        <v>41</v>
      </c>
      <c r="U17" s="14" t="s">
        <v>39</v>
      </c>
      <c r="V17" s="14" t="s">
        <v>41</v>
      </c>
      <c r="W17" s="14" t="s">
        <v>41</v>
      </c>
      <c r="X17" s="14" t="s">
        <v>39</v>
      </c>
      <c r="Y17" s="14" t="s">
        <v>39</v>
      </c>
      <c r="Z17" s="14" t="s">
        <v>39</v>
      </c>
      <c r="AA17" s="14" t="s">
        <v>41</v>
      </c>
      <c r="AB17" s="14" t="s">
        <v>494</v>
      </c>
      <c r="AC17" s="14" t="s">
        <v>112</v>
      </c>
      <c r="AD17" s="14" t="s">
        <v>531</v>
      </c>
      <c r="AE17" s="14" t="s">
        <v>887</v>
      </c>
      <c r="AF17" s="15">
        <v>45901.598611111112</v>
      </c>
      <c r="AG17" s="15">
        <v>45896.598611111112</v>
      </c>
      <c r="AH17" s="14">
        <v>41.1</v>
      </c>
      <c r="AI17" s="14">
        <v>0</v>
      </c>
      <c r="AJ17" s="14" t="s">
        <v>909</v>
      </c>
      <c r="AK17" s="14">
        <v>2</v>
      </c>
      <c r="AL17" s="14">
        <v>0</v>
      </c>
    </row>
    <row r="18" spans="1:38" x14ac:dyDescent="0.2">
      <c r="A18" s="14" t="s">
        <v>1106</v>
      </c>
      <c r="B18" s="14" t="s">
        <v>1106</v>
      </c>
      <c r="C18" s="14" t="s">
        <v>1106</v>
      </c>
      <c r="D18" s="14" t="s">
        <v>1106</v>
      </c>
      <c r="E18" s="14" t="s">
        <v>1106</v>
      </c>
      <c r="F18" s="14" t="s">
        <v>1100</v>
      </c>
      <c r="G18" s="14" t="s">
        <v>1105</v>
      </c>
      <c r="H18" s="14">
        <v>45764075</v>
      </c>
      <c r="I18" s="14" t="s">
        <v>353</v>
      </c>
      <c r="J18" s="14" t="s">
        <v>354</v>
      </c>
      <c r="K18" s="14" t="s">
        <v>354</v>
      </c>
      <c r="L18" s="14" t="s">
        <v>354</v>
      </c>
      <c r="M18" s="14" t="s">
        <v>53</v>
      </c>
      <c r="N18" s="14" t="s">
        <v>46</v>
      </c>
      <c r="O18" s="14" t="s">
        <v>307</v>
      </c>
      <c r="P18" s="14" t="s">
        <v>36</v>
      </c>
      <c r="Q18" s="14" t="s">
        <v>49</v>
      </c>
      <c r="R18" s="14" t="s">
        <v>50</v>
      </c>
      <c r="S18" s="14" t="s">
        <v>39</v>
      </c>
      <c r="T18" s="14" t="s">
        <v>41</v>
      </c>
      <c r="U18" s="14" t="s">
        <v>39</v>
      </c>
      <c r="V18" s="14" t="s">
        <v>41</v>
      </c>
      <c r="W18" s="14" t="s">
        <v>41</v>
      </c>
      <c r="X18" s="14" t="s">
        <v>39</v>
      </c>
      <c r="Y18" s="14" t="s">
        <v>39</v>
      </c>
      <c r="Z18" s="14" t="s">
        <v>40</v>
      </c>
      <c r="AA18" s="14" t="s">
        <v>41</v>
      </c>
      <c r="AB18" s="14" t="s">
        <v>494</v>
      </c>
      <c r="AC18" s="14" t="s">
        <v>286</v>
      </c>
      <c r="AD18" s="14" t="s">
        <v>458</v>
      </c>
      <c r="AE18" s="14" t="s">
        <v>887</v>
      </c>
      <c r="AF18" s="15">
        <v>45893.593055555553</v>
      </c>
      <c r="AG18" s="15">
        <v>45888.593055555553</v>
      </c>
      <c r="AH18" s="14">
        <v>49.1</v>
      </c>
      <c r="AI18" s="14">
        <v>0</v>
      </c>
      <c r="AJ18" s="14" t="s">
        <v>949</v>
      </c>
      <c r="AK18" s="14">
        <v>2</v>
      </c>
      <c r="AL18" s="14">
        <v>1</v>
      </c>
    </row>
    <row r="19" spans="1:38" x14ac:dyDescent="0.2">
      <c r="A19" s="14" t="s">
        <v>1106</v>
      </c>
      <c r="B19" s="14" t="s">
        <v>1106</v>
      </c>
      <c r="C19" s="14" t="s">
        <v>1106</v>
      </c>
      <c r="D19" s="14" t="s">
        <v>1106</v>
      </c>
      <c r="E19" s="14" t="s">
        <v>1106</v>
      </c>
      <c r="F19" s="14" t="s">
        <v>1100</v>
      </c>
      <c r="G19" s="14" t="s">
        <v>1105</v>
      </c>
      <c r="H19" s="14">
        <v>45764080</v>
      </c>
      <c r="I19" s="14" t="s">
        <v>355</v>
      </c>
      <c r="J19" s="14" t="s">
        <v>356</v>
      </c>
      <c r="K19" s="14" t="s">
        <v>356</v>
      </c>
      <c r="L19" s="14" t="s">
        <v>356</v>
      </c>
      <c r="M19" s="14" t="s">
        <v>46</v>
      </c>
      <c r="N19" s="14" t="s">
        <v>53</v>
      </c>
      <c r="O19" s="14" t="s">
        <v>133</v>
      </c>
      <c r="P19" s="14" t="s">
        <v>36</v>
      </c>
      <c r="Q19" s="14" t="s">
        <v>49</v>
      </c>
      <c r="R19" s="14" t="s">
        <v>50</v>
      </c>
      <c r="S19" s="14" t="s">
        <v>39</v>
      </c>
      <c r="T19" s="14" t="s">
        <v>39</v>
      </c>
      <c r="U19" s="14" t="s">
        <v>39</v>
      </c>
      <c r="V19" s="14" t="s">
        <v>41</v>
      </c>
      <c r="W19" s="14" t="s">
        <v>41</v>
      </c>
      <c r="X19" s="14" t="s">
        <v>39</v>
      </c>
      <c r="Y19" s="14" t="s">
        <v>39</v>
      </c>
      <c r="Z19" s="14" t="s">
        <v>40</v>
      </c>
      <c r="AA19" s="14" t="s">
        <v>41</v>
      </c>
      <c r="AB19" s="14" t="s">
        <v>461</v>
      </c>
      <c r="AC19" s="14" t="s">
        <v>537</v>
      </c>
      <c r="AD19" s="14" t="s">
        <v>458</v>
      </c>
      <c r="AE19" s="14" t="s">
        <v>922</v>
      </c>
      <c r="AF19" s="15">
        <v>45882.565972222219</v>
      </c>
      <c r="AG19" s="15">
        <v>45877.565972222219</v>
      </c>
      <c r="AH19" s="14">
        <v>60.2</v>
      </c>
      <c r="AI19" s="14">
        <v>0</v>
      </c>
      <c r="AJ19" s="14" t="s">
        <v>996</v>
      </c>
      <c r="AK19" s="14">
        <v>3</v>
      </c>
      <c r="AL19" s="14">
        <v>0</v>
      </c>
    </row>
    <row r="20" spans="1:38" x14ac:dyDescent="0.2">
      <c r="A20" s="14" t="s">
        <v>1106</v>
      </c>
      <c r="B20" s="14" t="s">
        <v>1106</v>
      </c>
      <c r="C20" s="14" t="s">
        <v>1106</v>
      </c>
      <c r="D20" s="14" t="s">
        <v>1106</v>
      </c>
      <c r="E20" s="14" t="s">
        <v>1106</v>
      </c>
      <c r="F20" s="14" t="s">
        <v>1100</v>
      </c>
      <c r="G20" s="14" t="s">
        <v>1105</v>
      </c>
      <c r="H20" s="14">
        <v>45969556</v>
      </c>
      <c r="I20" s="14" t="s">
        <v>420</v>
      </c>
      <c r="J20" s="14" t="s">
        <v>421</v>
      </c>
      <c r="K20" s="14" t="s">
        <v>421</v>
      </c>
      <c r="L20" s="14" t="s">
        <v>421</v>
      </c>
      <c r="M20" s="14" t="s">
        <v>46</v>
      </c>
      <c r="N20" s="14" t="s">
        <v>53</v>
      </c>
      <c r="O20" s="14" t="s">
        <v>69</v>
      </c>
      <c r="P20" s="14" t="s">
        <v>48</v>
      </c>
      <c r="Q20" s="14" t="s">
        <v>37</v>
      </c>
      <c r="R20" s="14" t="s">
        <v>289</v>
      </c>
      <c r="S20" s="14" t="s">
        <v>39</v>
      </c>
      <c r="T20" s="14" t="s">
        <v>41</v>
      </c>
      <c r="U20" s="14" t="s">
        <v>39</v>
      </c>
      <c r="V20" s="14" t="s">
        <v>41</v>
      </c>
      <c r="W20" s="14" t="s">
        <v>41</v>
      </c>
      <c r="X20" s="14" t="s">
        <v>39</v>
      </c>
      <c r="Y20" s="14" t="s">
        <v>39</v>
      </c>
      <c r="Z20" s="14" t="s">
        <v>39</v>
      </c>
      <c r="AA20" s="14" t="s">
        <v>41</v>
      </c>
      <c r="AB20" s="14" t="s">
        <v>494</v>
      </c>
      <c r="AC20" s="14" t="s">
        <v>112</v>
      </c>
      <c r="AD20" s="14" t="s">
        <v>531</v>
      </c>
      <c r="AE20" s="14" t="s">
        <v>922</v>
      </c>
      <c r="AF20" s="15">
        <v>45908.617361111108</v>
      </c>
      <c r="AG20" s="15">
        <v>45903.617361111108</v>
      </c>
      <c r="AH20" s="14">
        <v>34.1</v>
      </c>
      <c r="AI20" s="14">
        <v>0</v>
      </c>
      <c r="AJ20" s="14" t="s">
        <v>941</v>
      </c>
      <c r="AK20" s="14">
        <v>3</v>
      </c>
      <c r="AL20" s="14">
        <v>0</v>
      </c>
    </row>
    <row r="21" spans="1:38" x14ac:dyDescent="0.2">
      <c r="A21" s="14" t="s">
        <v>1106</v>
      </c>
      <c r="B21" s="14" t="s">
        <v>1106</v>
      </c>
      <c r="C21" s="14" t="s">
        <v>1106</v>
      </c>
      <c r="D21" s="14" t="s">
        <v>1106</v>
      </c>
      <c r="E21" s="14" t="s">
        <v>1106</v>
      </c>
      <c r="F21" s="14" t="s">
        <v>1100</v>
      </c>
      <c r="G21" s="14" t="s">
        <v>1105</v>
      </c>
      <c r="H21" s="14">
        <v>43635040</v>
      </c>
      <c r="I21" s="14" t="s">
        <v>70</v>
      </c>
      <c r="J21" s="14" t="s">
        <v>71</v>
      </c>
      <c r="K21" s="14" t="s">
        <v>71</v>
      </c>
      <c r="L21" s="14" t="s">
        <v>71</v>
      </c>
      <c r="M21" s="14" t="s">
        <v>72</v>
      </c>
      <c r="N21" s="14">
        <v>0</v>
      </c>
      <c r="O21" s="14" t="s">
        <v>73</v>
      </c>
      <c r="P21" s="14" t="s">
        <v>48</v>
      </c>
      <c r="Q21" s="14" t="s">
        <v>49</v>
      </c>
      <c r="R21" s="14" t="s">
        <v>74</v>
      </c>
      <c r="S21" s="14" t="s">
        <v>41</v>
      </c>
      <c r="T21" s="14" t="s">
        <v>39</v>
      </c>
      <c r="U21" s="14" t="s">
        <v>39</v>
      </c>
      <c r="V21" s="14" t="s">
        <v>41</v>
      </c>
      <c r="W21" s="14" t="s">
        <v>41</v>
      </c>
      <c r="X21" s="14" t="s">
        <v>39</v>
      </c>
      <c r="Y21" s="14" t="s">
        <v>39</v>
      </c>
      <c r="Z21" s="14" t="s">
        <v>40</v>
      </c>
      <c r="AA21" s="14" t="s">
        <v>41</v>
      </c>
      <c r="AB21" s="14" t="s">
        <v>461</v>
      </c>
      <c r="AC21" s="14" t="s">
        <v>138</v>
      </c>
      <c r="AD21" s="14" t="s">
        <v>492</v>
      </c>
      <c r="AE21" s="14" t="s">
        <v>887</v>
      </c>
      <c r="AF21" s="15">
        <v>45593.788194444445</v>
      </c>
      <c r="AG21" s="15">
        <v>45588.788194444445</v>
      </c>
      <c r="AH21" s="14">
        <v>349</v>
      </c>
      <c r="AI21" s="14">
        <v>0</v>
      </c>
      <c r="AJ21" s="14" t="s">
        <v>955</v>
      </c>
      <c r="AK21" s="14">
        <v>3</v>
      </c>
      <c r="AL21" s="14">
        <v>0</v>
      </c>
    </row>
    <row r="22" spans="1:38" x14ac:dyDescent="0.2">
      <c r="A22" s="14" t="s">
        <v>1106</v>
      </c>
      <c r="B22" s="14" t="s">
        <v>1106</v>
      </c>
      <c r="C22" s="14" t="s">
        <v>1106</v>
      </c>
      <c r="D22" s="14" t="s">
        <v>1106</v>
      </c>
      <c r="E22" s="14" t="s">
        <v>1106</v>
      </c>
      <c r="F22" s="14" t="s">
        <v>1100</v>
      </c>
      <c r="G22" s="14" t="s">
        <v>1105</v>
      </c>
      <c r="H22" s="14">
        <v>45969530</v>
      </c>
      <c r="I22" s="14" t="s">
        <v>422</v>
      </c>
      <c r="J22" s="14" t="s">
        <v>1082</v>
      </c>
      <c r="K22" s="14" t="s">
        <v>762</v>
      </c>
      <c r="L22" s="14" t="s">
        <v>762</v>
      </c>
      <c r="M22" s="14" t="s">
        <v>53</v>
      </c>
      <c r="N22" s="14">
        <v>0</v>
      </c>
      <c r="O22" s="14" t="s">
        <v>47</v>
      </c>
      <c r="P22" s="14" t="s">
        <v>36</v>
      </c>
      <c r="Q22" s="14" t="s">
        <v>49</v>
      </c>
      <c r="R22" s="14" t="s">
        <v>50</v>
      </c>
      <c r="S22" s="14" t="s">
        <v>39</v>
      </c>
      <c r="T22" s="14" t="s">
        <v>41</v>
      </c>
      <c r="U22" s="14" t="s">
        <v>39</v>
      </c>
      <c r="V22" s="14" t="s">
        <v>41</v>
      </c>
      <c r="W22" s="14" t="s">
        <v>41</v>
      </c>
      <c r="X22" s="14" t="s">
        <v>39</v>
      </c>
      <c r="Y22" s="14" t="s">
        <v>39</v>
      </c>
      <c r="Z22" s="14" t="s">
        <v>40</v>
      </c>
      <c r="AA22" s="14" t="s">
        <v>41</v>
      </c>
      <c r="AB22" s="14" t="s">
        <v>494</v>
      </c>
      <c r="AC22" s="14" t="s">
        <v>448</v>
      </c>
      <c r="AD22" s="14" t="s">
        <v>446</v>
      </c>
      <c r="AE22" s="14" t="s">
        <v>922</v>
      </c>
      <c r="AF22" s="15">
        <v>45902.581250000003</v>
      </c>
      <c r="AG22" s="15">
        <v>45897.581250000003</v>
      </c>
      <c r="AH22" s="14">
        <v>40.200000000000003</v>
      </c>
      <c r="AI22" s="14">
        <v>0</v>
      </c>
      <c r="AJ22" s="14" t="s">
        <v>975</v>
      </c>
      <c r="AK22" s="14">
        <v>3</v>
      </c>
      <c r="AL22" s="14">
        <v>1</v>
      </c>
    </row>
    <row r="23" spans="1:38" x14ac:dyDescent="0.2">
      <c r="A23" s="14" t="s">
        <v>1106</v>
      </c>
      <c r="B23" s="14" t="s">
        <v>1106</v>
      </c>
      <c r="C23" s="14" t="s">
        <v>1106</v>
      </c>
      <c r="D23" s="14" t="s">
        <v>1106</v>
      </c>
      <c r="E23" s="14" t="s">
        <v>1106</v>
      </c>
      <c r="F23" s="14" t="s">
        <v>1100</v>
      </c>
      <c r="G23" s="14" t="s">
        <v>1105</v>
      </c>
      <c r="H23" s="14">
        <v>45968103</v>
      </c>
      <c r="I23" s="14" t="s">
        <v>430</v>
      </c>
      <c r="J23" s="14" t="s">
        <v>431</v>
      </c>
      <c r="K23" s="14" t="s">
        <v>431</v>
      </c>
      <c r="L23" s="14" t="s">
        <v>431</v>
      </c>
      <c r="M23" s="14" t="s">
        <v>46</v>
      </c>
      <c r="N23" s="14">
        <v>0</v>
      </c>
      <c r="O23" s="14" t="s">
        <v>138</v>
      </c>
      <c r="P23" s="14" t="s">
        <v>48</v>
      </c>
      <c r="Q23" s="14" t="s">
        <v>49</v>
      </c>
      <c r="R23" s="14" t="s">
        <v>50</v>
      </c>
      <c r="S23" s="14" t="s">
        <v>39</v>
      </c>
      <c r="T23" s="14" t="s">
        <v>39</v>
      </c>
      <c r="U23" s="14" t="s">
        <v>39</v>
      </c>
      <c r="V23" s="14" t="s">
        <v>41</v>
      </c>
      <c r="W23" s="14" t="s">
        <v>41</v>
      </c>
      <c r="X23" s="14" t="s">
        <v>39</v>
      </c>
      <c r="Y23" s="14" t="s">
        <v>39</v>
      </c>
      <c r="Z23" s="14" t="s">
        <v>40</v>
      </c>
      <c r="AA23" s="14" t="s">
        <v>41</v>
      </c>
      <c r="AB23" s="14" t="s">
        <v>461</v>
      </c>
      <c r="AC23" s="14" t="s">
        <v>138</v>
      </c>
      <c r="AD23" s="14" t="s">
        <v>737</v>
      </c>
      <c r="AE23" s="14" t="s">
        <v>887</v>
      </c>
      <c r="AF23" s="15">
        <v>45893.703472222223</v>
      </c>
      <c r="AG23" s="15">
        <v>45888.703472222223</v>
      </c>
      <c r="AH23" s="14">
        <v>49</v>
      </c>
      <c r="AI23" s="14">
        <v>0</v>
      </c>
      <c r="AJ23" s="14" t="s">
        <v>928</v>
      </c>
      <c r="AK23" s="14">
        <v>3</v>
      </c>
      <c r="AL23" s="14">
        <v>0</v>
      </c>
    </row>
    <row r="24" spans="1:38" x14ac:dyDescent="0.2">
      <c r="A24" s="14" t="s">
        <v>1106</v>
      </c>
      <c r="B24" s="14" t="s">
        <v>1106</v>
      </c>
      <c r="C24" s="14" t="s">
        <v>1106</v>
      </c>
      <c r="D24" s="14" t="s">
        <v>1106</v>
      </c>
      <c r="E24" s="14" t="s">
        <v>1106</v>
      </c>
      <c r="F24" s="14" t="s">
        <v>1100</v>
      </c>
      <c r="G24" s="14" t="s">
        <v>1105</v>
      </c>
      <c r="H24" s="14">
        <v>44475813</v>
      </c>
      <c r="I24" s="14" t="s">
        <v>99</v>
      </c>
      <c r="J24" s="14" t="s">
        <v>100</v>
      </c>
      <c r="K24" s="14" t="s">
        <v>100</v>
      </c>
      <c r="L24" s="14" t="s">
        <v>100</v>
      </c>
      <c r="M24" s="14" t="s">
        <v>53</v>
      </c>
      <c r="N24" s="14" t="s">
        <v>46</v>
      </c>
      <c r="O24" s="14" t="s">
        <v>82</v>
      </c>
      <c r="P24" s="14" t="s">
        <v>48</v>
      </c>
      <c r="Q24" s="14" t="s">
        <v>49</v>
      </c>
      <c r="R24" s="14" t="s">
        <v>74</v>
      </c>
      <c r="S24" s="14" t="s">
        <v>39</v>
      </c>
      <c r="T24" s="14" t="s">
        <v>39</v>
      </c>
      <c r="U24" s="14" t="s">
        <v>39</v>
      </c>
      <c r="V24" s="14" t="s">
        <v>41</v>
      </c>
      <c r="W24" s="14" t="s">
        <v>41</v>
      </c>
      <c r="X24" s="14" t="s">
        <v>39</v>
      </c>
      <c r="Y24" s="14" t="s">
        <v>39</v>
      </c>
      <c r="Z24" s="14" t="s">
        <v>40</v>
      </c>
      <c r="AA24" s="14" t="s">
        <v>41</v>
      </c>
      <c r="AB24" s="14" t="s">
        <v>461</v>
      </c>
      <c r="AC24" s="14" t="s">
        <v>477</v>
      </c>
      <c r="AD24" s="14" t="s">
        <v>492</v>
      </c>
      <c r="AE24" s="14" t="s">
        <v>887</v>
      </c>
      <c r="AF24" s="15">
        <v>45704.376388888886</v>
      </c>
      <c r="AG24" s="15">
        <v>45699.376388888886</v>
      </c>
      <c r="AH24" s="14">
        <v>238.3</v>
      </c>
      <c r="AI24" s="14">
        <v>0</v>
      </c>
      <c r="AJ24" s="14" t="s">
        <v>965</v>
      </c>
      <c r="AK24" s="14">
        <v>3</v>
      </c>
      <c r="AL24" s="14">
        <v>0</v>
      </c>
    </row>
    <row r="25" spans="1:38" x14ac:dyDescent="0.2">
      <c r="A25" s="14" t="s">
        <v>1106</v>
      </c>
      <c r="B25" s="14" t="s">
        <v>1106</v>
      </c>
      <c r="C25" s="14" t="s">
        <v>1106</v>
      </c>
      <c r="D25" s="14" t="s">
        <v>1106</v>
      </c>
      <c r="E25" s="14" t="s">
        <v>1106</v>
      </c>
      <c r="F25" s="14" t="s">
        <v>1100</v>
      </c>
      <c r="G25" s="14" t="s">
        <v>1105</v>
      </c>
      <c r="H25" s="14">
        <v>45472979</v>
      </c>
      <c r="I25" s="14" t="s">
        <v>278</v>
      </c>
      <c r="J25" s="14" t="s">
        <v>279</v>
      </c>
      <c r="K25" s="14" t="s">
        <v>675</v>
      </c>
      <c r="L25" s="14" t="s">
        <v>675</v>
      </c>
      <c r="M25" s="14" t="s">
        <v>72</v>
      </c>
      <c r="N25" s="14" t="s">
        <v>90</v>
      </c>
      <c r="O25" s="14" t="s">
        <v>203</v>
      </c>
      <c r="P25" s="14" t="s">
        <v>36</v>
      </c>
      <c r="Q25" s="14" t="s">
        <v>37</v>
      </c>
      <c r="R25" s="14" t="s">
        <v>50</v>
      </c>
      <c r="S25" s="14" t="s">
        <v>39</v>
      </c>
      <c r="T25" s="14" t="s">
        <v>39</v>
      </c>
      <c r="U25" s="14" t="s">
        <v>39</v>
      </c>
      <c r="V25" s="14" t="s">
        <v>41</v>
      </c>
      <c r="W25" s="14" t="s">
        <v>41</v>
      </c>
      <c r="X25" s="14" t="s">
        <v>39</v>
      </c>
      <c r="Y25" s="14" t="s">
        <v>39</v>
      </c>
      <c r="Z25" s="14" t="s">
        <v>40</v>
      </c>
      <c r="AA25" s="14" t="s">
        <v>41</v>
      </c>
      <c r="AB25" s="14" t="s">
        <v>461</v>
      </c>
      <c r="AC25" s="14" t="s">
        <v>138</v>
      </c>
      <c r="AD25" s="14" t="s">
        <v>446</v>
      </c>
      <c r="AE25" s="14" t="s">
        <v>887</v>
      </c>
      <c r="AF25" s="15">
        <v>45857.543749999997</v>
      </c>
      <c r="AG25" s="15">
        <v>45852.543749999997</v>
      </c>
      <c r="AH25" s="14">
        <v>85.2</v>
      </c>
      <c r="AI25" s="14">
        <v>0</v>
      </c>
      <c r="AJ25" s="14" t="s">
        <v>915</v>
      </c>
      <c r="AK25" s="14">
        <v>1</v>
      </c>
      <c r="AL25" s="14">
        <v>0</v>
      </c>
    </row>
    <row r="26" spans="1:38" x14ac:dyDescent="0.2">
      <c r="A26" s="14" t="s">
        <v>1106</v>
      </c>
      <c r="B26" s="14" t="s">
        <v>1106</v>
      </c>
      <c r="C26" s="14" t="s">
        <v>1106</v>
      </c>
      <c r="D26" s="14" t="s">
        <v>1106</v>
      </c>
      <c r="E26" s="14" t="s">
        <v>1106</v>
      </c>
      <c r="F26" s="14" t="s">
        <v>1100</v>
      </c>
      <c r="G26" s="14" t="s">
        <v>1105</v>
      </c>
      <c r="H26" s="14">
        <v>44937929</v>
      </c>
      <c r="I26" s="14" t="s">
        <v>156</v>
      </c>
      <c r="J26" s="14" t="s">
        <v>157</v>
      </c>
      <c r="K26" s="14" t="s">
        <v>528</v>
      </c>
      <c r="L26" s="14" t="s">
        <v>528</v>
      </c>
      <c r="M26" s="14" t="s">
        <v>53</v>
      </c>
      <c r="N26" s="14" t="s">
        <v>46</v>
      </c>
      <c r="O26" s="14" t="s">
        <v>154</v>
      </c>
      <c r="P26" s="14" t="s">
        <v>36</v>
      </c>
      <c r="Q26" s="14" t="s">
        <v>49</v>
      </c>
      <c r="R26" s="14" t="s">
        <v>50</v>
      </c>
      <c r="S26" s="14" t="s">
        <v>39</v>
      </c>
      <c r="T26" s="14" t="s">
        <v>39</v>
      </c>
      <c r="U26" s="14" t="s">
        <v>39</v>
      </c>
      <c r="V26" s="14" t="s">
        <v>41</v>
      </c>
      <c r="W26" s="14" t="s">
        <v>41</v>
      </c>
      <c r="X26" s="14" t="s">
        <v>39</v>
      </c>
      <c r="Y26" s="14" t="s">
        <v>39</v>
      </c>
      <c r="Z26" s="14" t="s">
        <v>40</v>
      </c>
      <c r="AA26" s="14" t="s">
        <v>41</v>
      </c>
      <c r="AB26" s="14" t="s">
        <v>461</v>
      </c>
      <c r="AC26" s="14" t="s">
        <v>138</v>
      </c>
      <c r="AD26" s="14" t="s">
        <v>446</v>
      </c>
      <c r="AE26" s="14" t="s">
        <v>922</v>
      </c>
      <c r="AF26" s="15">
        <v>45735.629861111112</v>
      </c>
      <c r="AG26" s="15">
        <v>45730.629861111112</v>
      </c>
      <c r="AH26" s="14">
        <v>207.1</v>
      </c>
      <c r="AI26" s="14">
        <v>0</v>
      </c>
      <c r="AJ26" s="14" t="s">
        <v>960</v>
      </c>
      <c r="AK26" s="14">
        <v>3</v>
      </c>
      <c r="AL26" s="14">
        <v>1</v>
      </c>
    </row>
    <row r="27" spans="1:38" x14ac:dyDescent="0.2">
      <c r="A27" s="14" t="s">
        <v>1106</v>
      </c>
      <c r="B27" s="14" t="s">
        <v>1106</v>
      </c>
      <c r="C27" s="14" t="s">
        <v>1106</v>
      </c>
      <c r="D27" s="14" t="s">
        <v>1106</v>
      </c>
      <c r="E27" s="14" t="s">
        <v>1106</v>
      </c>
      <c r="F27" s="14" t="s">
        <v>1101</v>
      </c>
      <c r="G27" s="14" t="s">
        <v>1105</v>
      </c>
      <c r="H27" s="14">
        <v>45968241</v>
      </c>
      <c r="I27" s="14" t="s">
        <v>367</v>
      </c>
      <c r="J27" s="14" t="s">
        <v>368</v>
      </c>
      <c r="K27" s="14" t="s">
        <v>745</v>
      </c>
      <c r="L27" s="14" t="s">
        <v>745</v>
      </c>
      <c r="M27" s="14" t="s">
        <v>341</v>
      </c>
      <c r="N27" s="14" t="s">
        <v>369</v>
      </c>
      <c r="O27" s="14" t="s">
        <v>47</v>
      </c>
      <c r="P27" s="14" t="s">
        <v>48</v>
      </c>
      <c r="Q27" s="14" t="s">
        <v>37</v>
      </c>
      <c r="R27" s="14" t="s">
        <v>50</v>
      </c>
      <c r="S27" s="14" t="s">
        <v>39</v>
      </c>
      <c r="T27" s="14" t="s">
        <v>39</v>
      </c>
      <c r="U27" s="14" t="s">
        <v>39</v>
      </c>
      <c r="V27" s="14" t="s">
        <v>41</v>
      </c>
      <c r="W27" s="14" t="s">
        <v>41</v>
      </c>
      <c r="X27" s="14" t="s">
        <v>39</v>
      </c>
      <c r="Y27" s="14" t="s">
        <v>39</v>
      </c>
      <c r="Z27" s="14" t="s">
        <v>40</v>
      </c>
      <c r="AA27" s="14" t="s">
        <v>41</v>
      </c>
      <c r="AB27" s="14" t="s">
        <v>461</v>
      </c>
      <c r="AC27" s="14" t="s">
        <v>744</v>
      </c>
      <c r="AD27" s="14" t="s">
        <v>446</v>
      </c>
      <c r="AE27" s="14" t="s">
        <v>922</v>
      </c>
      <c r="AF27" s="15">
        <v>45899.490277777775</v>
      </c>
      <c r="AG27" s="15">
        <v>45894.490277777775</v>
      </c>
      <c r="AH27" s="14">
        <v>43.3</v>
      </c>
      <c r="AI27" s="14">
        <v>0</v>
      </c>
      <c r="AJ27" s="14" t="s">
        <v>940</v>
      </c>
      <c r="AK27" s="14">
        <v>3</v>
      </c>
      <c r="AL27" s="14">
        <v>1</v>
      </c>
    </row>
    <row r="28" spans="1:38" x14ac:dyDescent="0.2">
      <c r="A28" s="14" t="s">
        <v>1106</v>
      </c>
      <c r="B28" s="14" t="s">
        <v>1106</v>
      </c>
      <c r="C28" s="14" t="s">
        <v>1106</v>
      </c>
      <c r="D28" s="14" t="s">
        <v>1106</v>
      </c>
      <c r="E28" s="14" t="s">
        <v>1106</v>
      </c>
      <c r="F28" s="14" t="s">
        <v>1101</v>
      </c>
      <c r="G28" s="14" t="s">
        <v>1105</v>
      </c>
      <c r="H28" s="14">
        <v>45190845</v>
      </c>
      <c r="I28" s="14" t="s">
        <v>178</v>
      </c>
      <c r="J28" s="14" t="s">
        <v>179</v>
      </c>
      <c r="K28" s="14" t="s">
        <v>635</v>
      </c>
      <c r="L28" s="14" t="s">
        <v>635</v>
      </c>
      <c r="M28" s="14" t="s">
        <v>90</v>
      </c>
      <c r="N28" s="14" t="s">
        <v>96</v>
      </c>
      <c r="O28" s="14" t="s">
        <v>138</v>
      </c>
      <c r="P28" s="14" t="s">
        <v>48</v>
      </c>
      <c r="Q28" s="14" t="s">
        <v>37</v>
      </c>
      <c r="R28" s="14" t="s">
        <v>50</v>
      </c>
      <c r="S28" s="14" t="s">
        <v>39</v>
      </c>
      <c r="T28" s="14" t="s">
        <v>39</v>
      </c>
      <c r="U28" s="14" t="s">
        <v>39</v>
      </c>
      <c r="V28" s="14" t="s">
        <v>41</v>
      </c>
      <c r="W28" s="14" t="s">
        <v>41</v>
      </c>
      <c r="X28" s="14" t="s">
        <v>39</v>
      </c>
      <c r="Y28" s="14" t="s">
        <v>39</v>
      </c>
      <c r="Z28" s="14" t="s">
        <v>39</v>
      </c>
      <c r="AA28" s="14" t="s">
        <v>41</v>
      </c>
      <c r="AB28" s="14" t="s">
        <v>461</v>
      </c>
      <c r="AC28" s="14" t="s">
        <v>138</v>
      </c>
      <c r="AD28" s="14" t="s">
        <v>446</v>
      </c>
      <c r="AE28" s="14" t="s">
        <v>922</v>
      </c>
      <c r="AF28" s="15">
        <v>45826.588194444441</v>
      </c>
      <c r="AG28" s="15">
        <v>45821.588194444441</v>
      </c>
      <c r="AH28" s="14">
        <v>116.1</v>
      </c>
      <c r="AI28" s="14">
        <v>0</v>
      </c>
      <c r="AJ28" s="14" t="s">
        <v>982</v>
      </c>
      <c r="AK28" s="14">
        <v>3</v>
      </c>
      <c r="AL28" s="14">
        <v>1</v>
      </c>
    </row>
    <row r="29" spans="1:38" x14ac:dyDescent="0.2">
      <c r="A29" s="14" t="s">
        <v>1106</v>
      </c>
      <c r="B29" s="14" t="s">
        <v>1106</v>
      </c>
      <c r="C29" s="14" t="s">
        <v>1106</v>
      </c>
      <c r="D29" s="14" t="s">
        <v>1106</v>
      </c>
      <c r="E29" s="14" t="s">
        <v>1106</v>
      </c>
      <c r="F29" s="14" t="s">
        <v>1101</v>
      </c>
      <c r="G29" s="14" t="s">
        <v>1105</v>
      </c>
      <c r="H29" s="14">
        <v>45763896</v>
      </c>
      <c r="I29" s="14" t="s">
        <v>311</v>
      </c>
      <c r="J29" s="14" t="s">
        <v>312</v>
      </c>
      <c r="K29" s="14" t="s">
        <v>312</v>
      </c>
      <c r="L29" s="14" t="s">
        <v>312</v>
      </c>
      <c r="M29" s="14" t="s">
        <v>68</v>
      </c>
      <c r="N29" s="14" t="s">
        <v>59</v>
      </c>
      <c r="O29" s="14" t="s">
        <v>138</v>
      </c>
      <c r="P29" s="14" t="s">
        <v>48</v>
      </c>
      <c r="Q29" s="14" t="s">
        <v>49</v>
      </c>
      <c r="R29" s="14" t="s">
        <v>50</v>
      </c>
      <c r="S29" s="14" t="s">
        <v>39</v>
      </c>
      <c r="T29" s="14" t="s">
        <v>39</v>
      </c>
      <c r="U29" s="14" t="s">
        <v>39</v>
      </c>
      <c r="V29" s="14" t="s">
        <v>41</v>
      </c>
      <c r="W29" s="14" t="s">
        <v>41</v>
      </c>
      <c r="X29" s="14" t="s">
        <v>39</v>
      </c>
      <c r="Y29" s="14" t="s">
        <v>39</v>
      </c>
      <c r="Z29" s="14" t="s">
        <v>40</v>
      </c>
      <c r="AA29" s="14" t="s">
        <v>41</v>
      </c>
      <c r="AB29" s="14" t="s">
        <v>461</v>
      </c>
      <c r="AC29" s="14" t="s">
        <v>138</v>
      </c>
      <c r="AD29" s="14" t="s">
        <v>492</v>
      </c>
      <c r="AE29" s="14" t="s">
        <v>887</v>
      </c>
      <c r="AF29" s="15">
        <v>45874.686805555553</v>
      </c>
      <c r="AG29" s="15">
        <v>45869.686805555553</v>
      </c>
      <c r="AH29" s="14">
        <v>68</v>
      </c>
      <c r="AI29" s="14">
        <v>0</v>
      </c>
      <c r="AJ29" s="14" t="s">
        <v>959</v>
      </c>
      <c r="AK29" s="14">
        <v>3</v>
      </c>
      <c r="AL29" s="14">
        <v>1</v>
      </c>
    </row>
    <row r="30" spans="1:38" x14ac:dyDescent="0.2">
      <c r="A30" s="14" t="s">
        <v>1106</v>
      </c>
      <c r="B30" s="14" t="s">
        <v>1106</v>
      </c>
      <c r="C30" s="14" t="s">
        <v>1106</v>
      </c>
      <c r="D30" s="14" t="s">
        <v>1106</v>
      </c>
      <c r="E30" s="14" t="s">
        <v>1106</v>
      </c>
      <c r="F30" s="14" t="s">
        <v>1101</v>
      </c>
      <c r="G30" s="14" t="s">
        <v>1105</v>
      </c>
      <c r="H30" s="14">
        <v>45763997</v>
      </c>
      <c r="I30" s="14" t="s">
        <v>316</v>
      </c>
      <c r="J30" s="14" t="s">
        <v>317</v>
      </c>
      <c r="K30" s="14" t="s">
        <v>705</v>
      </c>
      <c r="L30" s="14" t="s">
        <v>705</v>
      </c>
      <c r="M30" s="14" t="s">
        <v>96</v>
      </c>
      <c r="N30" s="14" t="s">
        <v>122</v>
      </c>
      <c r="O30" s="14" t="s">
        <v>123</v>
      </c>
      <c r="P30" s="14" t="s">
        <v>48</v>
      </c>
      <c r="Q30" s="14" t="s">
        <v>37</v>
      </c>
      <c r="R30" s="14" t="s">
        <v>50</v>
      </c>
      <c r="S30" s="14" t="s">
        <v>39</v>
      </c>
      <c r="T30" s="14" t="s">
        <v>39</v>
      </c>
      <c r="U30" s="14" t="s">
        <v>39</v>
      </c>
      <c r="V30" s="14" t="s">
        <v>41</v>
      </c>
      <c r="W30" s="14" t="s">
        <v>41</v>
      </c>
      <c r="X30" s="14" t="s">
        <v>39</v>
      </c>
      <c r="Y30" s="14" t="s">
        <v>39</v>
      </c>
      <c r="Z30" s="14" t="s">
        <v>40</v>
      </c>
      <c r="AA30" s="14" t="s">
        <v>41</v>
      </c>
      <c r="AB30" s="14" t="s">
        <v>461</v>
      </c>
      <c r="AC30" s="14" t="s">
        <v>448</v>
      </c>
      <c r="AD30" s="14" t="s">
        <v>446</v>
      </c>
      <c r="AE30" s="14" t="s">
        <v>887</v>
      </c>
      <c r="AF30" s="15">
        <v>45876.414583333331</v>
      </c>
      <c r="AG30" s="15">
        <v>45871.414583333331</v>
      </c>
      <c r="AH30" s="14">
        <v>66.3</v>
      </c>
      <c r="AI30" s="14">
        <v>0</v>
      </c>
      <c r="AJ30" s="14" t="s">
        <v>953</v>
      </c>
      <c r="AK30" s="14">
        <v>3</v>
      </c>
      <c r="AL30" s="14">
        <v>1</v>
      </c>
    </row>
    <row r="31" spans="1:38" x14ac:dyDescent="0.2">
      <c r="A31" s="14" t="s">
        <v>1106</v>
      </c>
      <c r="B31" s="14" t="s">
        <v>1106</v>
      </c>
      <c r="C31" s="14" t="s">
        <v>1106</v>
      </c>
      <c r="D31" s="14" t="s">
        <v>1106</v>
      </c>
      <c r="E31" s="14" t="s">
        <v>1106</v>
      </c>
      <c r="F31" s="14" t="s">
        <v>1101</v>
      </c>
      <c r="G31" s="14" t="s">
        <v>1105</v>
      </c>
      <c r="H31" s="14">
        <v>45764020</v>
      </c>
      <c r="I31" s="14" t="s">
        <v>327</v>
      </c>
      <c r="J31" s="14" t="s">
        <v>328</v>
      </c>
      <c r="K31" s="14" t="s">
        <v>328</v>
      </c>
      <c r="L31" s="14" t="s">
        <v>328</v>
      </c>
      <c r="M31" s="14" t="s">
        <v>253</v>
      </c>
      <c r="N31" s="14" t="s">
        <v>252</v>
      </c>
      <c r="O31" s="14" t="s">
        <v>254</v>
      </c>
      <c r="P31" s="14" t="s">
        <v>48</v>
      </c>
      <c r="Q31" s="14" t="s">
        <v>49</v>
      </c>
      <c r="R31" s="14" t="s">
        <v>50</v>
      </c>
      <c r="S31" s="14" t="s">
        <v>39</v>
      </c>
      <c r="T31" s="14" t="s">
        <v>39</v>
      </c>
      <c r="U31" s="14" t="s">
        <v>39</v>
      </c>
      <c r="V31" s="14" t="s">
        <v>41</v>
      </c>
      <c r="W31" s="14" t="s">
        <v>41</v>
      </c>
      <c r="X31" s="14" t="s">
        <v>39</v>
      </c>
      <c r="Y31" s="14" t="s">
        <v>39</v>
      </c>
      <c r="Z31" s="14" t="s">
        <v>40</v>
      </c>
      <c r="AA31" s="14" t="s">
        <v>41</v>
      </c>
      <c r="AB31" s="14" t="s">
        <v>461</v>
      </c>
      <c r="AC31" s="14" t="s">
        <v>138</v>
      </c>
      <c r="AD31" s="14" t="s">
        <v>492</v>
      </c>
      <c r="AE31" s="14" t="s">
        <v>887</v>
      </c>
      <c r="AF31" s="15">
        <v>45893.589583333334</v>
      </c>
      <c r="AG31" s="15">
        <v>45888.589583333334</v>
      </c>
      <c r="AH31" s="14">
        <v>49.1</v>
      </c>
      <c r="AI31" s="14">
        <v>0</v>
      </c>
      <c r="AJ31" s="14" t="s">
        <v>957</v>
      </c>
      <c r="AK31" s="14">
        <v>3</v>
      </c>
      <c r="AL31" s="14">
        <v>0</v>
      </c>
    </row>
    <row r="32" spans="1:38" x14ac:dyDescent="0.2">
      <c r="A32" s="14" t="s">
        <v>1106</v>
      </c>
      <c r="B32" s="14" t="s">
        <v>1106</v>
      </c>
      <c r="C32" s="14" t="s">
        <v>1106</v>
      </c>
      <c r="D32" s="14" t="s">
        <v>1106</v>
      </c>
      <c r="E32" s="14" t="s">
        <v>1106</v>
      </c>
      <c r="F32" s="14" t="s">
        <v>1101</v>
      </c>
      <c r="G32" s="14" t="s">
        <v>1105</v>
      </c>
      <c r="H32" s="14">
        <v>45764028</v>
      </c>
      <c r="I32" s="14" t="s">
        <v>333</v>
      </c>
      <c r="J32" s="14" t="s">
        <v>334</v>
      </c>
      <c r="K32" s="14" t="s">
        <v>334</v>
      </c>
      <c r="L32" s="14" t="s">
        <v>334</v>
      </c>
      <c r="M32" s="14" t="s">
        <v>335</v>
      </c>
      <c r="N32" s="14" t="s">
        <v>336</v>
      </c>
      <c r="O32" s="14" t="s">
        <v>117</v>
      </c>
      <c r="P32" s="14" t="s">
        <v>48</v>
      </c>
      <c r="Q32" s="14" t="s">
        <v>49</v>
      </c>
      <c r="R32" s="14" t="s">
        <v>50</v>
      </c>
      <c r="S32" s="14" t="s">
        <v>39</v>
      </c>
      <c r="T32" s="14" t="s">
        <v>39</v>
      </c>
      <c r="U32" s="14" t="s">
        <v>39</v>
      </c>
      <c r="V32" s="14" t="s">
        <v>41</v>
      </c>
      <c r="W32" s="14" t="s">
        <v>41</v>
      </c>
      <c r="X32" s="14" t="s">
        <v>39</v>
      </c>
      <c r="Y32" s="14" t="s">
        <v>39</v>
      </c>
      <c r="Z32" s="14" t="s">
        <v>40</v>
      </c>
      <c r="AA32" s="14" t="s">
        <v>41</v>
      </c>
      <c r="AB32" s="14" t="s">
        <v>461</v>
      </c>
      <c r="AC32" s="14" t="s">
        <v>742</v>
      </c>
      <c r="AD32" s="14" t="s">
        <v>492</v>
      </c>
      <c r="AE32" s="14" t="s">
        <v>922</v>
      </c>
      <c r="AF32" s="15">
        <v>45896.468055555553</v>
      </c>
      <c r="AG32" s="15">
        <v>45891.468055555553</v>
      </c>
      <c r="AH32" s="14">
        <v>46.3</v>
      </c>
      <c r="AI32" s="14">
        <v>0</v>
      </c>
      <c r="AJ32" s="14" t="s">
        <v>919</v>
      </c>
      <c r="AK32" s="14">
        <v>3</v>
      </c>
      <c r="AL32" s="14">
        <v>0</v>
      </c>
    </row>
    <row r="33" spans="1:38" x14ac:dyDescent="0.2">
      <c r="A33" s="14" t="s">
        <v>1106</v>
      </c>
      <c r="B33" s="14" t="s">
        <v>1106</v>
      </c>
      <c r="C33" s="14" t="s">
        <v>1106</v>
      </c>
      <c r="D33" s="14" t="s">
        <v>1106</v>
      </c>
      <c r="E33" s="14" t="s">
        <v>1106</v>
      </c>
      <c r="F33" s="14" t="s">
        <v>1101</v>
      </c>
      <c r="G33" s="14" t="s">
        <v>1105</v>
      </c>
      <c r="H33" s="14">
        <v>45794015</v>
      </c>
      <c r="I33" s="14" t="s">
        <v>363</v>
      </c>
      <c r="J33" s="14" t="s">
        <v>364</v>
      </c>
      <c r="K33" s="14" t="s">
        <v>364</v>
      </c>
      <c r="L33" s="14" t="s">
        <v>364</v>
      </c>
      <c r="M33" s="14" t="s">
        <v>252</v>
      </c>
      <c r="N33" s="14" t="s">
        <v>253</v>
      </c>
      <c r="O33" s="14" t="s">
        <v>254</v>
      </c>
      <c r="P33" s="14" t="s">
        <v>48</v>
      </c>
      <c r="Q33" s="14" t="s">
        <v>49</v>
      </c>
      <c r="R33" s="14" t="s">
        <v>50</v>
      </c>
      <c r="S33" s="14" t="s">
        <v>39</v>
      </c>
      <c r="T33" s="14" t="s">
        <v>39</v>
      </c>
      <c r="U33" s="14" t="s">
        <v>39</v>
      </c>
      <c r="V33" s="14" t="s">
        <v>41</v>
      </c>
      <c r="W33" s="14" t="s">
        <v>41</v>
      </c>
      <c r="X33" s="14" t="s">
        <v>39</v>
      </c>
      <c r="Y33" s="14" t="s">
        <v>39</v>
      </c>
      <c r="Z33" s="14" t="s">
        <v>40</v>
      </c>
      <c r="AA33" s="14" t="s">
        <v>41</v>
      </c>
      <c r="AB33" s="14" t="s">
        <v>461</v>
      </c>
      <c r="AC33" s="14" t="s">
        <v>286</v>
      </c>
      <c r="AD33" s="14" t="s">
        <v>458</v>
      </c>
      <c r="AE33" s="14" t="s">
        <v>922</v>
      </c>
      <c r="AF33" s="15">
        <v>45899.46875</v>
      </c>
      <c r="AG33" s="15">
        <v>45894.46875</v>
      </c>
      <c r="AH33" s="14">
        <v>43.3</v>
      </c>
      <c r="AI33" s="14">
        <v>0</v>
      </c>
      <c r="AJ33" s="14" t="s">
        <v>943</v>
      </c>
      <c r="AK33" s="14">
        <v>2</v>
      </c>
      <c r="AL33" s="14">
        <v>1</v>
      </c>
    </row>
    <row r="34" spans="1:38" x14ac:dyDescent="0.2">
      <c r="A34" s="14" t="s">
        <v>1106</v>
      </c>
      <c r="B34" s="14" t="s">
        <v>1106</v>
      </c>
      <c r="C34" s="14" t="s">
        <v>1106</v>
      </c>
      <c r="D34" s="14" t="s">
        <v>1106</v>
      </c>
      <c r="E34" s="14" t="s">
        <v>1106</v>
      </c>
      <c r="F34" s="14" t="s">
        <v>1101</v>
      </c>
      <c r="G34" s="14" t="s">
        <v>1105</v>
      </c>
      <c r="H34" s="14">
        <v>45970275</v>
      </c>
      <c r="I34" s="14" t="s">
        <v>383</v>
      </c>
      <c r="J34" s="14" t="s">
        <v>384</v>
      </c>
      <c r="K34" s="14" t="s">
        <v>384</v>
      </c>
      <c r="L34" s="14" t="s">
        <v>384</v>
      </c>
      <c r="M34" s="14" t="s">
        <v>372</v>
      </c>
      <c r="N34" s="14" t="s">
        <v>385</v>
      </c>
      <c r="O34" s="14" t="s">
        <v>98</v>
      </c>
      <c r="P34" s="14" t="s">
        <v>48</v>
      </c>
      <c r="Q34" s="14" t="s">
        <v>386</v>
      </c>
      <c r="R34" s="14" t="s">
        <v>50</v>
      </c>
      <c r="S34" s="14" t="s">
        <v>39</v>
      </c>
      <c r="T34" s="14" t="s">
        <v>39</v>
      </c>
      <c r="U34" s="14" t="s">
        <v>39</v>
      </c>
      <c r="V34" s="14" t="s">
        <v>41</v>
      </c>
      <c r="W34" s="14" t="s">
        <v>41</v>
      </c>
      <c r="X34" s="14" t="s">
        <v>39</v>
      </c>
      <c r="Y34" s="14" t="s">
        <v>39</v>
      </c>
      <c r="Z34" s="14" t="s">
        <v>39</v>
      </c>
      <c r="AA34" s="14" t="s">
        <v>41</v>
      </c>
      <c r="AB34" s="14" t="s">
        <v>461</v>
      </c>
      <c r="AC34" s="14" t="s">
        <v>448</v>
      </c>
      <c r="AD34" s="14" t="s">
        <v>531</v>
      </c>
      <c r="AE34" s="14" t="s">
        <v>887</v>
      </c>
      <c r="AF34" s="15">
        <v>45917.61041666667</v>
      </c>
      <c r="AG34" s="15">
        <v>45912.61041666667</v>
      </c>
      <c r="AH34" s="14">
        <v>25.1</v>
      </c>
      <c r="AI34" s="14">
        <v>0</v>
      </c>
      <c r="AJ34" s="14" t="s">
        <v>943</v>
      </c>
      <c r="AK34" s="14">
        <v>3</v>
      </c>
      <c r="AL34" s="14">
        <v>0</v>
      </c>
    </row>
    <row r="35" spans="1:38" x14ac:dyDescent="0.2">
      <c r="A35" s="14" t="s">
        <v>1106</v>
      </c>
      <c r="B35" s="14" t="s">
        <v>1106</v>
      </c>
      <c r="C35" s="14" t="s">
        <v>1106</v>
      </c>
      <c r="D35" s="14" t="s">
        <v>1106</v>
      </c>
      <c r="E35" s="14" t="s">
        <v>1106</v>
      </c>
      <c r="F35" s="14" t="s">
        <v>1101</v>
      </c>
      <c r="G35" s="14" t="s">
        <v>1105</v>
      </c>
      <c r="H35" s="14">
        <v>45472762</v>
      </c>
      <c r="I35" s="14" t="s">
        <v>250</v>
      </c>
      <c r="J35" s="14" t="s">
        <v>251</v>
      </c>
      <c r="K35" s="14" t="s">
        <v>670</v>
      </c>
      <c r="L35" s="14" t="s">
        <v>670</v>
      </c>
      <c r="M35" s="14" t="s">
        <v>252</v>
      </c>
      <c r="N35" s="14" t="s">
        <v>253</v>
      </c>
      <c r="O35" s="14" t="s">
        <v>254</v>
      </c>
      <c r="P35" s="14" t="s">
        <v>48</v>
      </c>
      <c r="Q35" s="14" t="s">
        <v>49</v>
      </c>
      <c r="R35" s="14" t="s">
        <v>74</v>
      </c>
      <c r="S35" s="14" t="s">
        <v>39</v>
      </c>
      <c r="T35" s="14" t="s">
        <v>39</v>
      </c>
      <c r="U35" s="14" t="s">
        <v>39</v>
      </c>
      <c r="V35" s="14" t="s">
        <v>41</v>
      </c>
      <c r="W35" s="14" t="s">
        <v>41</v>
      </c>
      <c r="X35" s="14" t="s">
        <v>39</v>
      </c>
      <c r="Y35" s="14" t="s">
        <v>39</v>
      </c>
      <c r="Z35" s="14" t="s">
        <v>40</v>
      </c>
      <c r="AA35" s="14" t="s">
        <v>41</v>
      </c>
      <c r="AB35" s="14" t="s">
        <v>461</v>
      </c>
      <c r="AC35" s="14" t="s">
        <v>138</v>
      </c>
      <c r="AD35" s="14" t="s">
        <v>446</v>
      </c>
      <c r="AE35" s="14" t="s">
        <v>922</v>
      </c>
      <c r="AF35" s="15">
        <v>45853.550694444442</v>
      </c>
      <c r="AG35" s="15">
        <v>45848.550694444442</v>
      </c>
      <c r="AH35" s="14">
        <v>89.2</v>
      </c>
      <c r="AI35" s="14">
        <v>0</v>
      </c>
      <c r="AJ35" s="14" t="s">
        <v>979</v>
      </c>
      <c r="AK35" s="14">
        <v>1</v>
      </c>
      <c r="AL35" s="14">
        <v>0</v>
      </c>
    </row>
    <row r="36" spans="1:38" x14ac:dyDescent="0.2">
      <c r="A36" s="14" t="s">
        <v>1106</v>
      </c>
      <c r="B36" s="14" t="s">
        <v>1106</v>
      </c>
      <c r="C36" s="14" t="s">
        <v>1106</v>
      </c>
      <c r="D36" s="14" t="s">
        <v>1106</v>
      </c>
      <c r="E36" s="14" t="s">
        <v>1106</v>
      </c>
      <c r="F36" s="14" t="s">
        <v>1101</v>
      </c>
      <c r="G36" s="14" t="s">
        <v>1105</v>
      </c>
      <c r="H36" s="14">
        <v>45968028</v>
      </c>
      <c r="I36" s="14" t="s">
        <v>387</v>
      </c>
      <c r="J36" s="14" t="s">
        <v>388</v>
      </c>
      <c r="K36" s="14" t="s">
        <v>388</v>
      </c>
      <c r="L36" s="14" t="s">
        <v>388</v>
      </c>
      <c r="M36" s="14" t="s">
        <v>80</v>
      </c>
      <c r="N36" s="14">
        <v>0</v>
      </c>
      <c r="O36" s="14" t="s">
        <v>203</v>
      </c>
      <c r="P36" s="14" t="s">
        <v>36</v>
      </c>
      <c r="Q36" s="14" t="s">
        <v>49</v>
      </c>
      <c r="R36" s="14" t="s">
        <v>50</v>
      </c>
      <c r="S36" s="14" t="s">
        <v>39</v>
      </c>
      <c r="T36" s="14" t="s">
        <v>41</v>
      </c>
      <c r="U36" s="14" t="s">
        <v>39</v>
      </c>
      <c r="V36" s="14" t="s">
        <v>41</v>
      </c>
      <c r="W36" s="14" t="s">
        <v>41</v>
      </c>
      <c r="X36" s="14" t="s">
        <v>39</v>
      </c>
      <c r="Y36" s="14" t="s">
        <v>39</v>
      </c>
      <c r="Z36" s="14" t="s">
        <v>40</v>
      </c>
      <c r="AA36" s="14" t="s">
        <v>41</v>
      </c>
      <c r="AB36" s="14" t="s">
        <v>494</v>
      </c>
      <c r="AC36" s="14" t="s">
        <v>138</v>
      </c>
      <c r="AD36" s="14" t="s">
        <v>681</v>
      </c>
      <c r="AE36" s="14" t="s">
        <v>887</v>
      </c>
      <c r="AF36" s="15">
        <v>45860.586805555555</v>
      </c>
      <c r="AG36" s="15">
        <v>45855.586805555555</v>
      </c>
      <c r="AH36" s="14">
        <v>82.1</v>
      </c>
      <c r="AI36" s="14">
        <v>0</v>
      </c>
      <c r="AJ36" s="14" t="s">
        <v>915</v>
      </c>
      <c r="AK36" s="14">
        <v>1</v>
      </c>
      <c r="AL36" s="14">
        <v>0</v>
      </c>
    </row>
    <row r="37" spans="1:38" x14ac:dyDescent="0.2">
      <c r="A37" s="14" t="s">
        <v>1106</v>
      </c>
      <c r="B37" s="14" t="s">
        <v>1106</v>
      </c>
      <c r="C37" s="14" t="s">
        <v>1106</v>
      </c>
      <c r="D37" s="14" t="s">
        <v>1106</v>
      </c>
      <c r="E37" s="14" t="s">
        <v>1106</v>
      </c>
      <c r="F37" s="14" t="s">
        <v>1101</v>
      </c>
      <c r="G37" s="14" t="s">
        <v>1105</v>
      </c>
      <c r="H37" s="14">
        <v>45190901</v>
      </c>
      <c r="I37" s="14" t="s">
        <v>192</v>
      </c>
      <c r="J37" s="14" t="s">
        <v>193</v>
      </c>
      <c r="K37" s="14" t="s">
        <v>193</v>
      </c>
      <c r="L37" s="14" t="s">
        <v>193</v>
      </c>
      <c r="M37" s="14" t="s">
        <v>90</v>
      </c>
      <c r="N37" s="14" t="s">
        <v>46</v>
      </c>
      <c r="O37" s="14" t="s">
        <v>138</v>
      </c>
      <c r="P37" s="14" t="s">
        <v>36</v>
      </c>
      <c r="Q37" s="14" t="s">
        <v>49</v>
      </c>
      <c r="R37" s="14" t="s">
        <v>50</v>
      </c>
      <c r="S37" s="14" t="s">
        <v>39</v>
      </c>
      <c r="T37" s="14" t="s">
        <v>39</v>
      </c>
      <c r="U37" s="14" t="s">
        <v>39</v>
      </c>
      <c r="V37" s="14" t="s">
        <v>41</v>
      </c>
      <c r="W37" s="14" t="s">
        <v>41</v>
      </c>
      <c r="X37" s="14" t="s">
        <v>39</v>
      </c>
      <c r="Y37" s="14" t="s">
        <v>39</v>
      </c>
      <c r="Z37" s="14" t="s">
        <v>40</v>
      </c>
      <c r="AA37" s="14" t="s">
        <v>41</v>
      </c>
      <c r="AB37" s="14" t="s">
        <v>461</v>
      </c>
      <c r="AC37" s="14" t="s">
        <v>138</v>
      </c>
      <c r="AD37" s="14" t="s">
        <v>531</v>
      </c>
      <c r="AE37" s="14" t="s">
        <v>939</v>
      </c>
      <c r="AF37" s="15">
        <v>45830.703472222223</v>
      </c>
      <c r="AG37" s="15">
        <v>45825.703472222223</v>
      </c>
      <c r="AH37" s="14">
        <v>112</v>
      </c>
      <c r="AI37" s="14">
        <v>0</v>
      </c>
      <c r="AJ37" s="14" t="s">
        <v>905</v>
      </c>
      <c r="AK37" s="14">
        <v>3</v>
      </c>
      <c r="AL37" s="14">
        <v>1</v>
      </c>
    </row>
    <row r="38" spans="1:38" x14ac:dyDescent="0.2">
      <c r="A38" s="14" t="s">
        <v>1106</v>
      </c>
      <c r="B38" s="14" t="s">
        <v>1106</v>
      </c>
      <c r="C38" s="14" t="s">
        <v>1106</v>
      </c>
      <c r="D38" s="14" t="s">
        <v>1106</v>
      </c>
      <c r="E38" s="14" t="s">
        <v>1106</v>
      </c>
      <c r="F38" s="14" t="s">
        <v>1101</v>
      </c>
      <c r="G38" s="14" t="s">
        <v>1105</v>
      </c>
      <c r="H38" s="14">
        <v>45472971</v>
      </c>
      <c r="I38" s="14" t="s">
        <v>263</v>
      </c>
      <c r="J38" s="14" t="s">
        <v>264</v>
      </c>
      <c r="K38" s="14" t="s">
        <v>264</v>
      </c>
      <c r="L38" s="14" t="s">
        <v>264</v>
      </c>
      <c r="M38" s="14" t="s">
        <v>68</v>
      </c>
      <c r="N38" s="14" t="s">
        <v>46</v>
      </c>
      <c r="O38" s="14" t="s">
        <v>60</v>
      </c>
      <c r="P38" s="14" t="s">
        <v>48</v>
      </c>
      <c r="Q38" s="14" t="s">
        <v>49</v>
      </c>
      <c r="R38" s="14" t="s">
        <v>50</v>
      </c>
      <c r="S38" s="14" t="s">
        <v>39</v>
      </c>
      <c r="T38" s="14" t="s">
        <v>39</v>
      </c>
      <c r="U38" s="14" t="s">
        <v>39</v>
      </c>
      <c r="V38" s="14" t="s">
        <v>41</v>
      </c>
      <c r="W38" s="14" t="s">
        <v>41</v>
      </c>
      <c r="X38" s="14" t="s">
        <v>39</v>
      </c>
      <c r="Y38" s="14" t="s">
        <v>39</v>
      </c>
      <c r="Z38" s="14" t="s">
        <v>40</v>
      </c>
      <c r="AA38" s="14" t="s">
        <v>41</v>
      </c>
      <c r="AB38" s="14" t="s">
        <v>461</v>
      </c>
      <c r="AC38" s="14" t="s">
        <v>678</v>
      </c>
      <c r="AD38" s="14" t="s">
        <v>492</v>
      </c>
      <c r="AE38" s="14" t="s">
        <v>887</v>
      </c>
      <c r="AF38" s="15">
        <v>45859.652083333334</v>
      </c>
      <c r="AG38" s="15">
        <v>45854.652083333334</v>
      </c>
      <c r="AH38" s="14">
        <v>83.1</v>
      </c>
      <c r="AI38" s="14">
        <v>0</v>
      </c>
      <c r="AJ38" s="14" t="s">
        <v>960</v>
      </c>
      <c r="AK38" s="14">
        <v>3</v>
      </c>
      <c r="AL38" s="14">
        <v>0</v>
      </c>
    </row>
    <row r="39" spans="1:38" x14ac:dyDescent="0.2">
      <c r="A39" s="14" t="s">
        <v>1106</v>
      </c>
      <c r="B39" s="14" t="s">
        <v>1106</v>
      </c>
      <c r="C39" s="14" t="s">
        <v>1106</v>
      </c>
      <c r="D39" s="14" t="s">
        <v>1106</v>
      </c>
      <c r="E39" s="14" t="s">
        <v>1106</v>
      </c>
      <c r="F39" s="14" t="s">
        <v>1101</v>
      </c>
      <c r="G39" s="14" t="s">
        <v>1105</v>
      </c>
      <c r="H39" s="14">
        <v>45969286</v>
      </c>
      <c r="I39" s="14" t="s">
        <v>395</v>
      </c>
      <c r="J39" s="14" t="s">
        <v>396</v>
      </c>
      <c r="K39" s="14" t="s">
        <v>663</v>
      </c>
      <c r="L39" s="14" t="s">
        <v>663</v>
      </c>
      <c r="M39" s="14" t="s">
        <v>397</v>
      </c>
      <c r="N39" s="14" t="s">
        <v>398</v>
      </c>
      <c r="O39" s="14" t="s">
        <v>133</v>
      </c>
      <c r="P39" s="14" t="s">
        <v>48</v>
      </c>
      <c r="Q39" s="14" t="s">
        <v>49</v>
      </c>
      <c r="R39" s="14" t="s">
        <v>50</v>
      </c>
      <c r="S39" s="14" t="s">
        <v>39</v>
      </c>
      <c r="T39" s="14" t="s">
        <v>39</v>
      </c>
      <c r="U39" s="14" t="s">
        <v>39</v>
      </c>
      <c r="V39" s="14" t="s">
        <v>41</v>
      </c>
      <c r="W39" s="14" t="s">
        <v>41</v>
      </c>
      <c r="X39" s="14" t="s">
        <v>39</v>
      </c>
      <c r="Y39" s="14" t="s">
        <v>39</v>
      </c>
      <c r="Z39" s="14" t="s">
        <v>40</v>
      </c>
      <c r="AA39" s="14" t="s">
        <v>41</v>
      </c>
      <c r="AB39" s="14" t="s">
        <v>461</v>
      </c>
      <c r="AC39" s="14" t="s">
        <v>662</v>
      </c>
      <c r="AD39" s="14" t="s">
        <v>446</v>
      </c>
      <c r="AE39" s="14" t="s">
        <v>902</v>
      </c>
      <c r="AF39" s="14" t="s">
        <v>1104</v>
      </c>
      <c r="AG39" s="15">
        <v>45923.441666666666</v>
      </c>
      <c r="AH39" s="14">
        <v>14.3</v>
      </c>
      <c r="AI39" s="14">
        <v>0</v>
      </c>
      <c r="AJ39" s="14" t="s">
        <v>933</v>
      </c>
      <c r="AK39" s="14">
        <v>2</v>
      </c>
      <c r="AL39" s="14">
        <v>0</v>
      </c>
    </row>
    <row r="40" spans="1:38" x14ac:dyDescent="0.2">
      <c r="A40" s="14" t="s">
        <v>1106</v>
      </c>
      <c r="B40" s="14" t="s">
        <v>1106</v>
      </c>
      <c r="C40" s="14" t="s">
        <v>1106</v>
      </c>
      <c r="D40" s="14" t="s">
        <v>1106</v>
      </c>
      <c r="E40" s="14" t="s">
        <v>1106</v>
      </c>
      <c r="F40" s="14" t="s">
        <v>1101</v>
      </c>
      <c r="G40" s="14" t="s">
        <v>1105</v>
      </c>
      <c r="H40" s="14">
        <v>45969536</v>
      </c>
      <c r="I40" s="14" t="s">
        <v>400</v>
      </c>
      <c r="J40" s="14" t="s">
        <v>1083</v>
      </c>
      <c r="K40" s="14" t="s">
        <v>766</v>
      </c>
      <c r="L40" s="14" t="s">
        <v>766</v>
      </c>
      <c r="M40" s="14" t="s">
        <v>59</v>
      </c>
      <c r="N40" s="14" t="s">
        <v>53</v>
      </c>
      <c r="O40" s="14" t="s">
        <v>154</v>
      </c>
      <c r="P40" s="14" t="s">
        <v>36</v>
      </c>
      <c r="Q40" s="14" t="s">
        <v>49</v>
      </c>
      <c r="R40" s="14" t="s">
        <v>50</v>
      </c>
      <c r="S40" s="14" t="s">
        <v>39</v>
      </c>
      <c r="T40" s="14" t="s">
        <v>41</v>
      </c>
      <c r="U40" s="14" t="s">
        <v>39</v>
      </c>
      <c r="V40" s="14" t="s">
        <v>41</v>
      </c>
      <c r="W40" s="14" t="s">
        <v>41</v>
      </c>
      <c r="X40" s="14" t="s">
        <v>39</v>
      </c>
      <c r="Y40" s="14" t="s">
        <v>39</v>
      </c>
      <c r="Z40" s="14" t="s">
        <v>40</v>
      </c>
      <c r="AA40" s="14" t="s">
        <v>41</v>
      </c>
      <c r="AB40" s="14" t="s">
        <v>494</v>
      </c>
      <c r="AC40" s="14" t="s">
        <v>138</v>
      </c>
      <c r="AD40" s="14" t="s">
        <v>446</v>
      </c>
      <c r="AE40" s="14" t="s">
        <v>887</v>
      </c>
      <c r="AF40" s="15">
        <v>45903.352777777778</v>
      </c>
      <c r="AG40" s="15">
        <v>45898.352777777778</v>
      </c>
      <c r="AH40" s="14">
        <v>39.4</v>
      </c>
      <c r="AI40" s="14">
        <v>0</v>
      </c>
      <c r="AJ40" s="14" t="s">
        <v>904</v>
      </c>
      <c r="AK40" s="14">
        <v>1</v>
      </c>
      <c r="AL40" s="14">
        <v>1</v>
      </c>
    </row>
    <row r="41" spans="1:38" x14ac:dyDescent="0.2">
      <c r="A41" s="14" t="s">
        <v>1106</v>
      </c>
      <c r="B41" s="14" t="s">
        <v>1106</v>
      </c>
      <c r="C41" s="14" t="s">
        <v>1106</v>
      </c>
      <c r="D41" s="14" t="s">
        <v>1106</v>
      </c>
      <c r="E41" s="14" t="s">
        <v>1106</v>
      </c>
      <c r="F41" s="14" t="s">
        <v>1101</v>
      </c>
      <c r="G41" s="14" t="s">
        <v>1105</v>
      </c>
      <c r="H41" s="14">
        <v>45970242</v>
      </c>
      <c r="I41" s="14" t="s">
        <v>401</v>
      </c>
      <c r="J41" s="14" t="s">
        <v>402</v>
      </c>
      <c r="K41" s="14" t="s">
        <v>402</v>
      </c>
      <c r="L41" s="14" t="s">
        <v>402</v>
      </c>
      <c r="M41" s="14" t="s">
        <v>372</v>
      </c>
      <c r="N41" s="14" t="s">
        <v>385</v>
      </c>
      <c r="O41" s="14" t="s">
        <v>98</v>
      </c>
      <c r="P41" s="14" t="s">
        <v>48</v>
      </c>
      <c r="Q41" s="14" t="s">
        <v>386</v>
      </c>
      <c r="R41" s="14" t="s">
        <v>50</v>
      </c>
      <c r="S41" s="14" t="s">
        <v>39</v>
      </c>
      <c r="T41" s="14" t="s">
        <v>39</v>
      </c>
      <c r="U41" s="14" t="s">
        <v>39</v>
      </c>
      <c r="V41" s="14" t="s">
        <v>41</v>
      </c>
      <c r="W41" s="14" t="s">
        <v>41</v>
      </c>
      <c r="X41" s="14" t="s">
        <v>39</v>
      </c>
      <c r="Y41" s="14" t="s">
        <v>39</v>
      </c>
      <c r="Z41" s="14" t="s">
        <v>39</v>
      </c>
      <c r="AA41" s="14" t="s">
        <v>41</v>
      </c>
      <c r="AB41" s="14" t="s">
        <v>461</v>
      </c>
      <c r="AC41" s="14" t="s">
        <v>448</v>
      </c>
      <c r="AD41" s="14" t="s">
        <v>531</v>
      </c>
      <c r="AE41" s="14" t="s">
        <v>887</v>
      </c>
      <c r="AF41" s="15">
        <v>45917.61041666667</v>
      </c>
      <c r="AG41" s="15">
        <v>45912.61041666667</v>
      </c>
      <c r="AH41" s="14">
        <v>25.1</v>
      </c>
      <c r="AI41" s="14">
        <v>0</v>
      </c>
      <c r="AJ41" s="14" t="s">
        <v>921</v>
      </c>
      <c r="AK41" s="14">
        <v>3</v>
      </c>
      <c r="AL41" s="14">
        <v>1</v>
      </c>
    </row>
    <row r="42" spans="1:38" x14ac:dyDescent="0.2">
      <c r="A42" s="14" t="s">
        <v>1106</v>
      </c>
      <c r="B42" s="14" t="s">
        <v>1106</v>
      </c>
      <c r="C42" s="14" t="s">
        <v>1106</v>
      </c>
      <c r="D42" s="14" t="s">
        <v>1106</v>
      </c>
      <c r="E42" s="14" t="s">
        <v>1106</v>
      </c>
      <c r="F42" s="14" t="s">
        <v>1101</v>
      </c>
      <c r="G42" s="14" t="s">
        <v>1105</v>
      </c>
      <c r="H42" s="14">
        <v>45968036</v>
      </c>
      <c r="I42" s="14" t="s">
        <v>406</v>
      </c>
      <c r="J42" s="14" t="s">
        <v>407</v>
      </c>
      <c r="K42" s="14" t="s">
        <v>407</v>
      </c>
      <c r="L42" s="14" t="s">
        <v>407</v>
      </c>
      <c r="M42" s="14" t="s">
        <v>80</v>
      </c>
      <c r="N42" s="14" t="s">
        <v>72</v>
      </c>
      <c r="O42" s="14" t="s">
        <v>203</v>
      </c>
      <c r="P42" s="14" t="s">
        <v>48</v>
      </c>
      <c r="Q42" s="14" t="s">
        <v>49</v>
      </c>
      <c r="R42" s="14" t="s">
        <v>74</v>
      </c>
      <c r="S42" s="14" t="s">
        <v>39</v>
      </c>
      <c r="T42" s="14" t="s">
        <v>41</v>
      </c>
      <c r="U42" s="14" t="s">
        <v>39</v>
      </c>
      <c r="V42" s="14" t="s">
        <v>41</v>
      </c>
      <c r="W42" s="14" t="s">
        <v>41</v>
      </c>
      <c r="X42" s="14" t="s">
        <v>39</v>
      </c>
      <c r="Y42" s="14" t="s">
        <v>39</v>
      </c>
      <c r="Z42" s="14" t="s">
        <v>40</v>
      </c>
      <c r="AA42" s="14" t="s">
        <v>41</v>
      </c>
      <c r="AB42" s="14" t="s">
        <v>494</v>
      </c>
      <c r="AC42" s="14" t="s">
        <v>138</v>
      </c>
      <c r="AD42" s="14" t="s">
        <v>681</v>
      </c>
      <c r="AE42" s="14" t="s">
        <v>887</v>
      </c>
      <c r="AF42" s="15">
        <v>45860.632638888892</v>
      </c>
      <c r="AG42" s="15">
        <v>45855.632638888892</v>
      </c>
      <c r="AH42" s="14">
        <v>82.1</v>
      </c>
      <c r="AI42" s="14">
        <v>0</v>
      </c>
      <c r="AJ42" s="14" t="s">
        <v>914</v>
      </c>
      <c r="AK42" s="14">
        <v>1</v>
      </c>
      <c r="AL42" s="14">
        <v>0</v>
      </c>
    </row>
    <row r="43" spans="1:38" x14ac:dyDescent="0.2">
      <c r="A43" s="14" t="s">
        <v>1106</v>
      </c>
      <c r="B43" s="14" t="s">
        <v>1106</v>
      </c>
      <c r="C43" s="14" t="s">
        <v>1106</v>
      </c>
      <c r="D43" s="14" t="s">
        <v>1106</v>
      </c>
      <c r="E43" s="14" t="s">
        <v>1106</v>
      </c>
      <c r="F43" s="14" t="s">
        <v>1101</v>
      </c>
      <c r="G43" s="14" t="s">
        <v>1105</v>
      </c>
      <c r="H43" s="14">
        <v>45764063</v>
      </c>
      <c r="I43" s="14" t="s">
        <v>351</v>
      </c>
      <c r="J43" s="14" t="s">
        <v>352</v>
      </c>
      <c r="K43" s="14" t="s">
        <v>352</v>
      </c>
      <c r="L43" s="14" t="s">
        <v>352</v>
      </c>
      <c r="M43" s="14" t="s">
        <v>90</v>
      </c>
      <c r="N43" s="14" t="s">
        <v>96</v>
      </c>
      <c r="O43" s="14" t="s">
        <v>123</v>
      </c>
      <c r="P43" s="14" t="s">
        <v>36</v>
      </c>
      <c r="Q43" s="14" t="s">
        <v>49</v>
      </c>
      <c r="R43" s="14" t="s">
        <v>74</v>
      </c>
      <c r="S43" s="14" t="s">
        <v>39</v>
      </c>
      <c r="T43" s="14" t="s">
        <v>39</v>
      </c>
      <c r="U43" s="14" t="s">
        <v>39</v>
      </c>
      <c r="V43" s="14" t="s">
        <v>41</v>
      </c>
      <c r="W43" s="14" t="s">
        <v>41</v>
      </c>
      <c r="X43" s="14" t="s">
        <v>39</v>
      </c>
      <c r="Y43" s="14" t="s">
        <v>39</v>
      </c>
      <c r="Z43" s="14" t="s">
        <v>40</v>
      </c>
      <c r="AA43" s="14" t="s">
        <v>41</v>
      </c>
      <c r="AB43" s="14" t="s">
        <v>461</v>
      </c>
      <c r="AC43" s="14" t="s">
        <v>448</v>
      </c>
      <c r="AD43" s="14" t="s">
        <v>458</v>
      </c>
      <c r="AE43" s="14" t="s">
        <v>922</v>
      </c>
      <c r="AF43" s="15">
        <v>45895.481944444444</v>
      </c>
      <c r="AG43" s="15">
        <v>45890.481944444444</v>
      </c>
      <c r="AH43" s="14">
        <v>47.3</v>
      </c>
      <c r="AI43" s="14">
        <v>0</v>
      </c>
      <c r="AJ43" s="14" t="s">
        <v>999</v>
      </c>
      <c r="AK43" s="14">
        <v>2</v>
      </c>
      <c r="AL43" s="14">
        <v>0</v>
      </c>
    </row>
    <row r="44" spans="1:38" x14ac:dyDescent="0.2">
      <c r="A44" s="14" t="s">
        <v>1106</v>
      </c>
      <c r="B44" s="14" t="s">
        <v>1106</v>
      </c>
      <c r="C44" s="14" t="s">
        <v>1106</v>
      </c>
      <c r="D44" s="14" t="s">
        <v>1106</v>
      </c>
      <c r="E44" s="14" t="s">
        <v>1106</v>
      </c>
      <c r="F44" s="14" t="s">
        <v>1101</v>
      </c>
      <c r="G44" s="14" t="s">
        <v>1105</v>
      </c>
      <c r="H44" s="14">
        <v>45472996</v>
      </c>
      <c r="I44" s="14" t="s">
        <v>269</v>
      </c>
      <c r="J44" s="14" t="s">
        <v>270</v>
      </c>
      <c r="K44" s="14" t="s">
        <v>270</v>
      </c>
      <c r="L44" s="14" t="s">
        <v>270</v>
      </c>
      <c r="M44" s="14" t="s">
        <v>271</v>
      </c>
      <c r="N44" s="14" t="s">
        <v>90</v>
      </c>
      <c r="O44" s="14" t="s">
        <v>65</v>
      </c>
      <c r="P44" s="14" t="s">
        <v>48</v>
      </c>
      <c r="Q44" s="14" t="s">
        <v>49</v>
      </c>
      <c r="R44" s="14" t="s">
        <v>50</v>
      </c>
      <c r="S44" s="14" t="s">
        <v>39</v>
      </c>
      <c r="T44" s="14" t="s">
        <v>39</v>
      </c>
      <c r="U44" s="14" t="s">
        <v>39</v>
      </c>
      <c r="V44" s="14" t="s">
        <v>41</v>
      </c>
      <c r="W44" s="14" t="s">
        <v>41</v>
      </c>
      <c r="X44" s="14" t="s">
        <v>39</v>
      </c>
      <c r="Y44" s="14" t="s">
        <v>39</v>
      </c>
      <c r="Z44" s="14" t="s">
        <v>40</v>
      </c>
      <c r="AA44" s="14" t="s">
        <v>41</v>
      </c>
      <c r="AB44" s="14" t="s">
        <v>461</v>
      </c>
      <c r="AC44" s="14" t="s">
        <v>286</v>
      </c>
      <c r="AD44" s="14" t="s">
        <v>458</v>
      </c>
      <c r="AE44" s="14" t="s">
        <v>887</v>
      </c>
      <c r="AF44" s="15">
        <v>45860.586805555555</v>
      </c>
      <c r="AG44" s="15">
        <v>45855.586805555555</v>
      </c>
      <c r="AH44" s="14">
        <v>82.1</v>
      </c>
      <c r="AI44" s="14">
        <v>0</v>
      </c>
      <c r="AJ44" s="14" t="s">
        <v>904</v>
      </c>
      <c r="AK44" s="14">
        <v>3</v>
      </c>
      <c r="AL44" s="14">
        <v>1</v>
      </c>
    </row>
    <row r="45" spans="1:38" x14ac:dyDescent="0.2">
      <c r="A45" s="14" t="s">
        <v>1106</v>
      </c>
      <c r="B45" s="14" t="s">
        <v>1106</v>
      </c>
      <c r="C45" s="14" t="s">
        <v>1106</v>
      </c>
      <c r="D45" s="14" t="s">
        <v>1106</v>
      </c>
      <c r="E45" s="14" t="s">
        <v>1106</v>
      </c>
      <c r="F45" s="14" t="s">
        <v>1101</v>
      </c>
      <c r="G45" s="14" t="s">
        <v>1105</v>
      </c>
      <c r="H45" s="14">
        <v>45970198</v>
      </c>
      <c r="I45" s="14" t="s">
        <v>414</v>
      </c>
      <c r="J45" s="14" t="s">
        <v>415</v>
      </c>
      <c r="K45" s="14" t="s">
        <v>415</v>
      </c>
      <c r="L45" s="14" t="s">
        <v>415</v>
      </c>
      <c r="M45" s="14" t="s">
        <v>252</v>
      </c>
      <c r="N45" s="14" t="s">
        <v>200</v>
      </c>
      <c r="O45" s="14" t="s">
        <v>203</v>
      </c>
      <c r="P45" s="14" t="s">
        <v>48</v>
      </c>
      <c r="Q45" s="14" t="s">
        <v>49</v>
      </c>
      <c r="R45" s="14" t="s">
        <v>50</v>
      </c>
      <c r="S45" s="14" t="s">
        <v>39</v>
      </c>
      <c r="T45" s="14" t="s">
        <v>41</v>
      </c>
      <c r="U45" s="14" t="s">
        <v>39</v>
      </c>
      <c r="V45" s="14" t="s">
        <v>41</v>
      </c>
      <c r="W45" s="14" t="s">
        <v>41</v>
      </c>
      <c r="X45" s="14" t="s">
        <v>39</v>
      </c>
      <c r="Y45" s="14" t="s">
        <v>39</v>
      </c>
      <c r="Z45" s="14" t="s">
        <v>40</v>
      </c>
      <c r="AA45" s="14" t="s">
        <v>41</v>
      </c>
      <c r="AB45" s="14" t="s">
        <v>494</v>
      </c>
      <c r="AC45" s="14" t="s">
        <v>138</v>
      </c>
      <c r="AD45" s="14" t="s">
        <v>737</v>
      </c>
      <c r="AE45" s="14" t="s">
        <v>922</v>
      </c>
      <c r="AF45" s="15">
        <v>45913.538888888892</v>
      </c>
      <c r="AG45" s="15">
        <v>45908.538888888892</v>
      </c>
      <c r="AH45" s="14">
        <v>29.2</v>
      </c>
      <c r="AI45" s="14">
        <v>0</v>
      </c>
      <c r="AJ45" s="14" t="s">
        <v>927</v>
      </c>
      <c r="AK45" s="14">
        <v>2</v>
      </c>
      <c r="AL45" s="14">
        <v>0</v>
      </c>
    </row>
    <row r="46" spans="1:38" x14ac:dyDescent="0.2">
      <c r="A46" s="14" t="s">
        <v>1106</v>
      </c>
      <c r="B46" s="14" t="s">
        <v>1106</v>
      </c>
      <c r="C46" s="14" t="s">
        <v>1106</v>
      </c>
      <c r="D46" s="14" t="s">
        <v>1106</v>
      </c>
      <c r="E46" s="14" t="s">
        <v>1106</v>
      </c>
      <c r="F46" s="14" t="s">
        <v>1101</v>
      </c>
      <c r="G46" s="14" t="s">
        <v>1105</v>
      </c>
      <c r="H46" s="14">
        <v>45970222</v>
      </c>
      <c r="I46" s="14" t="s">
        <v>427</v>
      </c>
      <c r="J46" s="14" t="s">
        <v>428</v>
      </c>
      <c r="K46" s="14" t="s">
        <v>428</v>
      </c>
      <c r="L46" s="14" t="s">
        <v>428</v>
      </c>
      <c r="M46" s="14" t="s">
        <v>429</v>
      </c>
      <c r="N46" s="14" t="s">
        <v>96</v>
      </c>
      <c r="O46" s="14" t="s">
        <v>307</v>
      </c>
      <c r="P46" s="14" t="s">
        <v>36</v>
      </c>
      <c r="Q46" s="14" t="s">
        <v>49</v>
      </c>
      <c r="R46" s="14" t="s">
        <v>50</v>
      </c>
      <c r="S46" s="14" t="s">
        <v>39</v>
      </c>
      <c r="T46" s="14" t="s">
        <v>41</v>
      </c>
      <c r="U46" s="14" t="s">
        <v>39</v>
      </c>
      <c r="V46" s="14" t="s">
        <v>41</v>
      </c>
      <c r="W46" s="14" t="s">
        <v>41</v>
      </c>
      <c r="X46" s="14" t="s">
        <v>39</v>
      </c>
      <c r="Y46" s="14" t="s">
        <v>39</v>
      </c>
      <c r="Z46" s="14" t="s">
        <v>40</v>
      </c>
      <c r="AA46" s="14" t="s">
        <v>41</v>
      </c>
      <c r="AB46" s="14" t="s">
        <v>494</v>
      </c>
      <c r="AC46" s="14" t="s">
        <v>286</v>
      </c>
      <c r="AD46" s="14" t="s">
        <v>737</v>
      </c>
      <c r="AE46" s="14" t="s">
        <v>922</v>
      </c>
      <c r="AF46" s="15">
        <v>45917.602777777778</v>
      </c>
      <c r="AG46" s="15">
        <v>45912.602777777778</v>
      </c>
      <c r="AH46" s="14">
        <v>25.1</v>
      </c>
      <c r="AI46" s="14">
        <v>0</v>
      </c>
      <c r="AJ46" s="14" t="s">
        <v>921</v>
      </c>
      <c r="AK46" s="14">
        <v>2</v>
      </c>
      <c r="AL46" s="14">
        <v>1</v>
      </c>
    </row>
    <row r="47" spans="1:38" x14ac:dyDescent="0.2">
      <c r="A47" s="14" t="s">
        <v>1106</v>
      </c>
      <c r="B47" s="14" t="s">
        <v>1106</v>
      </c>
      <c r="C47" s="14" t="s">
        <v>1106</v>
      </c>
      <c r="D47" s="14" t="s">
        <v>1106</v>
      </c>
      <c r="E47" s="14" t="s">
        <v>1106</v>
      </c>
      <c r="F47" s="14" t="s">
        <v>1101</v>
      </c>
      <c r="G47" s="14" t="s">
        <v>1105</v>
      </c>
      <c r="H47" s="14">
        <v>45346221</v>
      </c>
      <c r="I47" s="14" t="s">
        <v>228</v>
      </c>
      <c r="J47" s="14" t="s">
        <v>229</v>
      </c>
      <c r="K47" s="14" t="s">
        <v>229</v>
      </c>
      <c r="L47" s="14" t="s">
        <v>229</v>
      </c>
      <c r="M47" s="14" t="s">
        <v>80</v>
      </c>
      <c r="N47" s="14" t="s">
        <v>90</v>
      </c>
      <c r="O47" s="14" t="s">
        <v>98</v>
      </c>
      <c r="P47" s="14" t="s">
        <v>36</v>
      </c>
      <c r="Q47" s="14" t="s">
        <v>230</v>
      </c>
      <c r="R47" s="14" t="s">
        <v>50</v>
      </c>
      <c r="S47" s="14" t="s">
        <v>39</v>
      </c>
      <c r="T47" s="14" t="s">
        <v>39</v>
      </c>
      <c r="U47" s="14" t="s">
        <v>39</v>
      </c>
      <c r="V47" s="14" t="s">
        <v>41</v>
      </c>
      <c r="W47" s="14" t="s">
        <v>41</v>
      </c>
      <c r="X47" s="14" t="s">
        <v>39</v>
      </c>
      <c r="Y47" s="14" t="s">
        <v>39</v>
      </c>
      <c r="Z47" s="14" t="s">
        <v>40</v>
      </c>
      <c r="AA47" s="14" t="s">
        <v>41</v>
      </c>
      <c r="AB47" s="14" t="s">
        <v>461</v>
      </c>
      <c r="AC47" s="14" t="s">
        <v>537</v>
      </c>
      <c r="AD47" s="14" t="s">
        <v>645</v>
      </c>
      <c r="AE47" s="14" t="s">
        <v>896</v>
      </c>
      <c r="AF47" s="14" t="s">
        <v>1104</v>
      </c>
      <c r="AG47" s="15">
        <v>45830.552777777775</v>
      </c>
      <c r="AH47" s="14">
        <v>107.2</v>
      </c>
      <c r="AI47" s="14">
        <v>0</v>
      </c>
      <c r="AJ47" s="14" t="s">
        <v>898</v>
      </c>
      <c r="AK47" s="14">
        <v>3</v>
      </c>
      <c r="AL47" s="14">
        <v>0</v>
      </c>
    </row>
    <row r="48" spans="1:38" x14ac:dyDescent="0.2">
      <c r="A48" s="14" t="s">
        <v>1106</v>
      </c>
      <c r="B48" s="14" t="s">
        <v>1106</v>
      </c>
      <c r="C48" s="14" t="s">
        <v>1106</v>
      </c>
      <c r="D48" s="14" t="s">
        <v>1106</v>
      </c>
      <c r="E48" s="14" t="s">
        <v>1106</v>
      </c>
      <c r="F48" s="14" t="s">
        <v>1101</v>
      </c>
      <c r="G48" s="14" t="s">
        <v>1105</v>
      </c>
      <c r="H48" s="14">
        <v>45472654</v>
      </c>
      <c r="I48" s="14" t="s">
        <v>272</v>
      </c>
      <c r="J48" s="14" t="s">
        <v>273</v>
      </c>
      <c r="K48" s="14" t="s">
        <v>273</v>
      </c>
      <c r="L48" s="14" t="s">
        <v>273</v>
      </c>
      <c r="M48" s="14" t="s">
        <v>90</v>
      </c>
      <c r="N48" s="14">
        <v>0</v>
      </c>
      <c r="O48" s="14" t="s">
        <v>138</v>
      </c>
      <c r="P48" s="14" t="s">
        <v>48</v>
      </c>
      <c r="Q48" s="14" t="s">
        <v>49</v>
      </c>
      <c r="R48" s="14" t="s">
        <v>74</v>
      </c>
      <c r="S48" s="14" t="s">
        <v>39</v>
      </c>
      <c r="T48" s="14" t="s">
        <v>39</v>
      </c>
      <c r="U48" s="14" t="s">
        <v>39</v>
      </c>
      <c r="V48" s="14" t="s">
        <v>41</v>
      </c>
      <c r="W48" s="14" t="s">
        <v>41</v>
      </c>
      <c r="X48" s="14" t="s">
        <v>39</v>
      </c>
      <c r="Y48" s="14" t="s">
        <v>39</v>
      </c>
      <c r="Z48" s="14" t="s">
        <v>40</v>
      </c>
      <c r="AA48" s="14" t="s">
        <v>41</v>
      </c>
      <c r="AB48" s="14" t="s">
        <v>461</v>
      </c>
      <c r="AC48" s="14" t="s">
        <v>138</v>
      </c>
      <c r="AD48" s="14" t="s">
        <v>645</v>
      </c>
      <c r="AE48" s="14" t="s">
        <v>896</v>
      </c>
      <c r="AF48" s="14" t="s">
        <v>1104</v>
      </c>
      <c r="AG48" s="15">
        <v>45830.554861111108</v>
      </c>
      <c r="AH48" s="14">
        <v>107.2</v>
      </c>
      <c r="AI48" s="14">
        <v>0</v>
      </c>
      <c r="AJ48" s="14" t="s">
        <v>895</v>
      </c>
      <c r="AK48" s="14">
        <v>1</v>
      </c>
      <c r="AL48" s="14">
        <v>1</v>
      </c>
    </row>
    <row r="49" spans="1:38" x14ac:dyDescent="0.2">
      <c r="A49" s="14" t="s">
        <v>1106</v>
      </c>
      <c r="B49" s="14" t="s">
        <v>1106</v>
      </c>
      <c r="C49" s="14" t="s">
        <v>1106</v>
      </c>
      <c r="D49" s="14" t="s">
        <v>1106</v>
      </c>
      <c r="E49" s="14" t="s">
        <v>1106</v>
      </c>
      <c r="F49" s="14" t="s">
        <v>1101</v>
      </c>
      <c r="G49" s="14" t="s">
        <v>1105</v>
      </c>
      <c r="H49" s="14">
        <v>45968075</v>
      </c>
      <c r="I49" s="14" t="s">
        <v>435</v>
      </c>
      <c r="J49" s="14" t="s">
        <v>436</v>
      </c>
      <c r="K49" s="14" t="s">
        <v>436</v>
      </c>
      <c r="L49" s="14" t="s">
        <v>436</v>
      </c>
      <c r="M49" s="14" t="s">
        <v>437</v>
      </c>
      <c r="N49" s="14" t="s">
        <v>350</v>
      </c>
      <c r="O49" s="14" t="s">
        <v>286</v>
      </c>
      <c r="P49" s="14" t="s">
        <v>36</v>
      </c>
      <c r="Q49" s="14" t="s">
        <v>37</v>
      </c>
      <c r="R49" s="14" t="s">
        <v>50</v>
      </c>
      <c r="S49" s="14" t="s">
        <v>39</v>
      </c>
      <c r="T49" s="14" t="s">
        <v>41</v>
      </c>
      <c r="U49" s="14" t="s">
        <v>39</v>
      </c>
      <c r="V49" s="14" t="s">
        <v>41</v>
      </c>
      <c r="W49" s="14" t="s">
        <v>41</v>
      </c>
      <c r="X49" s="14" t="s">
        <v>39</v>
      </c>
      <c r="Y49" s="14" t="s">
        <v>39</v>
      </c>
      <c r="Z49" s="14" t="s">
        <v>40</v>
      </c>
      <c r="AA49" s="14" t="s">
        <v>41</v>
      </c>
      <c r="AB49" s="14" t="s">
        <v>494</v>
      </c>
      <c r="AC49" s="14" t="s">
        <v>286</v>
      </c>
      <c r="AD49" s="14" t="s">
        <v>469</v>
      </c>
      <c r="AE49" s="14" t="s">
        <v>893</v>
      </c>
      <c r="AF49" s="14" t="s">
        <v>1104</v>
      </c>
      <c r="AG49" s="15">
        <v>45875.455555555556</v>
      </c>
      <c r="AH49" s="14">
        <v>62.3</v>
      </c>
      <c r="AI49" s="14">
        <v>0</v>
      </c>
      <c r="AJ49" s="14" t="s">
        <v>953</v>
      </c>
      <c r="AK49" s="14">
        <v>2</v>
      </c>
      <c r="AL49" s="14">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C5C51-A2D4-654B-AA7A-1B019B095E65}">
  <sheetPr>
    <tabColor theme="5" tint="0.79998168889431442"/>
  </sheetPr>
  <dimension ref="A1:E50"/>
  <sheetViews>
    <sheetView workbookViewId="0"/>
  </sheetViews>
  <sheetFormatPr baseColWidth="10" defaultRowHeight="16" x14ac:dyDescent="0.2"/>
  <cols>
    <col min="1" max="16384" width="10.83203125" style="17"/>
  </cols>
  <sheetData>
    <row r="1" spans="1:5" x14ac:dyDescent="0.2">
      <c r="A1" s="17" t="s">
        <v>1098</v>
      </c>
      <c r="B1" s="17" t="s">
        <v>1</v>
      </c>
      <c r="C1" s="17" t="s">
        <v>1049</v>
      </c>
      <c r="D1" s="17" t="s">
        <v>1107</v>
      </c>
      <c r="E1" s="17" t="s">
        <v>1267</v>
      </c>
    </row>
    <row r="2" spans="1:5" x14ac:dyDescent="0.2">
      <c r="A2" s="17" t="s">
        <v>1100</v>
      </c>
      <c r="B2" s="17" t="s">
        <v>287</v>
      </c>
      <c r="C2" s="17" t="s">
        <v>288</v>
      </c>
      <c r="D2" s="17">
        <v>0</v>
      </c>
      <c r="E2" s="17">
        <v>0</v>
      </c>
    </row>
    <row r="3" spans="1:5" x14ac:dyDescent="0.2">
      <c r="A3" s="17" t="s">
        <v>1100</v>
      </c>
      <c r="B3" s="17" t="s">
        <v>171</v>
      </c>
      <c r="C3" s="17" t="s">
        <v>172</v>
      </c>
      <c r="D3" s="17">
        <v>0</v>
      </c>
      <c r="E3" s="17">
        <v>0</v>
      </c>
    </row>
    <row r="4" spans="1:5" x14ac:dyDescent="0.2">
      <c r="A4" s="17" t="s">
        <v>1100</v>
      </c>
      <c r="B4" s="17" t="s">
        <v>365</v>
      </c>
      <c r="C4" s="17" t="s">
        <v>366</v>
      </c>
      <c r="D4" s="17">
        <v>0</v>
      </c>
      <c r="E4" s="17">
        <v>0</v>
      </c>
    </row>
    <row r="5" spans="1:5" x14ac:dyDescent="0.2">
      <c r="A5" s="17" t="s">
        <v>1100</v>
      </c>
      <c r="B5" s="17" t="s">
        <v>57</v>
      </c>
      <c r="C5" s="17" t="s">
        <v>58</v>
      </c>
      <c r="D5" s="17">
        <v>1</v>
      </c>
      <c r="E5" s="17">
        <v>1</v>
      </c>
    </row>
    <row r="6" spans="1:5" x14ac:dyDescent="0.2">
      <c r="A6" s="17" t="s">
        <v>1100</v>
      </c>
      <c r="B6" s="17" t="s">
        <v>377</v>
      </c>
      <c r="C6" s="17" t="s">
        <v>378</v>
      </c>
      <c r="D6" s="17">
        <v>1</v>
      </c>
      <c r="E6" s="17">
        <v>1</v>
      </c>
    </row>
    <row r="7" spans="1:5" x14ac:dyDescent="0.2">
      <c r="A7" s="17" t="s">
        <v>1100</v>
      </c>
      <c r="B7" s="17" t="s">
        <v>361</v>
      </c>
      <c r="C7" s="17" t="s">
        <v>362</v>
      </c>
      <c r="D7" s="17">
        <v>1</v>
      </c>
      <c r="E7" s="17">
        <v>1</v>
      </c>
    </row>
    <row r="8" spans="1:5" x14ac:dyDescent="0.2">
      <c r="A8" s="17" t="s">
        <v>1100</v>
      </c>
      <c r="B8" s="17" t="s">
        <v>290</v>
      </c>
      <c r="C8" s="17" t="s">
        <v>291</v>
      </c>
      <c r="D8" s="17">
        <v>1</v>
      </c>
      <c r="E8" s="17">
        <v>1</v>
      </c>
    </row>
    <row r="9" spans="1:5" x14ac:dyDescent="0.2">
      <c r="A9" s="17" t="s">
        <v>1100</v>
      </c>
      <c r="B9" s="17" t="s">
        <v>321</v>
      </c>
      <c r="C9" s="17" t="s">
        <v>322</v>
      </c>
      <c r="D9" s="17">
        <v>0</v>
      </c>
      <c r="E9" s="17">
        <v>0</v>
      </c>
    </row>
    <row r="10" spans="1:5" x14ac:dyDescent="0.2">
      <c r="A10" s="17" t="s">
        <v>1100</v>
      </c>
      <c r="B10" s="17" t="s">
        <v>109</v>
      </c>
      <c r="C10" s="17" t="s">
        <v>110</v>
      </c>
      <c r="D10" s="17">
        <v>1</v>
      </c>
      <c r="E10" s="17">
        <v>1</v>
      </c>
    </row>
    <row r="11" spans="1:5" x14ac:dyDescent="0.2">
      <c r="A11" s="17" t="s">
        <v>1100</v>
      </c>
      <c r="B11" s="17" t="s">
        <v>245</v>
      </c>
      <c r="C11" s="17" t="s">
        <v>666</v>
      </c>
      <c r="D11" s="17">
        <v>0</v>
      </c>
      <c r="E11" s="17">
        <v>0</v>
      </c>
    </row>
    <row r="12" spans="1:5" x14ac:dyDescent="0.2">
      <c r="A12" s="17" t="s">
        <v>1100</v>
      </c>
      <c r="B12" s="17" t="s">
        <v>258</v>
      </c>
      <c r="C12" s="17" t="s">
        <v>259</v>
      </c>
      <c r="D12" s="17">
        <v>1</v>
      </c>
      <c r="E12" s="17">
        <v>1</v>
      </c>
    </row>
    <row r="13" spans="1:5" x14ac:dyDescent="0.2">
      <c r="A13" s="17" t="s">
        <v>1100</v>
      </c>
      <c r="B13" s="17" t="s">
        <v>129</v>
      </c>
      <c r="C13" s="17" t="s">
        <v>130</v>
      </c>
      <c r="D13" s="17">
        <v>1</v>
      </c>
      <c r="E13" s="17">
        <v>1</v>
      </c>
    </row>
    <row r="14" spans="1:5" x14ac:dyDescent="0.2">
      <c r="A14" s="17" t="s">
        <v>1100</v>
      </c>
      <c r="B14" s="17" t="s">
        <v>393</v>
      </c>
      <c r="C14" s="17" t="s">
        <v>394</v>
      </c>
      <c r="D14" s="17">
        <v>0</v>
      </c>
      <c r="E14" s="17">
        <v>0</v>
      </c>
    </row>
    <row r="15" spans="1:5" x14ac:dyDescent="0.2">
      <c r="A15" s="17" t="s">
        <v>1100</v>
      </c>
      <c r="B15" s="17" t="s">
        <v>292</v>
      </c>
      <c r="C15" s="17" t="s">
        <v>293</v>
      </c>
      <c r="D15" s="17">
        <v>1</v>
      </c>
      <c r="E15" s="17">
        <v>1</v>
      </c>
    </row>
    <row r="16" spans="1:5" x14ac:dyDescent="0.2">
      <c r="A16" s="17" t="s">
        <v>1100</v>
      </c>
      <c r="B16" s="17" t="s">
        <v>403</v>
      </c>
      <c r="C16" s="17" t="s">
        <v>404</v>
      </c>
      <c r="D16" s="17">
        <v>1</v>
      </c>
      <c r="E16" s="17">
        <v>1</v>
      </c>
    </row>
    <row r="17" spans="1:5" x14ac:dyDescent="0.2">
      <c r="A17" s="17" t="s">
        <v>1100</v>
      </c>
      <c r="B17" s="17" t="s">
        <v>412</v>
      </c>
      <c r="C17" s="17" t="s">
        <v>413</v>
      </c>
      <c r="D17" s="17">
        <v>0</v>
      </c>
      <c r="E17" s="17">
        <v>0</v>
      </c>
    </row>
    <row r="18" spans="1:5" x14ac:dyDescent="0.2">
      <c r="A18" s="17" t="s">
        <v>1100</v>
      </c>
      <c r="B18" s="17" t="s">
        <v>353</v>
      </c>
      <c r="C18" s="17" t="s">
        <v>354</v>
      </c>
      <c r="D18" s="17">
        <v>1</v>
      </c>
      <c r="E18" s="17">
        <v>1</v>
      </c>
    </row>
    <row r="19" spans="1:5" x14ac:dyDescent="0.2">
      <c r="A19" s="17" t="s">
        <v>1100</v>
      </c>
      <c r="B19" s="17" t="s">
        <v>355</v>
      </c>
      <c r="C19" s="17" t="s">
        <v>356</v>
      </c>
      <c r="D19" s="17">
        <v>0</v>
      </c>
      <c r="E19" s="17">
        <v>0</v>
      </c>
    </row>
    <row r="20" spans="1:5" x14ac:dyDescent="0.2">
      <c r="A20" s="17" t="s">
        <v>1100</v>
      </c>
      <c r="B20" s="17" t="s">
        <v>420</v>
      </c>
      <c r="C20" s="17" t="s">
        <v>421</v>
      </c>
      <c r="D20" s="17">
        <v>0</v>
      </c>
      <c r="E20" s="17">
        <v>0</v>
      </c>
    </row>
    <row r="21" spans="1:5" x14ac:dyDescent="0.2">
      <c r="A21" s="17" t="s">
        <v>1100</v>
      </c>
      <c r="B21" s="17" t="s">
        <v>70</v>
      </c>
      <c r="C21" s="17" t="s">
        <v>71</v>
      </c>
      <c r="D21" s="17">
        <v>0</v>
      </c>
      <c r="E21" s="17">
        <v>0</v>
      </c>
    </row>
    <row r="22" spans="1:5" x14ac:dyDescent="0.2">
      <c r="A22" s="17" t="s">
        <v>1100</v>
      </c>
      <c r="B22" s="17" t="s">
        <v>422</v>
      </c>
      <c r="C22" s="17" t="s">
        <v>1082</v>
      </c>
      <c r="D22" s="17">
        <v>1</v>
      </c>
      <c r="E22" s="17">
        <v>1</v>
      </c>
    </row>
    <row r="23" spans="1:5" x14ac:dyDescent="0.2">
      <c r="A23" s="17" t="s">
        <v>1100</v>
      </c>
      <c r="B23" s="17" t="s">
        <v>430</v>
      </c>
      <c r="C23" s="17" t="s">
        <v>431</v>
      </c>
      <c r="D23" s="17">
        <v>0</v>
      </c>
      <c r="E23" s="17">
        <v>0</v>
      </c>
    </row>
    <row r="24" spans="1:5" x14ac:dyDescent="0.2">
      <c r="A24" s="17" t="s">
        <v>1100</v>
      </c>
      <c r="B24" s="17" t="s">
        <v>99</v>
      </c>
      <c r="C24" s="17" t="s">
        <v>100</v>
      </c>
      <c r="D24" s="17">
        <v>0</v>
      </c>
      <c r="E24" s="17">
        <v>0</v>
      </c>
    </row>
    <row r="25" spans="1:5" x14ac:dyDescent="0.2">
      <c r="A25" s="17" t="s">
        <v>1100</v>
      </c>
      <c r="B25" s="17" t="s">
        <v>278</v>
      </c>
      <c r="C25" s="17" t="s">
        <v>279</v>
      </c>
      <c r="D25" s="17">
        <v>0</v>
      </c>
      <c r="E25" s="17">
        <v>0</v>
      </c>
    </row>
    <row r="26" spans="1:5" x14ac:dyDescent="0.2">
      <c r="A26" s="17" t="s">
        <v>1100</v>
      </c>
      <c r="B26" s="17" t="s">
        <v>156</v>
      </c>
      <c r="C26" s="17" t="s">
        <v>157</v>
      </c>
      <c r="D26" s="17">
        <v>1</v>
      </c>
      <c r="E26" s="17">
        <v>1</v>
      </c>
    </row>
    <row r="27" spans="1:5" x14ac:dyDescent="0.2">
      <c r="A27" s="17" t="s">
        <v>1101</v>
      </c>
      <c r="B27" s="17" t="s">
        <v>367</v>
      </c>
      <c r="C27" s="17" t="s">
        <v>368</v>
      </c>
      <c r="D27" s="17">
        <v>1</v>
      </c>
      <c r="E27" s="17">
        <v>1</v>
      </c>
    </row>
    <row r="28" spans="1:5" x14ac:dyDescent="0.2">
      <c r="A28" s="17" t="s">
        <v>1101</v>
      </c>
      <c r="B28" s="17" t="s">
        <v>178</v>
      </c>
      <c r="C28" s="17" t="s">
        <v>179</v>
      </c>
      <c r="D28" s="17">
        <v>1</v>
      </c>
      <c r="E28" s="17">
        <v>1</v>
      </c>
    </row>
    <row r="29" spans="1:5" x14ac:dyDescent="0.2">
      <c r="A29" s="17" t="s">
        <v>1101</v>
      </c>
      <c r="B29" s="17" t="s">
        <v>311</v>
      </c>
      <c r="C29" s="17" t="s">
        <v>312</v>
      </c>
      <c r="D29" s="17">
        <v>1</v>
      </c>
      <c r="E29" s="17">
        <v>1</v>
      </c>
    </row>
    <row r="30" spans="1:5" x14ac:dyDescent="0.2">
      <c r="A30" s="17" t="s">
        <v>1101</v>
      </c>
      <c r="B30" s="17" t="s">
        <v>316</v>
      </c>
      <c r="C30" s="17" t="s">
        <v>317</v>
      </c>
      <c r="D30" s="17">
        <v>1</v>
      </c>
      <c r="E30" s="17">
        <v>1</v>
      </c>
    </row>
    <row r="31" spans="1:5" x14ac:dyDescent="0.2">
      <c r="A31" s="17" t="s">
        <v>1101</v>
      </c>
      <c r="B31" s="17" t="s">
        <v>327</v>
      </c>
      <c r="C31" s="17" t="s">
        <v>328</v>
      </c>
      <c r="D31" s="17">
        <v>0</v>
      </c>
      <c r="E31" s="17">
        <v>0</v>
      </c>
    </row>
    <row r="32" spans="1:5" x14ac:dyDescent="0.2">
      <c r="A32" s="17" t="s">
        <v>1101</v>
      </c>
      <c r="B32" s="17" t="s">
        <v>333</v>
      </c>
      <c r="C32" s="17" t="s">
        <v>334</v>
      </c>
      <c r="D32" s="17">
        <v>0</v>
      </c>
      <c r="E32" s="17">
        <v>0</v>
      </c>
    </row>
    <row r="33" spans="1:5" x14ac:dyDescent="0.2">
      <c r="A33" s="17" t="s">
        <v>1101</v>
      </c>
      <c r="B33" s="17" t="s">
        <v>363</v>
      </c>
      <c r="C33" s="17" t="s">
        <v>364</v>
      </c>
      <c r="D33" s="17">
        <v>1</v>
      </c>
      <c r="E33" s="17">
        <v>1</v>
      </c>
    </row>
    <row r="34" spans="1:5" x14ac:dyDescent="0.2">
      <c r="A34" s="17" t="s">
        <v>1101</v>
      </c>
      <c r="B34" s="17" t="s">
        <v>383</v>
      </c>
      <c r="C34" s="17" t="s">
        <v>384</v>
      </c>
      <c r="D34" s="17">
        <v>0</v>
      </c>
      <c r="E34" s="17">
        <v>0</v>
      </c>
    </row>
    <row r="35" spans="1:5" x14ac:dyDescent="0.2">
      <c r="A35" s="17" t="s">
        <v>1101</v>
      </c>
      <c r="B35" s="17" t="s">
        <v>250</v>
      </c>
      <c r="C35" s="17" t="s">
        <v>251</v>
      </c>
      <c r="D35" s="17">
        <v>0</v>
      </c>
      <c r="E35" s="17">
        <v>0</v>
      </c>
    </row>
    <row r="36" spans="1:5" x14ac:dyDescent="0.2">
      <c r="A36" s="17" t="s">
        <v>1101</v>
      </c>
      <c r="B36" s="17" t="s">
        <v>387</v>
      </c>
      <c r="C36" s="17" t="s">
        <v>388</v>
      </c>
      <c r="D36" s="17">
        <v>0</v>
      </c>
      <c r="E36" s="17">
        <v>0</v>
      </c>
    </row>
    <row r="37" spans="1:5" x14ac:dyDescent="0.2">
      <c r="A37" s="17" t="s">
        <v>1101</v>
      </c>
      <c r="B37" s="17" t="s">
        <v>192</v>
      </c>
      <c r="C37" s="17" t="s">
        <v>193</v>
      </c>
      <c r="D37" s="17">
        <v>1</v>
      </c>
      <c r="E37" s="17">
        <v>1</v>
      </c>
    </row>
    <row r="38" spans="1:5" x14ac:dyDescent="0.2">
      <c r="A38" s="17" t="s">
        <v>1101</v>
      </c>
      <c r="B38" s="17" t="s">
        <v>263</v>
      </c>
      <c r="C38" s="17" t="s">
        <v>264</v>
      </c>
      <c r="D38" s="17">
        <v>0</v>
      </c>
      <c r="E38" s="17">
        <v>0</v>
      </c>
    </row>
    <row r="39" spans="1:5" x14ac:dyDescent="0.2">
      <c r="A39" s="17" t="s">
        <v>1101</v>
      </c>
      <c r="B39" s="17" t="s">
        <v>395</v>
      </c>
      <c r="C39" s="17" t="s">
        <v>396</v>
      </c>
      <c r="D39" s="17">
        <v>0</v>
      </c>
      <c r="E39" s="17">
        <v>0</v>
      </c>
    </row>
    <row r="40" spans="1:5" x14ac:dyDescent="0.2">
      <c r="A40" s="17" t="s">
        <v>1101</v>
      </c>
      <c r="B40" s="17" t="s">
        <v>400</v>
      </c>
      <c r="C40" s="17" t="s">
        <v>1083</v>
      </c>
      <c r="D40" s="17">
        <v>1</v>
      </c>
      <c r="E40" s="17">
        <v>1</v>
      </c>
    </row>
    <row r="41" spans="1:5" x14ac:dyDescent="0.2">
      <c r="A41" s="17" t="s">
        <v>1101</v>
      </c>
      <c r="B41" s="17" t="s">
        <v>401</v>
      </c>
      <c r="C41" s="17" t="s">
        <v>402</v>
      </c>
      <c r="D41" s="17">
        <v>1</v>
      </c>
      <c r="E41" s="17">
        <v>1</v>
      </c>
    </row>
    <row r="42" spans="1:5" x14ac:dyDescent="0.2">
      <c r="A42" s="17" t="s">
        <v>1101</v>
      </c>
      <c r="B42" s="17" t="s">
        <v>406</v>
      </c>
      <c r="C42" s="17" t="s">
        <v>407</v>
      </c>
      <c r="D42" s="17">
        <v>0</v>
      </c>
      <c r="E42" s="17">
        <v>0</v>
      </c>
    </row>
    <row r="43" spans="1:5" x14ac:dyDescent="0.2">
      <c r="A43" s="17" t="s">
        <v>1101</v>
      </c>
      <c r="B43" s="17" t="s">
        <v>351</v>
      </c>
      <c r="C43" s="17" t="s">
        <v>352</v>
      </c>
      <c r="D43" s="17">
        <v>0</v>
      </c>
      <c r="E43" s="17">
        <v>0</v>
      </c>
    </row>
    <row r="44" spans="1:5" x14ac:dyDescent="0.2">
      <c r="A44" s="17" t="s">
        <v>1101</v>
      </c>
      <c r="B44" s="17" t="s">
        <v>269</v>
      </c>
      <c r="C44" s="17" t="s">
        <v>270</v>
      </c>
      <c r="D44" s="17">
        <v>1</v>
      </c>
      <c r="E44" s="17">
        <v>1</v>
      </c>
    </row>
    <row r="45" spans="1:5" x14ac:dyDescent="0.2">
      <c r="A45" s="17" t="s">
        <v>1101</v>
      </c>
      <c r="B45" s="17" t="s">
        <v>414</v>
      </c>
      <c r="C45" s="17" t="s">
        <v>415</v>
      </c>
      <c r="D45" s="17">
        <v>0</v>
      </c>
      <c r="E45" s="17">
        <v>0</v>
      </c>
    </row>
    <row r="46" spans="1:5" x14ac:dyDescent="0.2">
      <c r="A46" s="17" t="s">
        <v>1101</v>
      </c>
      <c r="B46" s="17" t="s">
        <v>427</v>
      </c>
      <c r="C46" s="17" t="s">
        <v>428</v>
      </c>
      <c r="D46" s="17">
        <v>1</v>
      </c>
      <c r="E46" s="17">
        <v>1</v>
      </c>
    </row>
    <row r="47" spans="1:5" x14ac:dyDescent="0.2">
      <c r="A47" s="17" t="s">
        <v>1101</v>
      </c>
      <c r="B47" s="17" t="s">
        <v>228</v>
      </c>
      <c r="C47" s="17" t="s">
        <v>229</v>
      </c>
      <c r="D47" s="17">
        <v>0</v>
      </c>
      <c r="E47" s="17">
        <v>0</v>
      </c>
    </row>
    <row r="48" spans="1:5" x14ac:dyDescent="0.2">
      <c r="A48" s="17" t="s">
        <v>1101</v>
      </c>
      <c r="B48" s="17" t="s">
        <v>272</v>
      </c>
      <c r="C48" s="17" t="s">
        <v>273</v>
      </c>
      <c r="D48" s="17">
        <v>1</v>
      </c>
      <c r="E48" s="17">
        <v>1</v>
      </c>
    </row>
    <row r="49" spans="1:5" x14ac:dyDescent="0.2">
      <c r="A49" s="17" t="s">
        <v>1101</v>
      </c>
      <c r="B49" s="17" t="s">
        <v>435</v>
      </c>
      <c r="C49" s="17" t="s">
        <v>436</v>
      </c>
      <c r="D49" s="17">
        <v>0</v>
      </c>
      <c r="E49" s="17">
        <v>0</v>
      </c>
    </row>
    <row r="50" spans="1:5" x14ac:dyDescent="0.2">
      <c r="A50" s="17" t="s">
        <v>1101</v>
      </c>
      <c r="B50" s="17" t="s">
        <v>370</v>
      </c>
      <c r="C50" s="17" t="s">
        <v>371</v>
      </c>
      <c r="D50" s="17" t="s">
        <v>1106</v>
      </c>
      <c r="E50" s="17">
        <v>1</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43AB8-36BF-C84C-B30E-CDDFB9676E62}">
  <sheetPr>
    <tabColor theme="5" tint="0.79998168889431442"/>
  </sheetPr>
  <dimension ref="A1:F64"/>
  <sheetViews>
    <sheetView workbookViewId="0">
      <selection activeCell="E18" sqref="E18"/>
    </sheetView>
  </sheetViews>
  <sheetFormatPr baseColWidth="10" defaultRowHeight="16" x14ac:dyDescent="0.2"/>
  <cols>
    <col min="1" max="16384" width="10.83203125" style="19"/>
  </cols>
  <sheetData>
    <row r="1" spans="1:6" x14ac:dyDescent="0.2">
      <c r="A1" s="19" t="s">
        <v>1098</v>
      </c>
      <c r="B1" s="19" t="s">
        <v>1</v>
      </c>
      <c r="C1" s="19" t="s">
        <v>1049</v>
      </c>
      <c r="D1" s="19" t="s">
        <v>1107</v>
      </c>
      <c r="E1" s="19" t="s">
        <v>1086</v>
      </c>
    </row>
    <row r="2" spans="1:6" x14ac:dyDescent="0.2">
      <c r="A2" s="19" t="s">
        <v>1100</v>
      </c>
      <c r="B2" s="19" t="s">
        <v>287</v>
      </c>
      <c r="C2" s="19" t="s">
        <v>288</v>
      </c>
      <c r="D2" s="19">
        <v>0</v>
      </c>
      <c r="E2" s="19">
        <f>VLOOKUP(B2,Randomize_10_18_25!$B:$E,4,FALSE)</f>
        <v>0</v>
      </c>
      <c r="F2" s="19" t="b">
        <f>D2=E2</f>
        <v>1</v>
      </c>
    </row>
    <row r="3" spans="1:6" x14ac:dyDescent="0.2">
      <c r="A3" s="19" t="s">
        <v>1100</v>
      </c>
      <c r="B3" s="19" t="s">
        <v>171</v>
      </c>
      <c r="C3" s="19" t="s">
        <v>172</v>
      </c>
      <c r="D3" s="19">
        <v>0</v>
      </c>
      <c r="E3" s="19">
        <f>VLOOKUP(B3,Randomize_10_18_25!$B:$E,4,FALSE)</f>
        <v>0</v>
      </c>
      <c r="F3" s="19" t="b">
        <f t="shared" ref="F3:F64" si="0">D3=E3</f>
        <v>1</v>
      </c>
    </row>
    <row r="4" spans="1:6" x14ac:dyDescent="0.2">
      <c r="A4" s="19" t="s">
        <v>1100</v>
      </c>
      <c r="B4" s="19" t="s">
        <v>365</v>
      </c>
      <c r="C4" s="19" t="s">
        <v>366</v>
      </c>
      <c r="D4" s="19">
        <v>0</v>
      </c>
      <c r="E4" s="19">
        <f>VLOOKUP(B4,Randomize_10_18_25!$B:$E,4,FALSE)</f>
        <v>0</v>
      </c>
      <c r="F4" s="19" t="b">
        <f t="shared" si="0"/>
        <v>1</v>
      </c>
    </row>
    <row r="5" spans="1:6" x14ac:dyDescent="0.2">
      <c r="A5" s="19" t="s">
        <v>1100</v>
      </c>
      <c r="B5" s="19" t="s">
        <v>57</v>
      </c>
      <c r="C5" s="19" t="s">
        <v>58</v>
      </c>
      <c r="D5" s="19">
        <v>1</v>
      </c>
      <c r="E5" s="19">
        <f>VLOOKUP(B5,Randomize_10_18_25!$B:$E,4,FALSE)</f>
        <v>1</v>
      </c>
      <c r="F5" s="19" t="b">
        <f t="shared" si="0"/>
        <v>1</v>
      </c>
    </row>
    <row r="6" spans="1:6" x14ac:dyDescent="0.2">
      <c r="A6" s="19" t="s">
        <v>1100</v>
      </c>
      <c r="B6" s="19" t="s">
        <v>377</v>
      </c>
      <c r="C6" s="19" t="s">
        <v>378</v>
      </c>
      <c r="D6" s="19">
        <v>1</v>
      </c>
      <c r="E6" s="19">
        <f>VLOOKUP(B6,Randomize_10_18_25!$B:$E,4,FALSE)</f>
        <v>1</v>
      </c>
      <c r="F6" s="19" t="b">
        <f t="shared" si="0"/>
        <v>1</v>
      </c>
    </row>
    <row r="7" spans="1:6" x14ac:dyDescent="0.2">
      <c r="A7" s="19" t="s">
        <v>1100</v>
      </c>
      <c r="B7" s="19" t="s">
        <v>361</v>
      </c>
      <c r="C7" s="19" t="s">
        <v>362</v>
      </c>
      <c r="D7" s="19">
        <v>1</v>
      </c>
      <c r="E7" s="19">
        <f>VLOOKUP(B7,Randomize_10_18_25!$B:$E,4,FALSE)</f>
        <v>1</v>
      </c>
      <c r="F7" s="19" t="b">
        <f t="shared" si="0"/>
        <v>1</v>
      </c>
    </row>
    <row r="8" spans="1:6" x14ac:dyDescent="0.2">
      <c r="A8" s="19" t="s">
        <v>1100</v>
      </c>
      <c r="B8" s="19" t="s">
        <v>290</v>
      </c>
      <c r="C8" s="19" t="s">
        <v>291</v>
      </c>
      <c r="D8" s="19">
        <v>1</v>
      </c>
      <c r="E8" s="19">
        <f>VLOOKUP(B8,Randomize_10_18_25!$B:$E,4,FALSE)</f>
        <v>1</v>
      </c>
      <c r="F8" s="19" t="b">
        <f t="shared" si="0"/>
        <v>1</v>
      </c>
    </row>
    <row r="9" spans="1:6" x14ac:dyDescent="0.2">
      <c r="A9" s="19" t="s">
        <v>1100</v>
      </c>
      <c r="B9" s="19" t="s">
        <v>321</v>
      </c>
      <c r="C9" s="19" t="s">
        <v>322</v>
      </c>
      <c r="D9" s="19">
        <v>0</v>
      </c>
      <c r="E9" s="19">
        <f>VLOOKUP(B9,Randomize_10_18_25!$B:$E,4,FALSE)</f>
        <v>0</v>
      </c>
      <c r="F9" s="19" t="b">
        <f t="shared" si="0"/>
        <v>1</v>
      </c>
    </row>
    <row r="10" spans="1:6" x14ac:dyDescent="0.2">
      <c r="A10" s="19" t="s">
        <v>1100</v>
      </c>
      <c r="B10" s="19" t="s">
        <v>109</v>
      </c>
      <c r="C10" s="19" t="s">
        <v>110</v>
      </c>
      <c r="D10" s="19">
        <v>1</v>
      </c>
      <c r="E10" s="19">
        <f>VLOOKUP(B10,Randomize_10_18_25!$B:$E,4,FALSE)</f>
        <v>1</v>
      </c>
      <c r="F10" s="19" t="b">
        <f t="shared" si="0"/>
        <v>1</v>
      </c>
    </row>
    <row r="11" spans="1:6" x14ac:dyDescent="0.2">
      <c r="A11" s="19" t="s">
        <v>1100</v>
      </c>
      <c r="B11" s="19" t="s">
        <v>245</v>
      </c>
      <c r="C11" s="19" t="s">
        <v>666</v>
      </c>
      <c r="D11" s="19">
        <v>0</v>
      </c>
      <c r="E11" s="19">
        <f>VLOOKUP(B11,Randomize_10_18_25!$B:$E,4,FALSE)</f>
        <v>0</v>
      </c>
      <c r="F11" s="19" t="b">
        <f t="shared" si="0"/>
        <v>1</v>
      </c>
    </row>
    <row r="12" spans="1:6" x14ac:dyDescent="0.2">
      <c r="A12" s="19" t="s">
        <v>1100</v>
      </c>
      <c r="B12" s="19" t="s">
        <v>258</v>
      </c>
      <c r="C12" s="19" t="s">
        <v>259</v>
      </c>
      <c r="D12" s="19">
        <v>1</v>
      </c>
      <c r="E12" s="19">
        <f>VLOOKUP(B12,Randomize_10_18_25!$B:$E,4,FALSE)</f>
        <v>1</v>
      </c>
      <c r="F12" s="19" t="b">
        <f t="shared" si="0"/>
        <v>1</v>
      </c>
    </row>
    <row r="13" spans="1:6" x14ac:dyDescent="0.2">
      <c r="A13" s="19" t="s">
        <v>1100</v>
      </c>
      <c r="B13" s="19" t="s">
        <v>129</v>
      </c>
      <c r="C13" s="19" t="s">
        <v>130</v>
      </c>
      <c r="D13" s="19">
        <v>1</v>
      </c>
      <c r="E13" s="19">
        <f>VLOOKUP(B13,Randomize_10_18_25!$B:$E,4,FALSE)</f>
        <v>1</v>
      </c>
      <c r="F13" s="19" t="b">
        <f t="shared" si="0"/>
        <v>1</v>
      </c>
    </row>
    <row r="14" spans="1:6" x14ac:dyDescent="0.2">
      <c r="A14" s="19" t="s">
        <v>1100</v>
      </c>
      <c r="B14" s="19" t="s">
        <v>393</v>
      </c>
      <c r="C14" s="19" t="s">
        <v>394</v>
      </c>
      <c r="D14" s="19">
        <v>0</v>
      </c>
      <c r="E14" s="19">
        <f>VLOOKUP(B14,Randomize_10_18_25!$B:$E,4,FALSE)</f>
        <v>0</v>
      </c>
      <c r="F14" s="19" t="b">
        <f t="shared" si="0"/>
        <v>1</v>
      </c>
    </row>
    <row r="15" spans="1:6" x14ac:dyDescent="0.2">
      <c r="A15" s="19" t="s">
        <v>1100</v>
      </c>
      <c r="B15" s="19" t="s">
        <v>292</v>
      </c>
      <c r="C15" s="19" t="s">
        <v>293</v>
      </c>
      <c r="D15" s="19">
        <v>1</v>
      </c>
      <c r="E15" s="19">
        <f>VLOOKUP(B15,Randomize_10_18_25!$B:$E,4,FALSE)</f>
        <v>1</v>
      </c>
      <c r="F15" s="19" t="b">
        <f t="shared" si="0"/>
        <v>1</v>
      </c>
    </row>
    <row r="16" spans="1:6" x14ac:dyDescent="0.2">
      <c r="A16" s="19" t="s">
        <v>1100</v>
      </c>
      <c r="B16" s="19" t="s">
        <v>403</v>
      </c>
      <c r="C16" s="19" t="s">
        <v>404</v>
      </c>
      <c r="D16" s="19">
        <v>1</v>
      </c>
      <c r="E16" s="19">
        <f>VLOOKUP(B16,Randomize_10_18_25!$B:$E,4,FALSE)</f>
        <v>1</v>
      </c>
      <c r="F16" s="19" t="b">
        <f t="shared" si="0"/>
        <v>1</v>
      </c>
    </row>
    <row r="17" spans="1:6" x14ac:dyDescent="0.2">
      <c r="A17" s="19" t="s">
        <v>1100</v>
      </c>
      <c r="B17" s="19" t="s">
        <v>412</v>
      </c>
      <c r="C17" s="19" t="s">
        <v>413</v>
      </c>
      <c r="D17" s="19">
        <v>0</v>
      </c>
      <c r="E17" s="19">
        <f>VLOOKUP(B17,Randomize_10_18_25!$B:$E,4,FALSE)</f>
        <v>0</v>
      </c>
      <c r="F17" s="19" t="b">
        <f t="shared" si="0"/>
        <v>1</v>
      </c>
    </row>
    <row r="18" spans="1:6" x14ac:dyDescent="0.2">
      <c r="A18" s="19" t="s">
        <v>1100</v>
      </c>
      <c r="B18" s="19" t="s">
        <v>353</v>
      </c>
      <c r="C18" s="19" t="s">
        <v>354</v>
      </c>
      <c r="D18" s="19">
        <v>1</v>
      </c>
      <c r="E18" s="19">
        <f>VLOOKUP(B18,Randomize_10_18_25!$B:$E,4,FALSE)</f>
        <v>1</v>
      </c>
      <c r="F18" s="19" t="b">
        <f t="shared" si="0"/>
        <v>1</v>
      </c>
    </row>
    <row r="19" spans="1:6" x14ac:dyDescent="0.2">
      <c r="A19" s="19" t="s">
        <v>1100</v>
      </c>
      <c r="B19" s="19" t="s">
        <v>355</v>
      </c>
      <c r="C19" s="19" t="s">
        <v>356</v>
      </c>
      <c r="D19" s="19">
        <v>0</v>
      </c>
      <c r="E19" s="19">
        <f>VLOOKUP(B19,Randomize_10_18_25!$B:$E,4,FALSE)</f>
        <v>0</v>
      </c>
      <c r="F19" s="19" t="b">
        <f t="shared" si="0"/>
        <v>1</v>
      </c>
    </row>
    <row r="20" spans="1:6" x14ac:dyDescent="0.2">
      <c r="A20" s="19" t="s">
        <v>1100</v>
      </c>
      <c r="B20" s="19" t="s">
        <v>420</v>
      </c>
      <c r="C20" s="19" t="s">
        <v>421</v>
      </c>
      <c r="D20" s="19">
        <v>0</v>
      </c>
      <c r="E20" s="19">
        <f>VLOOKUP(B20,Randomize_10_18_25!$B:$E,4,FALSE)</f>
        <v>0</v>
      </c>
      <c r="F20" s="19" t="b">
        <f t="shared" si="0"/>
        <v>1</v>
      </c>
    </row>
    <row r="21" spans="1:6" x14ac:dyDescent="0.2">
      <c r="A21" s="19" t="s">
        <v>1100</v>
      </c>
      <c r="B21" s="19" t="s">
        <v>70</v>
      </c>
      <c r="C21" s="19" t="s">
        <v>71</v>
      </c>
      <c r="D21" s="19">
        <v>0</v>
      </c>
      <c r="E21" s="19">
        <f>VLOOKUP(B21,Randomize_10_18_25!$B:$E,4,FALSE)</f>
        <v>0</v>
      </c>
      <c r="F21" s="19" t="b">
        <f t="shared" si="0"/>
        <v>1</v>
      </c>
    </row>
    <row r="22" spans="1:6" x14ac:dyDescent="0.2">
      <c r="A22" s="19" t="s">
        <v>1100</v>
      </c>
      <c r="B22" s="19" t="s">
        <v>422</v>
      </c>
      <c r="C22" s="19" t="s">
        <v>1082</v>
      </c>
      <c r="D22" s="19">
        <v>1</v>
      </c>
      <c r="E22" s="19">
        <f>VLOOKUP(B22,Randomize_10_18_25!$B:$E,4,FALSE)</f>
        <v>1</v>
      </c>
      <c r="F22" s="19" t="b">
        <f t="shared" si="0"/>
        <v>1</v>
      </c>
    </row>
    <row r="23" spans="1:6" x14ac:dyDescent="0.2">
      <c r="A23" s="19" t="s">
        <v>1100</v>
      </c>
      <c r="B23" s="19" t="s">
        <v>430</v>
      </c>
      <c r="C23" s="19" t="s">
        <v>431</v>
      </c>
      <c r="D23" s="19">
        <v>0</v>
      </c>
      <c r="E23" s="19">
        <f>VLOOKUP(B23,Randomize_10_18_25!$B:$E,4,FALSE)</f>
        <v>0</v>
      </c>
      <c r="F23" s="19" t="b">
        <f t="shared" si="0"/>
        <v>1</v>
      </c>
    </row>
    <row r="24" spans="1:6" x14ac:dyDescent="0.2">
      <c r="A24" s="19" t="s">
        <v>1100</v>
      </c>
      <c r="B24" s="19" t="s">
        <v>99</v>
      </c>
      <c r="C24" s="19" t="s">
        <v>100</v>
      </c>
      <c r="D24" s="19">
        <v>0</v>
      </c>
      <c r="E24" s="19">
        <f>VLOOKUP(B24,Randomize_10_18_25!$B:$E,4,FALSE)</f>
        <v>0</v>
      </c>
      <c r="F24" s="19" t="b">
        <f t="shared" si="0"/>
        <v>1</v>
      </c>
    </row>
    <row r="25" spans="1:6" x14ac:dyDescent="0.2">
      <c r="A25" s="19" t="s">
        <v>1100</v>
      </c>
      <c r="B25" s="19" t="s">
        <v>278</v>
      </c>
      <c r="C25" s="19" t="s">
        <v>279</v>
      </c>
      <c r="D25" s="19">
        <v>0</v>
      </c>
      <c r="E25" s="19">
        <f>VLOOKUP(B25,Randomize_10_18_25!$B:$E,4,FALSE)</f>
        <v>0</v>
      </c>
      <c r="F25" s="19" t="b">
        <f t="shared" si="0"/>
        <v>1</v>
      </c>
    </row>
    <row r="26" spans="1:6" x14ac:dyDescent="0.2">
      <c r="A26" s="19" t="s">
        <v>1100</v>
      </c>
      <c r="B26" s="19" t="s">
        <v>156</v>
      </c>
      <c r="C26" s="19" t="s">
        <v>157</v>
      </c>
      <c r="D26" s="19">
        <v>1</v>
      </c>
      <c r="E26" s="19">
        <f>VLOOKUP(B26,Randomize_10_18_25!$B:$E,4,FALSE)</f>
        <v>1</v>
      </c>
      <c r="F26" s="19" t="b">
        <f t="shared" si="0"/>
        <v>1</v>
      </c>
    </row>
    <row r="27" spans="1:6" x14ac:dyDescent="0.2">
      <c r="A27" s="19" t="s">
        <v>1100</v>
      </c>
      <c r="B27" s="19" t="s">
        <v>827</v>
      </c>
      <c r="C27" s="19" t="s">
        <v>826</v>
      </c>
      <c r="D27" s="19">
        <v>0</v>
      </c>
      <c r="E27" s="19" t="e">
        <f>VLOOKUP(B27,Randomize_10_18_25!$B:$E,4,FALSE)</f>
        <v>#N/A</v>
      </c>
      <c r="F27" s="19" t="e">
        <f t="shared" si="0"/>
        <v>#N/A</v>
      </c>
    </row>
    <row r="28" spans="1:6" x14ac:dyDescent="0.2">
      <c r="A28" s="19" t="s">
        <v>1100</v>
      </c>
      <c r="B28" s="19" t="s">
        <v>768</v>
      </c>
      <c r="C28" s="19" t="s">
        <v>767</v>
      </c>
      <c r="D28" s="19">
        <v>0</v>
      </c>
      <c r="E28" s="19" t="e">
        <f>VLOOKUP(B28,Randomize_10_18_25!$B:$E,4,FALSE)</f>
        <v>#N/A</v>
      </c>
      <c r="F28" s="19" t="e">
        <f t="shared" si="0"/>
        <v>#N/A</v>
      </c>
    </row>
    <row r="29" spans="1:6" x14ac:dyDescent="0.2">
      <c r="A29" s="19" t="s">
        <v>1100</v>
      </c>
      <c r="B29" s="19" t="s">
        <v>713</v>
      </c>
      <c r="C29" s="19" t="s">
        <v>712</v>
      </c>
      <c r="D29" s="19">
        <v>0</v>
      </c>
      <c r="E29" s="19" t="e">
        <f>VLOOKUP(B29,Randomize_10_18_25!$B:$E,4,FALSE)</f>
        <v>#N/A</v>
      </c>
      <c r="F29" s="19" t="e">
        <f t="shared" si="0"/>
        <v>#N/A</v>
      </c>
    </row>
    <row r="30" spans="1:6" x14ac:dyDescent="0.2">
      <c r="A30" s="19" t="s">
        <v>1100</v>
      </c>
      <c r="B30" s="19" t="s">
        <v>834</v>
      </c>
      <c r="C30" s="19" t="s">
        <v>833</v>
      </c>
      <c r="D30" s="19">
        <v>1</v>
      </c>
      <c r="E30" s="19" t="e">
        <f>VLOOKUP(B30,Randomize_10_18_25!$B:$E,4,FALSE)</f>
        <v>#N/A</v>
      </c>
      <c r="F30" s="19" t="e">
        <f t="shared" si="0"/>
        <v>#N/A</v>
      </c>
    </row>
    <row r="31" spans="1:6" x14ac:dyDescent="0.2">
      <c r="A31" s="19" t="s">
        <v>1101</v>
      </c>
      <c r="B31" s="19" t="s">
        <v>367</v>
      </c>
      <c r="C31" s="19" t="s">
        <v>368</v>
      </c>
      <c r="D31" s="19">
        <v>1</v>
      </c>
      <c r="E31" s="19">
        <f>VLOOKUP(B31,Randomize_10_18_25!$B:$E,4,FALSE)</f>
        <v>1</v>
      </c>
      <c r="F31" s="19" t="b">
        <f t="shared" si="0"/>
        <v>1</v>
      </c>
    </row>
    <row r="32" spans="1:6" x14ac:dyDescent="0.2">
      <c r="A32" s="19" t="s">
        <v>1101</v>
      </c>
      <c r="B32" s="19" t="s">
        <v>178</v>
      </c>
      <c r="C32" s="19" t="s">
        <v>179</v>
      </c>
      <c r="D32" s="19">
        <v>1</v>
      </c>
      <c r="E32" s="19">
        <f>VLOOKUP(B32,Randomize_10_18_25!$B:$E,4,FALSE)</f>
        <v>1</v>
      </c>
      <c r="F32" s="19" t="b">
        <f t="shared" si="0"/>
        <v>1</v>
      </c>
    </row>
    <row r="33" spans="1:6" x14ac:dyDescent="0.2">
      <c r="A33" s="19" t="s">
        <v>1101</v>
      </c>
      <c r="B33" s="19" t="s">
        <v>311</v>
      </c>
      <c r="C33" s="19" t="s">
        <v>312</v>
      </c>
      <c r="D33" s="19">
        <v>1</v>
      </c>
      <c r="E33" s="19">
        <f>VLOOKUP(B33,Randomize_10_18_25!$B:$E,4,FALSE)</f>
        <v>1</v>
      </c>
      <c r="F33" s="19" t="b">
        <f t="shared" si="0"/>
        <v>1</v>
      </c>
    </row>
    <row r="34" spans="1:6" x14ac:dyDescent="0.2">
      <c r="A34" s="19" t="s">
        <v>1101</v>
      </c>
      <c r="B34" s="19" t="s">
        <v>316</v>
      </c>
      <c r="C34" s="19" t="s">
        <v>317</v>
      </c>
      <c r="D34" s="19">
        <v>1</v>
      </c>
      <c r="E34" s="19">
        <f>VLOOKUP(B34,Randomize_10_18_25!$B:$E,4,FALSE)</f>
        <v>1</v>
      </c>
      <c r="F34" s="19" t="b">
        <f t="shared" si="0"/>
        <v>1</v>
      </c>
    </row>
    <row r="35" spans="1:6" x14ac:dyDescent="0.2">
      <c r="A35" s="19" t="s">
        <v>1101</v>
      </c>
      <c r="B35" s="19" t="s">
        <v>327</v>
      </c>
      <c r="C35" s="19" t="s">
        <v>328</v>
      </c>
      <c r="D35" s="19">
        <v>0</v>
      </c>
      <c r="E35" s="19">
        <f>VLOOKUP(B35,Randomize_10_18_25!$B:$E,4,FALSE)</f>
        <v>0</v>
      </c>
      <c r="F35" s="19" t="b">
        <f t="shared" si="0"/>
        <v>1</v>
      </c>
    </row>
    <row r="36" spans="1:6" x14ac:dyDescent="0.2">
      <c r="A36" s="19" t="s">
        <v>1101</v>
      </c>
      <c r="B36" s="19" t="s">
        <v>333</v>
      </c>
      <c r="C36" s="19" t="s">
        <v>334</v>
      </c>
      <c r="D36" s="19">
        <v>0</v>
      </c>
      <c r="E36" s="19">
        <f>VLOOKUP(B36,Randomize_10_18_25!$B:$E,4,FALSE)</f>
        <v>0</v>
      </c>
      <c r="F36" s="19" t="b">
        <f t="shared" si="0"/>
        <v>1</v>
      </c>
    </row>
    <row r="37" spans="1:6" x14ac:dyDescent="0.2">
      <c r="A37" s="19" t="s">
        <v>1101</v>
      </c>
      <c r="B37" s="19" t="s">
        <v>363</v>
      </c>
      <c r="C37" s="19" t="s">
        <v>364</v>
      </c>
      <c r="D37" s="19">
        <v>1</v>
      </c>
      <c r="E37" s="19">
        <f>VLOOKUP(B37,Randomize_10_18_25!$B:$E,4,FALSE)</f>
        <v>1</v>
      </c>
      <c r="F37" s="19" t="b">
        <f t="shared" si="0"/>
        <v>1</v>
      </c>
    </row>
    <row r="38" spans="1:6" x14ac:dyDescent="0.2">
      <c r="A38" s="19" t="s">
        <v>1101</v>
      </c>
      <c r="B38" s="19" t="s">
        <v>383</v>
      </c>
      <c r="C38" s="19" t="s">
        <v>384</v>
      </c>
      <c r="D38" s="19">
        <v>0</v>
      </c>
      <c r="E38" s="19">
        <f>VLOOKUP(B38,Randomize_10_18_25!$B:$E,4,FALSE)</f>
        <v>0</v>
      </c>
      <c r="F38" s="19" t="b">
        <f t="shared" si="0"/>
        <v>1</v>
      </c>
    </row>
    <row r="39" spans="1:6" x14ac:dyDescent="0.2">
      <c r="A39" s="19" t="s">
        <v>1101</v>
      </c>
      <c r="B39" s="19" t="s">
        <v>250</v>
      </c>
      <c r="C39" s="19" t="s">
        <v>251</v>
      </c>
      <c r="D39" s="19">
        <v>0</v>
      </c>
      <c r="E39" s="19">
        <f>VLOOKUP(B39,Randomize_10_18_25!$B:$E,4,FALSE)</f>
        <v>0</v>
      </c>
      <c r="F39" s="19" t="b">
        <f t="shared" si="0"/>
        <v>1</v>
      </c>
    </row>
    <row r="40" spans="1:6" x14ac:dyDescent="0.2">
      <c r="A40" s="19" t="s">
        <v>1101</v>
      </c>
      <c r="B40" s="19" t="s">
        <v>387</v>
      </c>
      <c r="C40" s="19" t="s">
        <v>388</v>
      </c>
      <c r="D40" s="19">
        <v>0</v>
      </c>
      <c r="E40" s="19">
        <f>VLOOKUP(B40,Randomize_10_18_25!$B:$E,4,FALSE)</f>
        <v>0</v>
      </c>
      <c r="F40" s="19" t="b">
        <f t="shared" si="0"/>
        <v>1</v>
      </c>
    </row>
    <row r="41" spans="1:6" x14ac:dyDescent="0.2">
      <c r="A41" s="19" t="s">
        <v>1101</v>
      </c>
      <c r="B41" s="19" t="s">
        <v>192</v>
      </c>
      <c r="C41" s="19" t="s">
        <v>193</v>
      </c>
      <c r="D41" s="19">
        <v>1</v>
      </c>
      <c r="E41" s="19">
        <f>VLOOKUP(B41,Randomize_10_18_25!$B:$E,4,FALSE)</f>
        <v>1</v>
      </c>
      <c r="F41" s="19" t="b">
        <f t="shared" si="0"/>
        <v>1</v>
      </c>
    </row>
    <row r="42" spans="1:6" x14ac:dyDescent="0.2">
      <c r="A42" s="19" t="s">
        <v>1101</v>
      </c>
      <c r="B42" s="19" t="s">
        <v>263</v>
      </c>
      <c r="C42" s="19" t="s">
        <v>264</v>
      </c>
      <c r="D42" s="19">
        <v>0</v>
      </c>
      <c r="E42" s="19">
        <f>VLOOKUP(B42,Randomize_10_18_25!$B:$E,4,FALSE)</f>
        <v>0</v>
      </c>
      <c r="F42" s="19" t="b">
        <f t="shared" si="0"/>
        <v>1</v>
      </c>
    </row>
    <row r="43" spans="1:6" x14ac:dyDescent="0.2">
      <c r="A43" s="19" t="s">
        <v>1101</v>
      </c>
      <c r="B43" s="19" t="s">
        <v>395</v>
      </c>
      <c r="C43" s="19" t="s">
        <v>396</v>
      </c>
      <c r="D43" s="19">
        <v>0</v>
      </c>
      <c r="E43" s="19">
        <f>VLOOKUP(B43,Randomize_10_18_25!$B:$E,4,FALSE)</f>
        <v>0</v>
      </c>
      <c r="F43" s="19" t="b">
        <f t="shared" si="0"/>
        <v>1</v>
      </c>
    </row>
    <row r="44" spans="1:6" x14ac:dyDescent="0.2">
      <c r="A44" s="19" t="s">
        <v>1101</v>
      </c>
      <c r="B44" s="19" t="s">
        <v>400</v>
      </c>
      <c r="C44" s="19" t="s">
        <v>1083</v>
      </c>
      <c r="D44" s="19">
        <v>1</v>
      </c>
      <c r="E44" s="19">
        <f>VLOOKUP(B44,Randomize_10_18_25!$B:$E,4,FALSE)</f>
        <v>1</v>
      </c>
      <c r="F44" s="19" t="b">
        <f t="shared" si="0"/>
        <v>1</v>
      </c>
    </row>
    <row r="45" spans="1:6" x14ac:dyDescent="0.2">
      <c r="A45" s="19" t="s">
        <v>1101</v>
      </c>
      <c r="B45" s="19" t="s">
        <v>401</v>
      </c>
      <c r="C45" s="19" t="s">
        <v>402</v>
      </c>
      <c r="D45" s="19">
        <v>1</v>
      </c>
      <c r="E45" s="19">
        <f>VLOOKUP(B45,Randomize_10_18_25!$B:$E,4,FALSE)</f>
        <v>1</v>
      </c>
      <c r="F45" s="19" t="b">
        <f t="shared" si="0"/>
        <v>1</v>
      </c>
    </row>
    <row r="46" spans="1:6" x14ac:dyDescent="0.2">
      <c r="A46" s="19" t="s">
        <v>1101</v>
      </c>
      <c r="B46" s="19" t="s">
        <v>406</v>
      </c>
      <c r="C46" s="19" t="s">
        <v>407</v>
      </c>
      <c r="D46" s="19">
        <v>0</v>
      </c>
      <c r="E46" s="19">
        <f>VLOOKUP(B46,Randomize_10_18_25!$B:$E,4,FALSE)</f>
        <v>0</v>
      </c>
      <c r="F46" s="19" t="b">
        <f t="shared" si="0"/>
        <v>1</v>
      </c>
    </row>
    <row r="47" spans="1:6" x14ac:dyDescent="0.2">
      <c r="A47" s="19" t="s">
        <v>1101</v>
      </c>
      <c r="B47" s="19" t="s">
        <v>351</v>
      </c>
      <c r="C47" s="19" t="s">
        <v>352</v>
      </c>
      <c r="D47" s="19">
        <v>0</v>
      </c>
      <c r="E47" s="19">
        <f>VLOOKUP(B47,Randomize_10_18_25!$B:$E,4,FALSE)</f>
        <v>0</v>
      </c>
      <c r="F47" s="19" t="b">
        <f t="shared" si="0"/>
        <v>1</v>
      </c>
    </row>
    <row r="48" spans="1:6" x14ac:dyDescent="0.2">
      <c r="A48" s="19" t="s">
        <v>1101</v>
      </c>
      <c r="B48" s="19" t="s">
        <v>269</v>
      </c>
      <c r="C48" s="19" t="s">
        <v>270</v>
      </c>
      <c r="D48" s="19">
        <v>1</v>
      </c>
      <c r="E48" s="19">
        <f>VLOOKUP(B48,Randomize_10_18_25!$B:$E,4,FALSE)</f>
        <v>1</v>
      </c>
      <c r="F48" s="19" t="b">
        <f t="shared" si="0"/>
        <v>1</v>
      </c>
    </row>
    <row r="49" spans="1:6" x14ac:dyDescent="0.2">
      <c r="A49" s="19" t="s">
        <v>1101</v>
      </c>
      <c r="B49" s="19" t="s">
        <v>414</v>
      </c>
      <c r="C49" s="19" t="s">
        <v>415</v>
      </c>
      <c r="D49" s="19">
        <v>0</v>
      </c>
      <c r="E49" s="19">
        <f>VLOOKUP(B49,Randomize_10_18_25!$B:$E,4,FALSE)</f>
        <v>0</v>
      </c>
      <c r="F49" s="19" t="b">
        <f t="shared" si="0"/>
        <v>1</v>
      </c>
    </row>
    <row r="50" spans="1:6" x14ac:dyDescent="0.2">
      <c r="A50" s="19" t="s">
        <v>1101</v>
      </c>
      <c r="B50" s="19" t="s">
        <v>427</v>
      </c>
      <c r="C50" s="19" t="s">
        <v>428</v>
      </c>
      <c r="D50" s="19">
        <v>1</v>
      </c>
      <c r="E50" s="19">
        <f>VLOOKUP(B50,Randomize_10_18_25!$B:$E,4,FALSE)</f>
        <v>1</v>
      </c>
      <c r="F50" s="19" t="b">
        <f t="shared" si="0"/>
        <v>1</v>
      </c>
    </row>
    <row r="51" spans="1:6" x14ac:dyDescent="0.2">
      <c r="A51" s="19" t="s">
        <v>1101</v>
      </c>
      <c r="B51" s="19" t="s">
        <v>228</v>
      </c>
      <c r="C51" s="19" t="s">
        <v>229</v>
      </c>
      <c r="D51" s="19">
        <v>0</v>
      </c>
      <c r="E51" s="19">
        <f>VLOOKUP(B51,Randomize_10_18_25!$B:$E,4,FALSE)</f>
        <v>0</v>
      </c>
      <c r="F51" s="19" t="b">
        <f t="shared" si="0"/>
        <v>1</v>
      </c>
    </row>
    <row r="52" spans="1:6" x14ac:dyDescent="0.2">
      <c r="A52" s="19" t="s">
        <v>1101</v>
      </c>
      <c r="B52" s="19" t="s">
        <v>272</v>
      </c>
      <c r="C52" s="19" t="s">
        <v>273</v>
      </c>
      <c r="D52" s="19">
        <v>1</v>
      </c>
      <c r="E52" s="19">
        <f>VLOOKUP(B52,Randomize_10_18_25!$B:$E,4,FALSE)</f>
        <v>1</v>
      </c>
      <c r="F52" s="19" t="b">
        <f t="shared" si="0"/>
        <v>1</v>
      </c>
    </row>
    <row r="53" spans="1:6" x14ac:dyDescent="0.2">
      <c r="A53" s="19" t="s">
        <v>1101</v>
      </c>
      <c r="B53" s="19" t="s">
        <v>435</v>
      </c>
      <c r="C53" s="19" t="s">
        <v>436</v>
      </c>
      <c r="D53" s="19">
        <v>0</v>
      </c>
      <c r="E53" s="19">
        <f>VLOOKUP(B53,Randomize_10_18_25!$B:$E,4,FALSE)</f>
        <v>0</v>
      </c>
      <c r="F53" s="19" t="b">
        <f t="shared" si="0"/>
        <v>1</v>
      </c>
    </row>
    <row r="54" spans="1:6" x14ac:dyDescent="0.2">
      <c r="A54" s="19" t="s">
        <v>1101</v>
      </c>
      <c r="B54" s="19" t="s">
        <v>370</v>
      </c>
      <c r="C54" s="19" t="s">
        <v>371</v>
      </c>
      <c r="D54" s="19">
        <v>1</v>
      </c>
      <c r="E54" s="19">
        <f>VLOOKUP(B54,Randomize_10_18_25!$B:$E,4,FALSE)</f>
        <v>1</v>
      </c>
      <c r="F54" s="19" t="b">
        <f t="shared" si="0"/>
        <v>1</v>
      </c>
    </row>
    <row r="55" spans="1:6" x14ac:dyDescent="0.2">
      <c r="A55" s="19" t="s">
        <v>1101</v>
      </c>
      <c r="B55" s="19" t="s">
        <v>836</v>
      </c>
      <c r="C55" s="19" t="s">
        <v>835</v>
      </c>
      <c r="D55" s="19">
        <v>1</v>
      </c>
      <c r="E55" s="19" t="e">
        <f>VLOOKUP(B55,Randomize_10_18_25!$B:$E,4,FALSE)</f>
        <v>#N/A</v>
      </c>
      <c r="F55" s="19" t="e">
        <f t="shared" si="0"/>
        <v>#N/A</v>
      </c>
    </row>
    <row r="56" spans="1:6" x14ac:dyDescent="0.2">
      <c r="A56" s="19" t="s">
        <v>1101</v>
      </c>
      <c r="B56" s="19" t="s">
        <v>849</v>
      </c>
      <c r="C56" s="19" t="s">
        <v>848</v>
      </c>
      <c r="D56" s="19">
        <v>1</v>
      </c>
      <c r="E56" s="19" t="e">
        <f>VLOOKUP(B56,Randomize_10_18_25!$B:$E,4,FALSE)</f>
        <v>#N/A</v>
      </c>
      <c r="F56" s="19" t="e">
        <f t="shared" si="0"/>
        <v>#N/A</v>
      </c>
    </row>
    <row r="57" spans="1:6" x14ac:dyDescent="0.2">
      <c r="A57" s="19" t="s">
        <v>1101</v>
      </c>
      <c r="B57" s="19" t="s">
        <v>867</v>
      </c>
      <c r="C57" s="19" t="s">
        <v>866</v>
      </c>
      <c r="D57" s="19">
        <v>0</v>
      </c>
      <c r="E57" s="19" t="e">
        <f>VLOOKUP(B57,Randomize_10_18_25!$B:$E,4,FALSE)</f>
        <v>#N/A</v>
      </c>
      <c r="F57" s="19" t="e">
        <f t="shared" si="0"/>
        <v>#N/A</v>
      </c>
    </row>
    <row r="58" spans="1:6" x14ac:dyDescent="0.2">
      <c r="A58" s="19" t="s">
        <v>1101</v>
      </c>
      <c r="B58" s="19" t="s">
        <v>1152</v>
      </c>
      <c r="C58" s="19" t="s">
        <v>1153</v>
      </c>
      <c r="D58" s="19">
        <v>1</v>
      </c>
      <c r="E58" s="19" t="e">
        <f>VLOOKUP(B58,Randomize_10_18_25!$B:$E,4,FALSE)</f>
        <v>#N/A</v>
      </c>
      <c r="F58" s="19" t="e">
        <f t="shared" si="0"/>
        <v>#N/A</v>
      </c>
    </row>
    <row r="59" spans="1:6" x14ac:dyDescent="0.2">
      <c r="A59" s="19" t="s">
        <v>1101</v>
      </c>
      <c r="B59" s="19" t="s">
        <v>843</v>
      </c>
      <c r="C59" s="19" t="s">
        <v>842</v>
      </c>
      <c r="D59" s="19">
        <v>0</v>
      </c>
      <c r="E59" s="19" t="e">
        <f>VLOOKUP(B59,Randomize_10_18_25!$B:$E,4,FALSE)</f>
        <v>#N/A</v>
      </c>
      <c r="F59" s="19" t="e">
        <f t="shared" si="0"/>
        <v>#N/A</v>
      </c>
    </row>
    <row r="60" spans="1:6" x14ac:dyDescent="0.2">
      <c r="A60" s="19" t="s">
        <v>1101</v>
      </c>
      <c r="B60" s="19" t="s">
        <v>775</v>
      </c>
      <c r="C60" s="19" t="s">
        <v>774</v>
      </c>
      <c r="D60" s="19">
        <v>1</v>
      </c>
      <c r="E60" s="19" t="e">
        <f>VLOOKUP(B60,Randomize_10_18_25!$B:$E,4,FALSE)</f>
        <v>#N/A</v>
      </c>
      <c r="F60" s="19" t="e">
        <f t="shared" si="0"/>
        <v>#N/A</v>
      </c>
    </row>
    <row r="61" spans="1:6" x14ac:dyDescent="0.2">
      <c r="A61" s="19" t="s">
        <v>1101</v>
      </c>
      <c r="B61" s="19" t="s">
        <v>802</v>
      </c>
      <c r="C61" s="19" t="s">
        <v>1095</v>
      </c>
      <c r="D61" s="19">
        <v>1</v>
      </c>
      <c r="E61" s="19" t="e">
        <f>VLOOKUP(B61,Randomize_10_18_25!$B:$E,4,FALSE)</f>
        <v>#N/A</v>
      </c>
      <c r="F61" s="19" t="e">
        <f t="shared" si="0"/>
        <v>#N/A</v>
      </c>
    </row>
    <row r="62" spans="1:6" x14ac:dyDescent="0.2">
      <c r="A62" s="19" t="s">
        <v>1101</v>
      </c>
      <c r="B62" s="19" t="s">
        <v>799</v>
      </c>
      <c r="C62" s="19" t="s">
        <v>798</v>
      </c>
      <c r="D62" s="19">
        <v>0</v>
      </c>
      <c r="E62" s="19" t="e">
        <f>VLOOKUP(B62,Randomize_10_18_25!$B:$E,4,FALSE)</f>
        <v>#N/A</v>
      </c>
      <c r="F62" s="19" t="e">
        <f t="shared" si="0"/>
        <v>#N/A</v>
      </c>
    </row>
    <row r="63" spans="1:6" x14ac:dyDescent="0.2">
      <c r="A63" s="19" t="s">
        <v>1101</v>
      </c>
      <c r="B63" s="19" t="s">
        <v>792</v>
      </c>
      <c r="C63" s="19" t="s">
        <v>791</v>
      </c>
      <c r="D63" s="19">
        <v>1</v>
      </c>
      <c r="E63" s="19" t="e">
        <f>VLOOKUP(B63,Randomize_10_18_25!$B:$E,4,FALSE)</f>
        <v>#N/A</v>
      </c>
      <c r="F63" s="19" t="e">
        <f t="shared" si="0"/>
        <v>#N/A</v>
      </c>
    </row>
    <row r="64" spans="1:6" x14ac:dyDescent="0.2">
      <c r="A64" s="19" t="s">
        <v>1101</v>
      </c>
      <c r="B64" s="19" t="s">
        <v>865</v>
      </c>
      <c r="C64" s="19" t="s">
        <v>864</v>
      </c>
      <c r="D64" s="19">
        <v>1</v>
      </c>
      <c r="E64" s="19" t="e">
        <f>VLOOKUP(B64,Randomize_10_18_25!$B:$E,4,FALSE)</f>
        <v>#N/A</v>
      </c>
      <c r="F64" s="19" t="e">
        <f t="shared" si="0"/>
        <v>#N/A</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BE9240-DF53-8F42-AFE9-74C72575BDEF}">
  <sheetPr>
    <tabColor theme="5" tint="0.79998168889431442"/>
  </sheetPr>
  <dimension ref="A1:D62"/>
  <sheetViews>
    <sheetView workbookViewId="0">
      <selection activeCell="G13" sqref="G13"/>
    </sheetView>
  </sheetViews>
  <sheetFormatPr baseColWidth="10" defaultRowHeight="16" x14ac:dyDescent="0.2"/>
  <cols>
    <col min="1" max="16384" width="10.83203125" style="24"/>
  </cols>
  <sheetData>
    <row r="1" spans="1:4" x14ac:dyDescent="0.2">
      <c r="A1" s="24" t="s">
        <v>1098</v>
      </c>
      <c r="B1" s="24" t="s">
        <v>1</v>
      </c>
      <c r="C1" s="24" t="s">
        <v>1049</v>
      </c>
      <c r="D1" s="24" t="s">
        <v>1107</v>
      </c>
    </row>
    <row r="2" spans="1:4" x14ac:dyDescent="0.2">
      <c r="A2" s="24" t="s">
        <v>1100</v>
      </c>
      <c r="B2" s="24" t="s">
        <v>287</v>
      </c>
      <c r="C2" s="24" t="s">
        <v>288</v>
      </c>
      <c r="D2" s="24">
        <v>0</v>
      </c>
    </row>
    <row r="3" spans="1:4" x14ac:dyDescent="0.2">
      <c r="A3" s="24" t="s">
        <v>1100</v>
      </c>
      <c r="B3" s="24" t="s">
        <v>171</v>
      </c>
      <c r="C3" s="24" t="s">
        <v>172</v>
      </c>
      <c r="D3" s="24">
        <v>0</v>
      </c>
    </row>
    <row r="4" spans="1:4" x14ac:dyDescent="0.2">
      <c r="A4" s="24" t="s">
        <v>1100</v>
      </c>
      <c r="B4" s="24" t="s">
        <v>365</v>
      </c>
      <c r="C4" s="24" t="s">
        <v>366</v>
      </c>
      <c r="D4" s="24">
        <v>0</v>
      </c>
    </row>
    <row r="5" spans="1:4" x14ac:dyDescent="0.2">
      <c r="A5" s="24" t="s">
        <v>1100</v>
      </c>
      <c r="B5" s="24" t="s">
        <v>57</v>
      </c>
      <c r="C5" s="24" t="s">
        <v>58</v>
      </c>
      <c r="D5" s="24">
        <v>1</v>
      </c>
    </row>
    <row r="6" spans="1:4" x14ac:dyDescent="0.2">
      <c r="A6" s="24" t="s">
        <v>1100</v>
      </c>
      <c r="B6" s="24" t="s">
        <v>377</v>
      </c>
      <c r="C6" s="24" t="s">
        <v>378</v>
      </c>
      <c r="D6" s="24">
        <v>1</v>
      </c>
    </row>
    <row r="7" spans="1:4" x14ac:dyDescent="0.2">
      <c r="A7" s="24" t="s">
        <v>1100</v>
      </c>
      <c r="B7" s="24" t="s">
        <v>361</v>
      </c>
      <c r="C7" s="24" t="s">
        <v>362</v>
      </c>
      <c r="D7" s="24">
        <v>1</v>
      </c>
    </row>
    <row r="8" spans="1:4" x14ac:dyDescent="0.2">
      <c r="A8" s="24" t="s">
        <v>1100</v>
      </c>
      <c r="B8" s="24" t="s">
        <v>290</v>
      </c>
      <c r="C8" s="24" t="s">
        <v>291</v>
      </c>
      <c r="D8" s="24">
        <v>1</v>
      </c>
    </row>
    <row r="9" spans="1:4" x14ac:dyDescent="0.2">
      <c r="A9" s="24" t="s">
        <v>1100</v>
      </c>
      <c r="B9" s="24" t="s">
        <v>321</v>
      </c>
      <c r="C9" s="24" t="s">
        <v>322</v>
      </c>
      <c r="D9" s="24">
        <v>0</v>
      </c>
    </row>
    <row r="10" spans="1:4" x14ac:dyDescent="0.2">
      <c r="A10" s="24" t="s">
        <v>1100</v>
      </c>
      <c r="B10" s="24" t="s">
        <v>109</v>
      </c>
      <c r="C10" s="24" t="s">
        <v>110</v>
      </c>
      <c r="D10" s="24">
        <v>1</v>
      </c>
    </row>
    <row r="11" spans="1:4" x14ac:dyDescent="0.2">
      <c r="A11" s="24" t="s">
        <v>1100</v>
      </c>
      <c r="B11" s="24" t="s">
        <v>245</v>
      </c>
      <c r="C11" s="24" t="s">
        <v>666</v>
      </c>
      <c r="D11" s="24">
        <v>0</v>
      </c>
    </row>
    <row r="12" spans="1:4" x14ac:dyDescent="0.2">
      <c r="A12" s="24" t="s">
        <v>1100</v>
      </c>
      <c r="B12" s="24" t="s">
        <v>258</v>
      </c>
      <c r="C12" s="24" t="s">
        <v>259</v>
      </c>
      <c r="D12" s="24">
        <v>1</v>
      </c>
    </row>
    <row r="13" spans="1:4" x14ac:dyDescent="0.2">
      <c r="A13" s="24" t="s">
        <v>1100</v>
      </c>
      <c r="B13" s="24" t="s">
        <v>129</v>
      </c>
      <c r="C13" s="24" t="s">
        <v>130</v>
      </c>
      <c r="D13" s="24">
        <v>1</v>
      </c>
    </row>
    <row r="14" spans="1:4" x14ac:dyDescent="0.2">
      <c r="A14" s="24" t="s">
        <v>1100</v>
      </c>
      <c r="B14" s="24" t="s">
        <v>393</v>
      </c>
      <c r="C14" s="24" t="s">
        <v>394</v>
      </c>
      <c r="D14" s="24">
        <v>0</v>
      </c>
    </row>
    <row r="15" spans="1:4" x14ac:dyDescent="0.2">
      <c r="A15" s="24" t="s">
        <v>1100</v>
      </c>
      <c r="B15" s="24" t="s">
        <v>292</v>
      </c>
      <c r="C15" s="24" t="s">
        <v>293</v>
      </c>
      <c r="D15" s="24">
        <v>1</v>
      </c>
    </row>
    <row r="16" spans="1:4" x14ac:dyDescent="0.2">
      <c r="A16" s="24" t="s">
        <v>1100</v>
      </c>
      <c r="B16" s="24" t="s">
        <v>403</v>
      </c>
      <c r="C16" s="24" t="s">
        <v>404</v>
      </c>
      <c r="D16" s="24">
        <v>1</v>
      </c>
    </row>
    <row r="17" spans="1:4" x14ac:dyDescent="0.2">
      <c r="A17" s="24" t="s">
        <v>1100</v>
      </c>
      <c r="B17" s="24" t="s">
        <v>412</v>
      </c>
      <c r="C17" s="24" t="s">
        <v>413</v>
      </c>
      <c r="D17" s="24">
        <v>0</v>
      </c>
    </row>
    <row r="18" spans="1:4" x14ac:dyDescent="0.2">
      <c r="A18" s="24" t="s">
        <v>1100</v>
      </c>
      <c r="B18" s="24" t="s">
        <v>353</v>
      </c>
      <c r="C18" s="24" t="s">
        <v>354</v>
      </c>
      <c r="D18" s="24">
        <v>1</v>
      </c>
    </row>
    <row r="19" spans="1:4" x14ac:dyDescent="0.2">
      <c r="A19" s="24" t="s">
        <v>1100</v>
      </c>
      <c r="B19" s="24" t="s">
        <v>355</v>
      </c>
      <c r="C19" s="24" t="s">
        <v>356</v>
      </c>
      <c r="D19" s="24">
        <v>0</v>
      </c>
    </row>
    <row r="20" spans="1:4" x14ac:dyDescent="0.2">
      <c r="A20" s="24" t="s">
        <v>1100</v>
      </c>
      <c r="B20" s="24" t="s">
        <v>420</v>
      </c>
      <c r="C20" s="24" t="s">
        <v>421</v>
      </c>
      <c r="D20" s="24">
        <v>0</v>
      </c>
    </row>
    <row r="21" spans="1:4" x14ac:dyDescent="0.2">
      <c r="A21" s="24" t="s">
        <v>1100</v>
      </c>
      <c r="B21" s="24" t="s">
        <v>70</v>
      </c>
      <c r="C21" s="24" t="s">
        <v>71</v>
      </c>
      <c r="D21" s="24">
        <v>0</v>
      </c>
    </row>
    <row r="22" spans="1:4" x14ac:dyDescent="0.2">
      <c r="A22" s="24" t="s">
        <v>1100</v>
      </c>
      <c r="B22" s="24" t="s">
        <v>422</v>
      </c>
      <c r="C22" s="24" t="s">
        <v>1082</v>
      </c>
      <c r="D22" s="24">
        <v>1</v>
      </c>
    </row>
    <row r="23" spans="1:4" x14ac:dyDescent="0.2">
      <c r="A23" s="24" t="s">
        <v>1100</v>
      </c>
      <c r="B23" s="24" t="s">
        <v>430</v>
      </c>
      <c r="C23" s="24" t="s">
        <v>431</v>
      </c>
      <c r="D23" s="24">
        <v>0</v>
      </c>
    </row>
    <row r="24" spans="1:4" x14ac:dyDescent="0.2">
      <c r="A24" s="24" t="s">
        <v>1100</v>
      </c>
      <c r="B24" s="24" t="s">
        <v>99</v>
      </c>
      <c r="C24" s="24" t="s">
        <v>100</v>
      </c>
      <c r="D24" s="24">
        <v>0</v>
      </c>
    </row>
    <row r="25" spans="1:4" x14ac:dyDescent="0.2">
      <c r="A25" s="24" t="s">
        <v>1100</v>
      </c>
      <c r="B25" s="24" t="s">
        <v>278</v>
      </c>
      <c r="C25" s="24" t="s">
        <v>279</v>
      </c>
      <c r="D25" s="24">
        <v>0</v>
      </c>
    </row>
    <row r="26" spans="1:4" x14ac:dyDescent="0.2">
      <c r="A26" s="24" t="s">
        <v>1100</v>
      </c>
      <c r="B26" s="24" t="s">
        <v>156</v>
      </c>
      <c r="C26" s="24" t="s">
        <v>157</v>
      </c>
      <c r="D26" s="24">
        <v>1</v>
      </c>
    </row>
    <row r="27" spans="1:4" x14ac:dyDescent="0.2">
      <c r="A27" s="24" t="s">
        <v>1100</v>
      </c>
      <c r="B27" s="24" t="s">
        <v>827</v>
      </c>
      <c r="C27" s="24" t="s">
        <v>826</v>
      </c>
      <c r="D27" s="24">
        <v>0</v>
      </c>
    </row>
    <row r="28" spans="1:4" x14ac:dyDescent="0.2">
      <c r="A28" s="24" t="s">
        <v>1100</v>
      </c>
      <c r="B28" s="24" t="s">
        <v>713</v>
      </c>
      <c r="C28" s="24" t="s">
        <v>712</v>
      </c>
      <c r="D28" s="24">
        <v>0</v>
      </c>
    </row>
    <row r="29" spans="1:4" x14ac:dyDescent="0.2">
      <c r="A29" s="24" t="s">
        <v>1100</v>
      </c>
      <c r="B29" s="24" t="s">
        <v>834</v>
      </c>
      <c r="C29" s="24" t="s">
        <v>833</v>
      </c>
      <c r="D29" s="24">
        <v>0</v>
      </c>
    </row>
    <row r="30" spans="1:4" x14ac:dyDescent="0.2">
      <c r="A30" s="24" t="s">
        <v>1100</v>
      </c>
      <c r="B30" s="24" t="s">
        <v>796</v>
      </c>
      <c r="C30" s="24" t="s">
        <v>2204</v>
      </c>
      <c r="D30" s="24">
        <v>1</v>
      </c>
    </row>
    <row r="31" spans="1:4" x14ac:dyDescent="0.2">
      <c r="A31" s="24" t="s">
        <v>1100</v>
      </c>
      <c r="B31" s="24" t="s">
        <v>797</v>
      </c>
      <c r="C31" s="24" t="s">
        <v>2209</v>
      </c>
      <c r="D31" s="24">
        <v>1</v>
      </c>
    </row>
    <row r="32" spans="1:4" x14ac:dyDescent="0.2">
      <c r="A32" s="24" t="s">
        <v>1100</v>
      </c>
      <c r="B32" s="24" t="s">
        <v>1091</v>
      </c>
      <c r="C32" s="24" t="s">
        <v>2219</v>
      </c>
      <c r="D32" s="24">
        <v>1</v>
      </c>
    </row>
    <row r="33" spans="1:4" x14ac:dyDescent="0.2">
      <c r="A33" s="24" t="s">
        <v>1101</v>
      </c>
      <c r="B33" s="24" t="s">
        <v>367</v>
      </c>
      <c r="C33" s="24" t="s">
        <v>368</v>
      </c>
      <c r="D33" s="24">
        <v>1</v>
      </c>
    </row>
    <row r="34" spans="1:4" x14ac:dyDescent="0.2">
      <c r="A34" s="24" t="s">
        <v>1101</v>
      </c>
      <c r="B34" s="24" t="s">
        <v>178</v>
      </c>
      <c r="C34" s="24" t="s">
        <v>179</v>
      </c>
      <c r="D34" s="24">
        <v>1</v>
      </c>
    </row>
    <row r="35" spans="1:4" x14ac:dyDescent="0.2">
      <c r="A35" s="24" t="s">
        <v>1101</v>
      </c>
      <c r="B35" s="24" t="s">
        <v>311</v>
      </c>
      <c r="C35" s="24" t="s">
        <v>312</v>
      </c>
      <c r="D35" s="24">
        <v>1</v>
      </c>
    </row>
    <row r="36" spans="1:4" x14ac:dyDescent="0.2">
      <c r="A36" s="24" t="s">
        <v>1101</v>
      </c>
      <c r="B36" s="24" t="s">
        <v>316</v>
      </c>
      <c r="C36" s="24" t="s">
        <v>317</v>
      </c>
      <c r="D36" s="24">
        <v>1</v>
      </c>
    </row>
    <row r="37" spans="1:4" x14ac:dyDescent="0.2">
      <c r="A37" s="24" t="s">
        <v>1101</v>
      </c>
      <c r="B37" s="24" t="s">
        <v>327</v>
      </c>
      <c r="C37" s="24" t="s">
        <v>328</v>
      </c>
      <c r="D37" s="24">
        <v>0</v>
      </c>
    </row>
    <row r="38" spans="1:4" x14ac:dyDescent="0.2">
      <c r="A38" s="24" t="s">
        <v>1101</v>
      </c>
      <c r="B38" s="24" t="s">
        <v>333</v>
      </c>
      <c r="C38" s="24" t="s">
        <v>334</v>
      </c>
      <c r="D38" s="24">
        <v>0</v>
      </c>
    </row>
    <row r="39" spans="1:4" x14ac:dyDescent="0.2">
      <c r="A39" s="24" t="s">
        <v>1101</v>
      </c>
      <c r="B39" s="24" t="s">
        <v>363</v>
      </c>
      <c r="C39" s="24" t="s">
        <v>364</v>
      </c>
      <c r="D39" s="24">
        <v>1</v>
      </c>
    </row>
    <row r="40" spans="1:4" x14ac:dyDescent="0.2">
      <c r="A40" s="24" t="s">
        <v>1101</v>
      </c>
      <c r="B40" s="24" t="s">
        <v>383</v>
      </c>
      <c r="C40" s="24" t="s">
        <v>384</v>
      </c>
      <c r="D40" s="24">
        <v>0</v>
      </c>
    </row>
    <row r="41" spans="1:4" x14ac:dyDescent="0.2">
      <c r="A41" s="24" t="s">
        <v>1101</v>
      </c>
      <c r="B41" s="24" t="s">
        <v>250</v>
      </c>
      <c r="C41" s="24" t="s">
        <v>251</v>
      </c>
      <c r="D41" s="24">
        <v>0</v>
      </c>
    </row>
    <row r="42" spans="1:4" x14ac:dyDescent="0.2">
      <c r="A42" s="24" t="s">
        <v>1101</v>
      </c>
      <c r="B42" s="24" t="s">
        <v>387</v>
      </c>
      <c r="C42" s="24" t="s">
        <v>388</v>
      </c>
      <c r="D42" s="24">
        <v>0</v>
      </c>
    </row>
    <row r="43" spans="1:4" x14ac:dyDescent="0.2">
      <c r="A43" s="24" t="s">
        <v>1101</v>
      </c>
      <c r="B43" s="24" t="s">
        <v>192</v>
      </c>
      <c r="C43" s="24" t="s">
        <v>193</v>
      </c>
      <c r="D43" s="24">
        <v>1</v>
      </c>
    </row>
    <row r="44" spans="1:4" x14ac:dyDescent="0.2">
      <c r="A44" s="24" t="s">
        <v>1101</v>
      </c>
      <c r="B44" s="24" t="s">
        <v>263</v>
      </c>
      <c r="C44" s="24" t="s">
        <v>264</v>
      </c>
      <c r="D44" s="24">
        <v>0</v>
      </c>
    </row>
    <row r="45" spans="1:4" x14ac:dyDescent="0.2">
      <c r="A45" s="24" t="s">
        <v>1101</v>
      </c>
      <c r="B45" s="24" t="s">
        <v>395</v>
      </c>
      <c r="C45" s="24" t="s">
        <v>396</v>
      </c>
      <c r="D45" s="24">
        <v>0</v>
      </c>
    </row>
    <row r="46" spans="1:4" x14ac:dyDescent="0.2">
      <c r="A46" s="24" t="s">
        <v>1101</v>
      </c>
      <c r="B46" s="24" t="s">
        <v>400</v>
      </c>
      <c r="C46" s="24" t="s">
        <v>1083</v>
      </c>
      <c r="D46" s="24">
        <v>1</v>
      </c>
    </row>
    <row r="47" spans="1:4" x14ac:dyDescent="0.2">
      <c r="A47" s="24" t="s">
        <v>1101</v>
      </c>
      <c r="B47" s="24" t="s">
        <v>401</v>
      </c>
      <c r="C47" s="24" t="s">
        <v>402</v>
      </c>
      <c r="D47" s="24">
        <v>1</v>
      </c>
    </row>
    <row r="48" spans="1:4" x14ac:dyDescent="0.2">
      <c r="A48" s="24" t="s">
        <v>1101</v>
      </c>
      <c r="B48" s="24" t="s">
        <v>406</v>
      </c>
      <c r="C48" s="24" t="s">
        <v>407</v>
      </c>
      <c r="D48" s="24">
        <v>0</v>
      </c>
    </row>
    <row r="49" spans="1:4" x14ac:dyDescent="0.2">
      <c r="A49" s="24" t="s">
        <v>1101</v>
      </c>
      <c r="B49" s="24" t="s">
        <v>351</v>
      </c>
      <c r="C49" s="24" t="s">
        <v>352</v>
      </c>
      <c r="D49" s="24">
        <v>0</v>
      </c>
    </row>
    <row r="50" spans="1:4" x14ac:dyDescent="0.2">
      <c r="A50" s="24" t="s">
        <v>1101</v>
      </c>
      <c r="B50" s="24" t="s">
        <v>269</v>
      </c>
      <c r="C50" s="24" t="s">
        <v>270</v>
      </c>
      <c r="D50" s="24">
        <v>1</v>
      </c>
    </row>
    <row r="51" spans="1:4" x14ac:dyDescent="0.2">
      <c r="A51" s="24" t="s">
        <v>1101</v>
      </c>
      <c r="B51" s="24" t="s">
        <v>414</v>
      </c>
      <c r="C51" s="24" t="s">
        <v>415</v>
      </c>
      <c r="D51" s="24">
        <v>0</v>
      </c>
    </row>
    <row r="52" spans="1:4" x14ac:dyDescent="0.2">
      <c r="A52" s="24" t="s">
        <v>1101</v>
      </c>
      <c r="B52" s="24" t="s">
        <v>427</v>
      </c>
      <c r="C52" s="24" t="s">
        <v>428</v>
      </c>
      <c r="D52" s="24">
        <v>1</v>
      </c>
    </row>
    <row r="53" spans="1:4" x14ac:dyDescent="0.2">
      <c r="A53" s="24" t="s">
        <v>1101</v>
      </c>
      <c r="B53" s="24" t="s">
        <v>228</v>
      </c>
      <c r="C53" s="24" t="s">
        <v>229</v>
      </c>
      <c r="D53" s="24">
        <v>0</v>
      </c>
    </row>
    <row r="54" spans="1:4" x14ac:dyDescent="0.2">
      <c r="A54" s="24" t="s">
        <v>1101</v>
      </c>
      <c r="B54" s="24" t="s">
        <v>272</v>
      </c>
      <c r="C54" s="24" t="s">
        <v>273</v>
      </c>
      <c r="D54" s="24">
        <v>1</v>
      </c>
    </row>
    <row r="55" spans="1:4" x14ac:dyDescent="0.2">
      <c r="A55" s="24" t="s">
        <v>1101</v>
      </c>
      <c r="B55" s="24" t="s">
        <v>435</v>
      </c>
      <c r="C55" s="24" t="s">
        <v>436</v>
      </c>
      <c r="D55" s="24">
        <v>0</v>
      </c>
    </row>
    <row r="56" spans="1:4" x14ac:dyDescent="0.2">
      <c r="A56" s="24" t="s">
        <v>1101</v>
      </c>
      <c r="B56" s="24" t="s">
        <v>370</v>
      </c>
      <c r="C56" s="24" t="s">
        <v>371</v>
      </c>
      <c r="D56" s="24" t="s">
        <v>1106</v>
      </c>
    </row>
    <row r="57" spans="1:4" x14ac:dyDescent="0.2">
      <c r="A57" s="24" t="s">
        <v>1101</v>
      </c>
      <c r="B57" s="24" t="s">
        <v>370</v>
      </c>
      <c r="C57" s="24" t="s">
        <v>1963</v>
      </c>
      <c r="D57" s="24">
        <v>1</v>
      </c>
    </row>
    <row r="58" spans="1:4" x14ac:dyDescent="0.2">
      <c r="A58" s="24" t="s">
        <v>1101</v>
      </c>
      <c r="B58" s="24" t="s">
        <v>849</v>
      </c>
      <c r="C58" s="24" t="s">
        <v>848</v>
      </c>
      <c r="D58" s="24">
        <v>0</v>
      </c>
    </row>
    <row r="59" spans="1:4" x14ac:dyDescent="0.2">
      <c r="A59" s="24" t="s">
        <v>1101</v>
      </c>
      <c r="B59" s="24" t="s">
        <v>802</v>
      </c>
      <c r="C59" s="24" t="s">
        <v>2201</v>
      </c>
      <c r="D59" s="24">
        <v>1</v>
      </c>
    </row>
    <row r="60" spans="1:4" x14ac:dyDescent="0.2">
      <c r="A60" s="24" t="s">
        <v>1101</v>
      </c>
      <c r="B60" s="24" t="s">
        <v>765</v>
      </c>
      <c r="C60" s="24" t="s">
        <v>2214</v>
      </c>
      <c r="D60" s="24">
        <v>0</v>
      </c>
    </row>
    <row r="61" spans="1:4" x14ac:dyDescent="0.2">
      <c r="A61" s="24" t="s">
        <v>1101</v>
      </c>
      <c r="B61" s="24" t="s">
        <v>1134</v>
      </c>
      <c r="C61" s="24" t="s">
        <v>2224</v>
      </c>
      <c r="D61" s="24">
        <v>1</v>
      </c>
    </row>
    <row r="62" spans="1:4" x14ac:dyDescent="0.2">
      <c r="A62" s="24" t="s">
        <v>1101</v>
      </c>
      <c r="B62" s="24" t="s">
        <v>1133</v>
      </c>
      <c r="C62" s="24" t="s">
        <v>2229</v>
      </c>
      <c r="D62" s="24">
        <v>1</v>
      </c>
    </row>
  </sheetData>
  <autoFilter ref="A1:E62" xr:uid="{72BE9240-DF53-8F42-AFE9-74C72575BDEF}"/>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7BC33-3CDA-A547-8A5C-BBE4A09EA040}">
  <dimension ref="A1:AK381"/>
  <sheetViews>
    <sheetView workbookViewId="0">
      <selection activeCell="AL4" sqref="AL4"/>
    </sheetView>
  </sheetViews>
  <sheetFormatPr baseColWidth="10" defaultRowHeight="16" x14ac:dyDescent="0.2"/>
  <cols>
    <col min="1" max="16384" width="10.83203125" style="52"/>
  </cols>
  <sheetData>
    <row r="1" spans="1:37" x14ac:dyDescent="0.2">
      <c r="A1" s="52" t="s">
        <v>1048</v>
      </c>
      <c r="B1" s="52" t="s">
        <v>1047</v>
      </c>
      <c r="C1" s="52" t="s">
        <v>1046</v>
      </c>
      <c r="D1" s="52" t="s">
        <v>1045</v>
      </c>
      <c r="E1" s="52" t="s">
        <v>1044</v>
      </c>
      <c r="F1" s="52" t="s">
        <v>1043</v>
      </c>
      <c r="G1" s="52" t="s">
        <v>1042</v>
      </c>
      <c r="H1" s="52" t="s">
        <v>1041</v>
      </c>
      <c r="I1" s="52" t="s">
        <v>442</v>
      </c>
      <c r="J1" s="52" t="s">
        <v>1040</v>
      </c>
      <c r="K1" s="52" t="s">
        <v>1039</v>
      </c>
      <c r="L1" s="52" t="s">
        <v>1038</v>
      </c>
      <c r="M1" s="52" t="s">
        <v>1037</v>
      </c>
      <c r="N1" s="52" t="s">
        <v>1036</v>
      </c>
      <c r="O1" s="52" t="s">
        <v>1035</v>
      </c>
      <c r="P1" s="52" t="s">
        <v>1034</v>
      </c>
      <c r="Q1" s="52" t="s">
        <v>1033</v>
      </c>
      <c r="R1" s="52" t="s">
        <v>1032</v>
      </c>
    </row>
    <row r="2" spans="1:37" x14ac:dyDescent="0.2">
      <c r="A2" s="52" t="s">
        <v>3093</v>
      </c>
      <c r="B2" s="52" t="s">
        <v>1030</v>
      </c>
      <c r="C2" s="52" t="s">
        <v>1030</v>
      </c>
      <c r="D2" s="52" t="s">
        <v>1030</v>
      </c>
      <c r="E2" s="52" t="s">
        <v>1030</v>
      </c>
      <c r="F2" s="52" t="s">
        <v>1030</v>
      </c>
      <c r="G2" s="52" t="s">
        <v>1030</v>
      </c>
      <c r="H2" s="52" t="s">
        <v>1030</v>
      </c>
      <c r="I2" s="52" t="s">
        <v>1030</v>
      </c>
      <c r="J2" s="52" t="s">
        <v>1030</v>
      </c>
      <c r="K2" s="52" t="s">
        <v>1031</v>
      </c>
      <c r="L2" s="52" t="s">
        <v>1030</v>
      </c>
      <c r="M2" s="52" t="s">
        <v>1030</v>
      </c>
      <c r="N2" s="52" t="s">
        <v>1030</v>
      </c>
      <c r="O2" s="52" t="s">
        <v>1030</v>
      </c>
      <c r="P2" s="52" t="s">
        <v>884</v>
      </c>
      <c r="Q2" s="52" t="s">
        <v>41</v>
      </c>
      <c r="R2" s="52" t="s">
        <v>1030</v>
      </c>
    </row>
    <row r="4" spans="1:37" x14ac:dyDescent="0.2">
      <c r="A4" s="52" t="s">
        <v>1029</v>
      </c>
      <c r="B4" s="52" t="s">
        <v>1028</v>
      </c>
      <c r="C4" s="52" t="s">
        <v>1027</v>
      </c>
      <c r="D4" s="52" t="s">
        <v>1026</v>
      </c>
      <c r="E4" s="52" t="s">
        <v>1025</v>
      </c>
      <c r="F4" s="52" t="s">
        <v>1024</v>
      </c>
      <c r="G4" s="52" t="s">
        <v>1023</v>
      </c>
      <c r="H4" s="52" t="s">
        <v>6258</v>
      </c>
      <c r="I4" s="52" t="s">
        <v>9</v>
      </c>
      <c r="J4" s="52" t="s">
        <v>18</v>
      </c>
      <c r="K4" s="52" t="s">
        <v>1022</v>
      </c>
      <c r="L4" s="52" t="s">
        <v>1021</v>
      </c>
      <c r="M4" s="52" t="s">
        <v>10</v>
      </c>
      <c r="N4" s="52" t="s">
        <v>881</v>
      </c>
      <c r="O4" s="52" t="s">
        <v>876</v>
      </c>
      <c r="P4" s="52" t="s">
        <v>1020</v>
      </c>
      <c r="Q4" s="52" t="s">
        <v>1019</v>
      </c>
      <c r="R4" s="52" t="s">
        <v>6</v>
      </c>
      <c r="S4" s="52" t="s">
        <v>1018</v>
      </c>
      <c r="T4" s="52" t="s">
        <v>1017</v>
      </c>
      <c r="U4" s="52" t="s">
        <v>1016</v>
      </c>
      <c r="V4" s="52" t="s">
        <v>1015</v>
      </c>
      <c r="W4" s="52" t="s">
        <v>1014</v>
      </c>
      <c r="X4" s="52" t="s">
        <v>1013</v>
      </c>
      <c r="Y4" s="52" t="s">
        <v>1012</v>
      </c>
      <c r="Z4" s="52" t="s">
        <v>1011</v>
      </c>
      <c r="AA4" s="52" t="s">
        <v>1010</v>
      </c>
      <c r="AB4" s="52" t="s">
        <v>1009</v>
      </c>
      <c r="AC4" s="52" t="s">
        <v>1008</v>
      </c>
      <c r="AD4" s="52" t="s">
        <v>1007</v>
      </c>
      <c r="AE4" s="52" t="s">
        <v>1006</v>
      </c>
      <c r="AF4" s="52" t="s">
        <v>1005</v>
      </c>
      <c r="AG4" s="52" t="s">
        <v>1004</v>
      </c>
      <c r="AH4" s="52" t="s">
        <v>1003</v>
      </c>
      <c r="AI4" s="52" t="s">
        <v>1002</v>
      </c>
      <c r="AJ4" s="52" t="s">
        <v>1001</v>
      </c>
      <c r="AK4" s="52" t="s">
        <v>1000</v>
      </c>
    </row>
    <row r="5" spans="1:37" x14ac:dyDescent="0.2">
      <c r="A5" s="52" t="s">
        <v>991</v>
      </c>
      <c r="B5" s="52" t="s">
        <v>3094</v>
      </c>
      <c r="C5" s="52">
        <v>20</v>
      </c>
      <c r="D5" s="52" t="s">
        <v>272</v>
      </c>
      <c r="E5" s="52" t="s">
        <v>273</v>
      </c>
      <c r="F5" s="52" t="s">
        <v>444</v>
      </c>
      <c r="G5" s="52" t="s">
        <v>460</v>
      </c>
      <c r="H5" s="52" t="s">
        <v>3095</v>
      </c>
      <c r="I5" s="52" t="s">
        <v>897</v>
      </c>
      <c r="J5" s="52" t="s">
        <v>884</v>
      </c>
      <c r="K5" s="52" t="s">
        <v>884</v>
      </c>
      <c r="L5" s="52" t="s">
        <v>896</v>
      </c>
      <c r="M5" s="52" t="s">
        <v>890</v>
      </c>
      <c r="N5" s="52" t="s">
        <v>461</v>
      </c>
      <c r="O5" s="52" t="s">
        <v>458</v>
      </c>
      <c r="P5" s="52" t="s">
        <v>466</v>
      </c>
      <c r="Q5" s="52">
        <v>941000031749827</v>
      </c>
      <c r="R5" s="52" t="s">
        <v>444</v>
      </c>
      <c r="S5" s="52" t="s">
        <v>460</v>
      </c>
      <c r="T5" s="53">
        <v>43656</v>
      </c>
      <c r="W5" s="52" t="s">
        <v>892</v>
      </c>
      <c r="X5" s="53">
        <v>45830.554861111108</v>
      </c>
      <c r="Y5" s="52">
        <v>162.1</v>
      </c>
      <c r="AA5" s="52">
        <v>1</v>
      </c>
      <c r="AB5" s="52" t="s">
        <v>895</v>
      </c>
      <c r="AC5" s="52" t="s">
        <v>41</v>
      </c>
      <c r="AE5" s="52">
        <v>1</v>
      </c>
      <c r="AF5" s="52" t="s">
        <v>41</v>
      </c>
      <c r="AK5" s="52">
        <v>377</v>
      </c>
    </row>
    <row r="6" spans="1:37" x14ac:dyDescent="0.2">
      <c r="A6" s="52" t="s">
        <v>991</v>
      </c>
      <c r="B6" s="52" t="s">
        <v>3094</v>
      </c>
      <c r="C6" s="52">
        <v>20</v>
      </c>
      <c r="D6" s="52" t="s">
        <v>435</v>
      </c>
      <c r="E6" s="52" t="s">
        <v>436</v>
      </c>
      <c r="F6" s="52" t="s">
        <v>444</v>
      </c>
      <c r="G6" s="52" t="s">
        <v>489</v>
      </c>
      <c r="H6" s="52" t="s">
        <v>3096</v>
      </c>
      <c r="I6" s="52" t="s">
        <v>935</v>
      </c>
      <c r="J6" s="52" t="s">
        <v>884</v>
      </c>
      <c r="K6" s="52" t="s">
        <v>884</v>
      </c>
      <c r="L6" s="52" t="s">
        <v>893</v>
      </c>
      <c r="M6" s="52" t="s">
        <v>886</v>
      </c>
      <c r="N6" s="52" t="s">
        <v>461</v>
      </c>
      <c r="O6" s="52" t="s">
        <v>458</v>
      </c>
      <c r="P6" s="52" t="s">
        <v>716</v>
      </c>
      <c r="Q6" s="52">
        <v>941000031684068</v>
      </c>
      <c r="R6" s="52" t="s">
        <v>444</v>
      </c>
      <c r="S6" s="52" t="s">
        <v>885</v>
      </c>
      <c r="T6" s="53">
        <v>45510</v>
      </c>
      <c r="W6" s="52" t="s">
        <v>892</v>
      </c>
      <c r="X6" s="53">
        <v>45875.455555555556</v>
      </c>
      <c r="Y6" s="52">
        <v>117.3</v>
      </c>
      <c r="AA6" s="52">
        <v>10</v>
      </c>
      <c r="AB6" s="52" t="s">
        <v>1485</v>
      </c>
      <c r="AC6" s="52" t="s">
        <v>41</v>
      </c>
      <c r="AE6" s="52">
        <v>2</v>
      </c>
      <c r="AF6" s="52" t="s">
        <v>41</v>
      </c>
      <c r="AK6" s="52">
        <v>377</v>
      </c>
    </row>
    <row r="7" spans="1:37" x14ac:dyDescent="0.2">
      <c r="A7" s="52" t="s">
        <v>991</v>
      </c>
      <c r="B7" s="52" t="s">
        <v>3094</v>
      </c>
      <c r="C7" s="52">
        <v>20</v>
      </c>
      <c r="D7" s="52" t="s">
        <v>1856</v>
      </c>
      <c r="E7" s="52" t="s">
        <v>1857</v>
      </c>
      <c r="F7" s="52" t="s">
        <v>444</v>
      </c>
      <c r="G7" s="52" t="s">
        <v>529</v>
      </c>
      <c r="H7" s="52" t="s">
        <v>3097</v>
      </c>
      <c r="I7" s="52" t="s">
        <v>917</v>
      </c>
      <c r="J7" s="52" t="s">
        <v>884</v>
      </c>
      <c r="K7" s="52" t="s">
        <v>884</v>
      </c>
      <c r="L7" s="52" t="s">
        <v>922</v>
      </c>
      <c r="M7" s="52" t="s">
        <v>886</v>
      </c>
      <c r="N7" s="52" t="s">
        <v>461</v>
      </c>
      <c r="O7" s="52" t="s">
        <v>458</v>
      </c>
      <c r="P7" s="52" t="s">
        <v>466</v>
      </c>
      <c r="Q7" s="52">
        <v>941000031683629</v>
      </c>
      <c r="R7" s="52" t="s">
        <v>444</v>
      </c>
      <c r="S7" s="52" t="s">
        <v>885</v>
      </c>
      <c r="T7" s="53">
        <v>45220</v>
      </c>
      <c r="V7" s="53">
        <v>45956.462500000001</v>
      </c>
      <c r="W7" s="52" t="s">
        <v>892</v>
      </c>
      <c r="X7" s="53">
        <v>45951.462500000001</v>
      </c>
      <c r="Y7" s="52">
        <v>41.2</v>
      </c>
      <c r="AA7" s="52">
        <v>11</v>
      </c>
      <c r="AB7" s="52" t="s">
        <v>960</v>
      </c>
      <c r="AC7" s="52" t="s">
        <v>41</v>
      </c>
      <c r="AE7" s="52">
        <v>3</v>
      </c>
      <c r="AF7" s="52" t="s">
        <v>41</v>
      </c>
      <c r="AK7" s="52">
        <v>377</v>
      </c>
    </row>
    <row r="8" spans="1:37" x14ac:dyDescent="0.2">
      <c r="A8" s="52" t="s">
        <v>991</v>
      </c>
      <c r="B8" s="52" t="s">
        <v>3094</v>
      </c>
      <c r="C8" s="52">
        <v>20</v>
      </c>
      <c r="D8" s="52" t="s">
        <v>855</v>
      </c>
      <c r="E8" s="52" t="s">
        <v>854</v>
      </c>
      <c r="F8" s="52" t="s">
        <v>444</v>
      </c>
      <c r="G8" s="52" t="s">
        <v>468</v>
      </c>
      <c r="H8" s="52" t="s">
        <v>3098</v>
      </c>
      <c r="I8" s="52" t="s">
        <v>935</v>
      </c>
      <c r="J8" s="52" t="s">
        <v>884</v>
      </c>
      <c r="K8" s="52" t="s">
        <v>884</v>
      </c>
      <c r="L8" s="52" t="s">
        <v>887</v>
      </c>
      <c r="M8" s="52" t="s">
        <v>886</v>
      </c>
      <c r="N8" s="52" t="s">
        <v>494</v>
      </c>
      <c r="O8" s="52" t="s">
        <v>458</v>
      </c>
      <c r="P8" s="52" t="s">
        <v>456</v>
      </c>
      <c r="Q8" s="52">
        <v>941000030976546</v>
      </c>
      <c r="R8" s="52" t="s">
        <v>444</v>
      </c>
      <c r="S8" s="52" t="s">
        <v>885</v>
      </c>
      <c r="T8" s="53">
        <v>44838</v>
      </c>
      <c r="V8" s="53">
        <v>45935.542361111111</v>
      </c>
      <c r="W8" s="52" t="s">
        <v>884</v>
      </c>
      <c r="X8" s="53">
        <v>45930.542361111111</v>
      </c>
      <c r="Y8" s="52">
        <v>62.1</v>
      </c>
      <c r="AA8" s="52">
        <v>12</v>
      </c>
      <c r="AB8" s="52" t="s">
        <v>988</v>
      </c>
      <c r="AC8" s="52" t="s">
        <v>41</v>
      </c>
      <c r="AE8" s="52">
        <v>1</v>
      </c>
      <c r="AF8" s="52" t="s">
        <v>41</v>
      </c>
      <c r="AK8" s="52">
        <v>377</v>
      </c>
    </row>
    <row r="9" spans="1:37" x14ac:dyDescent="0.2">
      <c r="A9" s="52" t="s">
        <v>991</v>
      </c>
      <c r="B9" s="52" t="s">
        <v>3094</v>
      </c>
      <c r="C9" s="52">
        <v>20</v>
      </c>
      <c r="D9" s="52" t="s">
        <v>841</v>
      </c>
      <c r="E9" s="52" t="s">
        <v>840</v>
      </c>
      <c r="F9" s="52" t="s">
        <v>444</v>
      </c>
      <c r="G9" s="52" t="s">
        <v>468</v>
      </c>
      <c r="H9" s="52" t="s">
        <v>3099</v>
      </c>
      <c r="I9" s="52" t="s">
        <v>910</v>
      </c>
      <c r="J9" s="52" t="s">
        <v>884</v>
      </c>
      <c r="K9" s="52" t="s">
        <v>884</v>
      </c>
      <c r="L9" s="52" t="s">
        <v>887</v>
      </c>
      <c r="M9" s="52" t="s">
        <v>886</v>
      </c>
      <c r="N9" s="52" t="s">
        <v>461</v>
      </c>
      <c r="O9" s="52" t="s">
        <v>458</v>
      </c>
      <c r="P9" s="52" t="s">
        <v>735</v>
      </c>
      <c r="Q9" s="52">
        <v>941000031684363</v>
      </c>
      <c r="R9" s="52" t="s">
        <v>444</v>
      </c>
      <c r="S9" s="52" t="s">
        <v>885</v>
      </c>
      <c r="T9" s="53">
        <v>44098</v>
      </c>
      <c r="V9" s="53">
        <v>45928.8125</v>
      </c>
      <c r="W9" s="52" t="s">
        <v>892</v>
      </c>
      <c r="X9" s="53">
        <v>45923.8125</v>
      </c>
      <c r="Y9" s="52">
        <v>68.900000000000006</v>
      </c>
      <c r="AA9" s="52">
        <v>13</v>
      </c>
      <c r="AB9" s="52" t="s">
        <v>916</v>
      </c>
      <c r="AC9" s="52" t="s">
        <v>41</v>
      </c>
      <c r="AE9" s="52">
        <v>1</v>
      </c>
      <c r="AF9" s="52" t="s">
        <v>41</v>
      </c>
      <c r="AK9" s="52">
        <v>377</v>
      </c>
    </row>
    <row r="10" spans="1:37" x14ac:dyDescent="0.2">
      <c r="A10" s="52" t="s">
        <v>991</v>
      </c>
      <c r="B10" s="52" t="s">
        <v>3094</v>
      </c>
      <c r="C10" s="52">
        <v>20</v>
      </c>
      <c r="D10" s="52" t="s">
        <v>1870</v>
      </c>
      <c r="E10" s="52" t="s">
        <v>2563</v>
      </c>
      <c r="F10" s="52" t="s">
        <v>444</v>
      </c>
      <c r="G10" s="52" t="s">
        <v>468</v>
      </c>
      <c r="H10" s="52" t="s">
        <v>3100</v>
      </c>
      <c r="I10" s="52" t="s">
        <v>932</v>
      </c>
      <c r="J10" s="52" t="s">
        <v>884</v>
      </c>
      <c r="K10" s="52" t="s">
        <v>884</v>
      </c>
      <c r="L10" s="52" t="s">
        <v>2121</v>
      </c>
      <c r="M10" s="52" t="s">
        <v>886</v>
      </c>
      <c r="N10" s="52" t="s">
        <v>461</v>
      </c>
      <c r="O10" s="52" t="s">
        <v>458</v>
      </c>
      <c r="P10" s="52" t="s">
        <v>735</v>
      </c>
      <c r="Q10" s="52">
        <v>941000031683691</v>
      </c>
      <c r="R10" s="52" t="s">
        <v>444</v>
      </c>
      <c r="S10" s="52" t="s">
        <v>885</v>
      </c>
      <c r="T10" s="53">
        <v>44490</v>
      </c>
      <c r="W10" s="52" t="s">
        <v>892</v>
      </c>
      <c r="X10" s="53">
        <v>45950.519444444442</v>
      </c>
      <c r="Y10" s="52">
        <v>42.2</v>
      </c>
      <c r="AA10" s="52">
        <v>14</v>
      </c>
      <c r="AB10" s="52" t="s">
        <v>919</v>
      </c>
      <c r="AC10" s="52" t="s">
        <v>41</v>
      </c>
      <c r="AE10" s="52">
        <v>3</v>
      </c>
      <c r="AF10" s="52" t="s">
        <v>41</v>
      </c>
      <c r="AK10" s="52">
        <v>377</v>
      </c>
    </row>
    <row r="11" spans="1:37" x14ac:dyDescent="0.2">
      <c r="A11" s="52" t="s">
        <v>991</v>
      </c>
      <c r="B11" s="52" t="s">
        <v>3094</v>
      </c>
      <c r="C11" s="52">
        <v>20</v>
      </c>
      <c r="D11" s="52" t="s">
        <v>192</v>
      </c>
      <c r="E11" s="52" t="s">
        <v>193</v>
      </c>
      <c r="F11" s="52" t="s">
        <v>444</v>
      </c>
      <c r="G11" s="52" t="s">
        <v>510</v>
      </c>
      <c r="H11" s="52" t="s">
        <v>3101</v>
      </c>
      <c r="I11" s="52" t="s">
        <v>903</v>
      </c>
      <c r="J11" s="52" t="s">
        <v>884</v>
      </c>
      <c r="K11" s="52" t="s">
        <v>884</v>
      </c>
      <c r="L11" s="52" t="s">
        <v>939</v>
      </c>
      <c r="M11" s="52" t="s">
        <v>886</v>
      </c>
      <c r="N11" s="52" t="s">
        <v>461</v>
      </c>
      <c r="O11" s="52" t="s">
        <v>458</v>
      </c>
      <c r="P11" s="52" t="s">
        <v>456</v>
      </c>
      <c r="Q11" s="52">
        <v>941000030975999</v>
      </c>
      <c r="R11" s="52" t="s">
        <v>444</v>
      </c>
      <c r="S11" s="52" t="s">
        <v>885</v>
      </c>
      <c r="T11" s="53">
        <v>44364</v>
      </c>
      <c r="U11" s="52" t="s">
        <v>938</v>
      </c>
      <c r="V11" s="53">
        <v>45830.703472222223</v>
      </c>
      <c r="W11" s="52" t="s">
        <v>892</v>
      </c>
      <c r="X11" s="53">
        <v>45825.703472222223</v>
      </c>
      <c r="Y11" s="52">
        <v>167</v>
      </c>
      <c r="AA11" s="52">
        <v>15</v>
      </c>
      <c r="AB11" s="52" t="s">
        <v>905</v>
      </c>
      <c r="AC11" s="52" t="s">
        <v>41</v>
      </c>
      <c r="AE11" s="52">
        <v>3</v>
      </c>
      <c r="AF11" s="52" t="s">
        <v>41</v>
      </c>
      <c r="AK11" s="52">
        <v>377</v>
      </c>
    </row>
    <row r="12" spans="1:37" x14ac:dyDescent="0.2">
      <c r="A12" s="52" t="s">
        <v>991</v>
      </c>
      <c r="B12" s="52" t="s">
        <v>3094</v>
      </c>
      <c r="C12" s="52">
        <v>20</v>
      </c>
      <c r="D12" s="52" t="s">
        <v>430</v>
      </c>
      <c r="E12" s="52" t="s">
        <v>431</v>
      </c>
      <c r="F12" s="52" t="s">
        <v>444</v>
      </c>
      <c r="G12" s="52" t="s">
        <v>529</v>
      </c>
      <c r="H12" s="52" t="s">
        <v>3102</v>
      </c>
      <c r="I12" s="52" t="s">
        <v>897</v>
      </c>
      <c r="J12" s="52" t="s">
        <v>884</v>
      </c>
      <c r="K12" s="52" t="s">
        <v>884</v>
      </c>
      <c r="L12" s="52" t="s">
        <v>887</v>
      </c>
      <c r="M12" s="52" t="s">
        <v>890</v>
      </c>
      <c r="N12" s="52" t="s">
        <v>461</v>
      </c>
      <c r="O12" s="52" t="s">
        <v>458</v>
      </c>
      <c r="P12" s="52" t="s">
        <v>511</v>
      </c>
      <c r="Q12" s="52">
        <v>941000031683509</v>
      </c>
      <c r="R12" s="52" t="s">
        <v>444</v>
      </c>
      <c r="S12" s="52" t="s">
        <v>885</v>
      </c>
      <c r="T12" s="53">
        <v>45157</v>
      </c>
      <c r="V12" s="53">
        <v>45893.703472222223</v>
      </c>
      <c r="W12" s="52" t="s">
        <v>892</v>
      </c>
      <c r="X12" s="53">
        <v>45888.703472222223</v>
      </c>
      <c r="Y12" s="52">
        <v>104</v>
      </c>
      <c r="AA12" s="52">
        <v>16</v>
      </c>
      <c r="AB12" s="52" t="s">
        <v>928</v>
      </c>
      <c r="AC12" s="52" t="s">
        <v>41</v>
      </c>
      <c r="AE12" s="52">
        <v>3</v>
      </c>
      <c r="AF12" s="52" t="s">
        <v>41</v>
      </c>
      <c r="AK12" s="52">
        <v>377</v>
      </c>
    </row>
    <row r="13" spans="1:37" x14ac:dyDescent="0.2">
      <c r="A13" s="52" t="s">
        <v>991</v>
      </c>
      <c r="B13" s="52" t="s">
        <v>3094</v>
      </c>
      <c r="C13" s="52">
        <v>20</v>
      </c>
      <c r="D13" s="52" t="s">
        <v>355</v>
      </c>
      <c r="E13" s="52" t="s">
        <v>356</v>
      </c>
      <c r="F13" s="52" t="s">
        <v>444</v>
      </c>
      <c r="G13" s="52" t="s">
        <v>510</v>
      </c>
      <c r="H13" s="52" t="s">
        <v>3103</v>
      </c>
      <c r="I13" s="52" t="s">
        <v>888</v>
      </c>
      <c r="J13" s="52" t="s">
        <v>884</v>
      </c>
      <c r="K13" s="52" t="s">
        <v>884</v>
      </c>
      <c r="L13" s="52" t="s">
        <v>922</v>
      </c>
      <c r="M13" s="52" t="s">
        <v>886</v>
      </c>
      <c r="N13" s="52" t="s">
        <v>461</v>
      </c>
      <c r="O13" s="52" t="s">
        <v>458</v>
      </c>
      <c r="P13" s="52" t="s">
        <v>520</v>
      </c>
      <c r="Q13" s="52">
        <v>985141007345971</v>
      </c>
      <c r="R13" s="52" t="s">
        <v>444</v>
      </c>
      <c r="S13" s="52" t="s">
        <v>885</v>
      </c>
      <c r="T13" s="53">
        <v>44781</v>
      </c>
      <c r="V13" s="53">
        <v>45882.565972222219</v>
      </c>
      <c r="W13" s="52" t="s">
        <v>892</v>
      </c>
      <c r="X13" s="53">
        <v>45877.565972222219</v>
      </c>
      <c r="Y13" s="52">
        <v>115.1</v>
      </c>
      <c r="AA13" s="52">
        <v>17</v>
      </c>
      <c r="AB13" s="52" t="s">
        <v>996</v>
      </c>
      <c r="AC13" s="52" t="s">
        <v>41</v>
      </c>
      <c r="AE13" s="52">
        <v>3</v>
      </c>
      <c r="AF13" s="52" t="s">
        <v>41</v>
      </c>
      <c r="AK13" s="52">
        <v>377</v>
      </c>
    </row>
    <row r="14" spans="1:37" x14ac:dyDescent="0.2">
      <c r="A14" s="52" t="s">
        <v>991</v>
      </c>
      <c r="B14" s="52" t="s">
        <v>3094</v>
      </c>
      <c r="C14" s="52">
        <v>20</v>
      </c>
      <c r="D14" s="52" t="s">
        <v>690</v>
      </c>
      <c r="E14" s="52" t="s">
        <v>1927</v>
      </c>
      <c r="F14" s="52" t="s">
        <v>444</v>
      </c>
      <c r="G14" s="52" t="s">
        <v>460</v>
      </c>
      <c r="H14" s="52" t="s">
        <v>3104</v>
      </c>
      <c r="I14" s="52" t="s">
        <v>903</v>
      </c>
      <c r="J14" s="52" t="s">
        <v>884</v>
      </c>
      <c r="K14" s="52" t="s">
        <v>884</v>
      </c>
      <c r="L14" s="52" t="s">
        <v>963</v>
      </c>
      <c r="M14" s="52" t="s">
        <v>890</v>
      </c>
      <c r="N14" s="52" t="s">
        <v>461</v>
      </c>
      <c r="O14" s="52" t="s">
        <v>458</v>
      </c>
      <c r="P14" s="52" t="s">
        <v>466</v>
      </c>
      <c r="Q14" s="52">
        <v>941000031683620</v>
      </c>
      <c r="R14" s="52" t="s">
        <v>444</v>
      </c>
      <c r="S14" s="52" t="s">
        <v>885</v>
      </c>
      <c r="T14" s="53">
        <v>45703</v>
      </c>
      <c r="V14" s="53">
        <v>45870.588194444441</v>
      </c>
      <c r="W14" s="52" t="s">
        <v>892</v>
      </c>
      <c r="X14" s="53">
        <v>45865.588194444441</v>
      </c>
      <c r="Y14" s="52">
        <v>127.1</v>
      </c>
      <c r="AA14" s="52">
        <v>18</v>
      </c>
      <c r="AB14" s="52" t="s">
        <v>970</v>
      </c>
      <c r="AC14" s="52" t="s">
        <v>41</v>
      </c>
      <c r="AE14" s="52">
        <v>3</v>
      </c>
      <c r="AF14" s="52" t="s">
        <v>41</v>
      </c>
      <c r="AK14" s="52">
        <v>377</v>
      </c>
    </row>
    <row r="15" spans="1:37" x14ac:dyDescent="0.2">
      <c r="A15" s="52" t="s">
        <v>991</v>
      </c>
      <c r="B15" s="52" t="s">
        <v>3094</v>
      </c>
      <c r="C15" s="52">
        <v>20</v>
      </c>
      <c r="D15" s="52" t="s">
        <v>851</v>
      </c>
      <c r="E15" s="52" t="s">
        <v>850</v>
      </c>
      <c r="F15" s="52" t="s">
        <v>444</v>
      </c>
      <c r="G15" s="52" t="s">
        <v>489</v>
      </c>
      <c r="H15" s="52" t="s">
        <v>3105</v>
      </c>
      <c r="I15" s="52" t="s">
        <v>897</v>
      </c>
      <c r="J15" s="52" t="s">
        <v>884</v>
      </c>
      <c r="K15" s="52" t="s">
        <v>884</v>
      </c>
      <c r="L15" s="52" t="s">
        <v>887</v>
      </c>
      <c r="M15" s="52" t="s">
        <v>890</v>
      </c>
      <c r="N15" s="52" t="s">
        <v>461</v>
      </c>
      <c r="O15" s="52" t="s">
        <v>458</v>
      </c>
      <c r="P15" s="52" t="s">
        <v>735</v>
      </c>
      <c r="Q15" s="52">
        <v>941000031683624</v>
      </c>
      <c r="R15" s="52" t="s">
        <v>444</v>
      </c>
      <c r="S15" s="52" t="s">
        <v>885</v>
      </c>
      <c r="T15" s="53">
        <v>44834</v>
      </c>
      <c r="V15" s="53">
        <v>45935.42291666667</v>
      </c>
      <c r="W15" s="52" t="s">
        <v>892</v>
      </c>
      <c r="X15" s="53">
        <v>45930.42291666667</v>
      </c>
      <c r="Y15" s="52">
        <v>62.3</v>
      </c>
      <c r="AA15" s="52">
        <v>19</v>
      </c>
      <c r="AB15" s="52" t="s">
        <v>3106</v>
      </c>
      <c r="AC15" s="52" t="s">
        <v>41</v>
      </c>
      <c r="AE15" s="52">
        <v>3</v>
      </c>
      <c r="AF15" s="52" t="s">
        <v>41</v>
      </c>
      <c r="AK15" s="52">
        <v>377</v>
      </c>
    </row>
    <row r="16" spans="1:37" x14ac:dyDescent="0.2">
      <c r="A16" s="52" t="s">
        <v>991</v>
      </c>
      <c r="B16" s="52" t="s">
        <v>3094</v>
      </c>
      <c r="C16" s="52">
        <v>20</v>
      </c>
      <c r="D16" s="52" t="s">
        <v>1867</v>
      </c>
      <c r="E16" s="52" t="s">
        <v>1868</v>
      </c>
      <c r="F16" s="52" t="s">
        <v>444</v>
      </c>
      <c r="G16" s="52" t="s">
        <v>510</v>
      </c>
      <c r="H16" s="52" t="s">
        <v>3107</v>
      </c>
      <c r="I16" s="52" t="s">
        <v>935</v>
      </c>
      <c r="J16" s="52" t="s">
        <v>884</v>
      </c>
      <c r="K16" s="52" t="s">
        <v>884</v>
      </c>
      <c r="L16" s="52" t="s">
        <v>922</v>
      </c>
      <c r="M16" s="52" t="s">
        <v>886</v>
      </c>
      <c r="N16" s="52" t="s">
        <v>494</v>
      </c>
      <c r="O16" s="52" t="s">
        <v>458</v>
      </c>
      <c r="P16" s="52" t="s">
        <v>735</v>
      </c>
      <c r="R16" s="52" t="s">
        <v>444</v>
      </c>
      <c r="S16" s="52" t="s">
        <v>885</v>
      </c>
      <c r="T16" s="53">
        <v>44855</v>
      </c>
      <c r="V16" s="53">
        <v>45955.609722222223</v>
      </c>
      <c r="W16" s="52" t="s">
        <v>884</v>
      </c>
      <c r="X16" s="53">
        <v>45950.609722222223</v>
      </c>
      <c r="Y16" s="52">
        <v>42.1</v>
      </c>
      <c r="AA16" s="52">
        <v>19</v>
      </c>
      <c r="AB16" s="52" t="s">
        <v>1218</v>
      </c>
      <c r="AC16" s="52" t="s">
        <v>41</v>
      </c>
      <c r="AE16" s="52">
        <v>3</v>
      </c>
      <c r="AF16" s="52" t="s">
        <v>41</v>
      </c>
      <c r="AK16" s="52">
        <v>377</v>
      </c>
    </row>
    <row r="17" spans="1:37" x14ac:dyDescent="0.2">
      <c r="A17" s="52" t="s">
        <v>991</v>
      </c>
      <c r="B17" s="52" t="s">
        <v>3094</v>
      </c>
      <c r="C17" s="52">
        <v>20</v>
      </c>
      <c r="D17" s="52" t="s">
        <v>825</v>
      </c>
      <c r="E17" s="52" t="s">
        <v>1173</v>
      </c>
      <c r="F17" s="52" t="s">
        <v>444</v>
      </c>
      <c r="G17" s="52" t="s">
        <v>451</v>
      </c>
      <c r="H17" s="52" t="s">
        <v>3108</v>
      </c>
      <c r="I17" s="52" t="s">
        <v>910</v>
      </c>
      <c r="J17" s="52" t="s">
        <v>884</v>
      </c>
      <c r="K17" s="52" t="s">
        <v>884</v>
      </c>
      <c r="L17" s="52" t="s">
        <v>887</v>
      </c>
      <c r="M17" s="52" t="s">
        <v>890</v>
      </c>
      <c r="N17" s="52" t="s">
        <v>461</v>
      </c>
      <c r="O17" s="52" t="s">
        <v>458</v>
      </c>
      <c r="P17" s="52" t="s">
        <v>466</v>
      </c>
      <c r="Q17" s="52">
        <v>941000031684396</v>
      </c>
      <c r="R17" s="52" t="s">
        <v>444</v>
      </c>
      <c r="S17" s="52" t="s">
        <v>885</v>
      </c>
      <c r="T17" s="53">
        <v>45188</v>
      </c>
      <c r="V17" s="53">
        <v>45924.382638888892</v>
      </c>
      <c r="W17" s="52" t="s">
        <v>892</v>
      </c>
      <c r="X17" s="53">
        <v>45919.382638888892</v>
      </c>
      <c r="Y17" s="52">
        <v>73.3</v>
      </c>
      <c r="AA17" s="52">
        <v>20</v>
      </c>
      <c r="AB17" s="52" t="s">
        <v>1204</v>
      </c>
      <c r="AC17" s="52" t="s">
        <v>41</v>
      </c>
      <c r="AE17" s="52">
        <v>3</v>
      </c>
      <c r="AF17" s="52" t="s">
        <v>41</v>
      </c>
      <c r="AK17" s="52">
        <v>377</v>
      </c>
    </row>
    <row r="18" spans="1:37" x14ac:dyDescent="0.2">
      <c r="A18" s="52" t="s">
        <v>991</v>
      </c>
      <c r="B18" s="52" t="s">
        <v>3094</v>
      </c>
      <c r="C18" s="52">
        <v>20</v>
      </c>
      <c r="D18" s="52" t="s">
        <v>87</v>
      </c>
      <c r="E18" s="52" t="s">
        <v>88</v>
      </c>
      <c r="F18" s="52" t="s">
        <v>444</v>
      </c>
      <c r="G18" s="52" t="s">
        <v>451</v>
      </c>
      <c r="H18" s="52" t="s">
        <v>3109</v>
      </c>
      <c r="I18" s="52" t="s">
        <v>894</v>
      </c>
      <c r="J18" s="52" t="s">
        <v>884</v>
      </c>
      <c r="K18" s="52" t="s">
        <v>892</v>
      </c>
      <c r="L18" s="52" t="s">
        <v>937</v>
      </c>
      <c r="M18" s="52" t="s">
        <v>886</v>
      </c>
      <c r="N18" s="52" t="s">
        <v>461</v>
      </c>
      <c r="O18" s="52" t="s">
        <v>458</v>
      </c>
      <c r="P18" s="52" t="s">
        <v>508</v>
      </c>
      <c r="Q18" s="52">
        <v>982091074347787</v>
      </c>
      <c r="R18" s="52" t="s">
        <v>444</v>
      </c>
      <c r="S18" s="52" t="s">
        <v>885</v>
      </c>
      <c r="T18" s="53">
        <v>45343</v>
      </c>
      <c r="W18" s="52" t="s">
        <v>892</v>
      </c>
      <c r="X18" s="53">
        <v>45862.561805555553</v>
      </c>
      <c r="Y18" s="52">
        <v>130.1</v>
      </c>
      <c r="AA18" s="52">
        <v>3</v>
      </c>
      <c r="AB18" s="52" t="s">
        <v>929</v>
      </c>
      <c r="AC18" s="52" t="s">
        <v>41</v>
      </c>
      <c r="AE18" s="52">
        <v>3</v>
      </c>
      <c r="AF18" s="52" t="s">
        <v>41</v>
      </c>
      <c r="AK18" s="52">
        <v>377</v>
      </c>
    </row>
    <row r="19" spans="1:37" x14ac:dyDescent="0.2">
      <c r="A19" s="52" t="s">
        <v>991</v>
      </c>
      <c r="B19" s="52" t="s">
        <v>3094</v>
      </c>
      <c r="C19" s="52">
        <v>20</v>
      </c>
      <c r="D19" s="52" t="s">
        <v>120</v>
      </c>
      <c r="E19" s="52" t="s">
        <v>121</v>
      </c>
      <c r="F19" s="52" t="s">
        <v>444</v>
      </c>
      <c r="G19" s="52" t="s">
        <v>468</v>
      </c>
      <c r="H19" s="52" t="s">
        <v>3110</v>
      </c>
      <c r="I19" s="52" t="s">
        <v>917</v>
      </c>
      <c r="J19" s="52" t="s">
        <v>884</v>
      </c>
      <c r="K19" s="52" t="s">
        <v>884</v>
      </c>
      <c r="L19" s="52" t="s">
        <v>887</v>
      </c>
      <c r="M19" s="52" t="s">
        <v>890</v>
      </c>
      <c r="N19" s="52" t="s">
        <v>461</v>
      </c>
      <c r="O19" s="52" t="s">
        <v>458</v>
      </c>
      <c r="P19" s="52" t="s">
        <v>456</v>
      </c>
      <c r="Q19" s="52">
        <v>941000030951287</v>
      </c>
      <c r="R19" s="52" t="s">
        <v>444</v>
      </c>
      <c r="S19" s="52" t="s">
        <v>885</v>
      </c>
      <c r="T19" s="53">
        <v>44654</v>
      </c>
      <c r="V19" s="53">
        <v>45755.588888888888</v>
      </c>
      <c r="W19" s="52" t="s">
        <v>892</v>
      </c>
      <c r="X19" s="53">
        <v>45750.588888888888</v>
      </c>
      <c r="Y19" s="52">
        <v>242.1</v>
      </c>
      <c r="AA19" s="52">
        <v>4</v>
      </c>
      <c r="AB19" s="52" t="s">
        <v>954</v>
      </c>
      <c r="AC19" s="52" t="s">
        <v>41</v>
      </c>
      <c r="AE19" s="52">
        <v>3</v>
      </c>
      <c r="AF19" s="52" t="s">
        <v>41</v>
      </c>
      <c r="AK19" s="52">
        <v>377</v>
      </c>
    </row>
    <row r="20" spans="1:37" x14ac:dyDescent="0.2">
      <c r="A20" s="52" t="s">
        <v>991</v>
      </c>
      <c r="B20" s="52" t="s">
        <v>3094</v>
      </c>
      <c r="C20" s="52">
        <v>20</v>
      </c>
      <c r="D20" s="52" t="s">
        <v>127</v>
      </c>
      <c r="E20" s="52" t="s">
        <v>128</v>
      </c>
      <c r="F20" s="52" t="s">
        <v>444</v>
      </c>
      <c r="G20" s="52" t="s">
        <v>468</v>
      </c>
      <c r="H20" s="52" t="s">
        <v>1474</v>
      </c>
      <c r="I20" s="52" t="s">
        <v>894</v>
      </c>
      <c r="J20" s="52" t="s">
        <v>884</v>
      </c>
      <c r="K20" s="52" t="s">
        <v>892</v>
      </c>
      <c r="L20" s="52" t="s">
        <v>956</v>
      </c>
      <c r="M20" s="52" t="s">
        <v>886</v>
      </c>
      <c r="N20" s="52" t="s">
        <v>461</v>
      </c>
      <c r="O20" s="52" t="s">
        <v>458</v>
      </c>
      <c r="P20" s="52" t="s">
        <v>456</v>
      </c>
      <c r="Q20" s="52">
        <v>941000030976620</v>
      </c>
      <c r="R20" s="52" t="s">
        <v>444</v>
      </c>
      <c r="S20" s="52" t="s">
        <v>885</v>
      </c>
      <c r="T20" s="53">
        <v>44722</v>
      </c>
      <c r="W20" s="52" t="s">
        <v>892</v>
      </c>
      <c r="X20" s="53">
        <v>45975.393055555556</v>
      </c>
      <c r="Y20" s="52">
        <v>17.3</v>
      </c>
      <c r="AA20" s="52">
        <v>5</v>
      </c>
      <c r="AB20" s="52" t="s">
        <v>988</v>
      </c>
      <c r="AC20" s="52" t="s">
        <v>41</v>
      </c>
      <c r="AE20" s="52">
        <v>3</v>
      </c>
      <c r="AF20" s="52" t="s">
        <v>41</v>
      </c>
      <c r="AK20" s="52">
        <v>377</v>
      </c>
    </row>
    <row r="21" spans="1:37" x14ac:dyDescent="0.2">
      <c r="A21" s="52" t="s">
        <v>991</v>
      </c>
      <c r="B21" s="52" t="s">
        <v>3094</v>
      </c>
      <c r="C21" s="52">
        <v>20</v>
      </c>
      <c r="D21" s="52" t="s">
        <v>387</v>
      </c>
      <c r="E21" s="52" t="s">
        <v>388</v>
      </c>
      <c r="F21" s="52" t="s">
        <v>444</v>
      </c>
      <c r="G21" s="52" t="s">
        <v>632</v>
      </c>
      <c r="H21" s="52" t="s">
        <v>3111</v>
      </c>
      <c r="I21" s="52" t="s">
        <v>907</v>
      </c>
      <c r="J21" s="52" t="s">
        <v>884</v>
      </c>
      <c r="K21" s="52" t="s">
        <v>884</v>
      </c>
      <c r="L21" s="52" t="s">
        <v>887</v>
      </c>
      <c r="M21" s="52" t="s">
        <v>886</v>
      </c>
      <c r="N21" s="52" t="s">
        <v>461</v>
      </c>
      <c r="O21" s="52" t="s">
        <v>458</v>
      </c>
      <c r="P21" s="52" t="s">
        <v>679</v>
      </c>
      <c r="Q21" s="52">
        <v>941000031684383</v>
      </c>
      <c r="R21" s="52" t="s">
        <v>444</v>
      </c>
      <c r="S21" s="52" t="s">
        <v>468</v>
      </c>
      <c r="T21" s="53">
        <v>44759</v>
      </c>
      <c r="V21" s="53">
        <v>45860.586805555555</v>
      </c>
      <c r="W21" s="52" t="s">
        <v>892</v>
      </c>
      <c r="X21" s="53">
        <v>45855.586805555555</v>
      </c>
      <c r="Y21" s="52">
        <v>137.1</v>
      </c>
      <c r="AA21" s="52">
        <v>6</v>
      </c>
      <c r="AB21" s="52" t="s">
        <v>915</v>
      </c>
      <c r="AC21" s="52" t="s">
        <v>41</v>
      </c>
      <c r="AE21" s="52">
        <v>2</v>
      </c>
      <c r="AF21" s="52" t="s">
        <v>41</v>
      </c>
      <c r="AK21" s="52">
        <v>377</v>
      </c>
    </row>
    <row r="22" spans="1:37" x14ac:dyDescent="0.2">
      <c r="A22" s="52" t="s">
        <v>991</v>
      </c>
      <c r="B22" s="52" t="s">
        <v>3094</v>
      </c>
      <c r="C22" s="52">
        <v>20</v>
      </c>
      <c r="D22" s="52" t="s">
        <v>305</v>
      </c>
      <c r="E22" s="52" t="s">
        <v>306</v>
      </c>
      <c r="F22" s="52" t="s">
        <v>444</v>
      </c>
      <c r="G22" s="52" t="s">
        <v>451</v>
      </c>
      <c r="H22" s="52" t="s">
        <v>3112</v>
      </c>
      <c r="I22" s="52" t="s">
        <v>951</v>
      </c>
      <c r="J22" s="52" t="s">
        <v>884</v>
      </c>
      <c r="K22" s="52" t="s">
        <v>892</v>
      </c>
      <c r="L22" s="52" t="s">
        <v>993</v>
      </c>
      <c r="M22" s="52" t="s">
        <v>886</v>
      </c>
      <c r="N22" s="52" t="s">
        <v>461</v>
      </c>
      <c r="O22" s="52" t="s">
        <v>458</v>
      </c>
      <c r="P22" s="52" t="s">
        <v>471</v>
      </c>
      <c r="Q22" s="52">
        <v>941000028840680</v>
      </c>
      <c r="R22" s="52" t="s">
        <v>444</v>
      </c>
      <c r="S22" s="52" t="s">
        <v>885</v>
      </c>
      <c r="T22" s="53">
        <v>43770</v>
      </c>
      <c r="U22" s="52" t="s">
        <v>950</v>
      </c>
      <c r="W22" s="52" t="s">
        <v>892</v>
      </c>
      <c r="X22" s="53">
        <v>45887.629166666666</v>
      </c>
      <c r="Y22" s="52">
        <v>105</v>
      </c>
      <c r="AA22" s="52">
        <v>7</v>
      </c>
      <c r="AB22" s="52" t="s">
        <v>994</v>
      </c>
      <c r="AC22" s="52" t="s">
        <v>41</v>
      </c>
      <c r="AE22" s="52">
        <v>3</v>
      </c>
      <c r="AF22" s="52" t="s">
        <v>41</v>
      </c>
      <c r="AK22" s="52">
        <v>377</v>
      </c>
    </row>
    <row r="23" spans="1:37" x14ac:dyDescent="0.2">
      <c r="A23" s="52" t="s">
        <v>991</v>
      </c>
      <c r="B23" s="52" t="s">
        <v>3094</v>
      </c>
      <c r="C23" s="52">
        <v>20</v>
      </c>
      <c r="D23" s="52" t="s">
        <v>144</v>
      </c>
      <c r="E23" s="52" t="s">
        <v>145</v>
      </c>
      <c r="F23" s="52" t="s">
        <v>444</v>
      </c>
      <c r="G23" s="52" t="s">
        <v>460</v>
      </c>
      <c r="H23" s="52" t="s">
        <v>3113</v>
      </c>
      <c r="I23" s="52" t="s">
        <v>910</v>
      </c>
      <c r="J23" s="52" t="s">
        <v>884</v>
      </c>
      <c r="K23" s="52" t="s">
        <v>884</v>
      </c>
      <c r="L23" s="52" t="s">
        <v>887</v>
      </c>
      <c r="M23" s="52" t="s">
        <v>890</v>
      </c>
      <c r="N23" s="52" t="s">
        <v>461</v>
      </c>
      <c r="O23" s="52" t="s">
        <v>458</v>
      </c>
      <c r="P23" s="52" t="s">
        <v>466</v>
      </c>
      <c r="Q23" s="52">
        <v>941000030972352</v>
      </c>
      <c r="R23" s="52" t="s">
        <v>444</v>
      </c>
      <c r="S23" s="52" t="s">
        <v>885</v>
      </c>
      <c r="T23" s="53">
        <v>44701</v>
      </c>
      <c r="V23" s="53">
        <v>45802.638194444444</v>
      </c>
      <c r="W23" s="52" t="s">
        <v>892</v>
      </c>
      <c r="X23" s="53">
        <v>45797.638194444444</v>
      </c>
      <c r="Y23" s="52">
        <v>195</v>
      </c>
      <c r="AA23" s="52">
        <v>8</v>
      </c>
      <c r="AB23" s="52" t="s">
        <v>992</v>
      </c>
      <c r="AC23" s="52" t="s">
        <v>41</v>
      </c>
      <c r="AE23" s="52">
        <v>3</v>
      </c>
      <c r="AF23" s="52" t="s">
        <v>41</v>
      </c>
      <c r="AK23" s="52">
        <v>377</v>
      </c>
    </row>
    <row r="24" spans="1:37" x14ac:dyDescent="0.2">
      <c r="A24" s="52" t="s">
        <v>991</v>
      </c>
      <c r="B24" s="52" t="s">
        <v>3094</v>
      </c>
      <c r="C24" s="52">
        <v>20</v>
      </c>
      <c r="D24" s="52" t="s">
        <v>228</v>
      </c>
      <c r="E24" s="52" t="s">
        <v>229</v>
      </c>
      <c r="F24" s="52" t="s">
        <v>444</v>
      </c>
      <c r="G24" s="52" t="s">
        <v>632</v>
      </c>
      <c r="H24" s="52" t="s">
        <v>3114</v>
      </c>
      <c r="I24" s="52" t="s">
        <v>899</v>
      </c>
      <c r="J24" s="52" t="s">
        <v>884</v>
      </c>
      <c r="K24" s="52" t="s">
        <v>884</v>
      </c>
      <c r="L24" s="52" t="s">
        <v>896</v>
      </c>
      <c r="M24" s="52" t="s">
        <v>886</v>
      </c>
      <c r="N24" s="52" t="s">
        <v>461</v>
      </c>
      <c r="O24" s="52" t="s">
        <v>458</v>
      </c>
      <c r="P24" s="52" t="s">
        <v>629</v>
      </c>
      <c r="Q24" s="52">
        <v>941000031683941</v>
      </c>
      <c r="R24" s="52" t="s">
        <v>444</v>
      </c>
      <c r="S24" s="52" t="s">
        <v>885</v>
      </c>
      <c r="T24" s="53">
        <v>42909</v>
      </c>
      <c r="W24" s="52" t="s">
        <v>892</v>
      </c>
      <c r="X24" s="53">
        <v>45830.552777777775</v>
      </c>
      <c r="Y24" s="52">
        <v>162.1</v>
      </c>
      <c r="AA24" s="52">
        <v>9</v>
      </c>
      <c r="AB24" s="52" t="s">
        <v>898</v>
      </c>
      <c r="AC24" s="52" t="s">
        <v>41</v>
      </c>
      <c r="AE24" s="52">
        <v>3</v>
      </c>
      <c r="AF24" s="52" t="s">
        <v>41</v>
      </c>
      <c r="AK24" s="52">
        <v>377</v>
      </c>
    </row>
    <row r="25" spans="1:37" x14ac:dyDescent="0.2">
      <c r="A25" s="52" t="s">
        <v>1996</v>
      </c>
      <c r="B25" s="52" t="s">
        <v>3115</v>
      </c>
      <c r="C25" s="52">
        <v>29</v>
      </c>
      <c r="D25" s="52" t="s">
        <v>500</v>
      </c>
      <c r="E25" s="52" t="s">
        <v>498</v>
      </c>
      <c r="F25" s="52" t="s">
        <v>443</v>
      </c>
      <c r="G25" s="52" t="s">
        <v>34</v>
      </c>
      <c r="H25" s="52" t="s">
        <v>3116</v>
      </c>
      <c r="I25" s="52" t="s">
        <v>917</v>
      </c>
      <c r="J25" s="52" t="s">
        <v>884</v>
      </c>
      <c r="K25" s="52" t="s">
        <v>884</v>
      </c>
      <c r="L25" s="52" t="s">
        <v>2119</v>
      </c>
      <c r="M25" s="52" t="s">
        <v>886</v>
      </c>
      <c r="N25" s="52" t="s">
        <v>461</v>
      </c>
      <c r="O25" s="52" t="s">
        <v>557</v>
      </c>
      <c r="Q25" s="52">
        <v>941000029786880</v>
      </c>
      <c r="R25" s="52" t="s">
        <v>443</v>
      </c>
      <c r="S25" s="52" t="s">
        <v>885</v>
      </c>
      <c r="T25" s="53">
        <v>45385</v>
      </c>
      <c r="U25" s="52" t="s">
        <v>2004</v>
      </c>
      <c r="W25" s="52" t="s">
        <v>892</v>
      </c>
      <c r="X25" s="53">
        <v>45415.431944444441</v>
      </c>
      <c r="Y25" s="52">
        <v>577.29999999999995</v>
      </c>
      <c r="AA25" s="52" t="s">
        <v>3117</v>
      </c>
      <c r="AB25" s="52" t="s">
        <v>2120</v>
      </c>
      <c r="AC25" s="52" t="s">
        <v>41</v>
      </c>
      <c r="AE25" s="52">
        <v>2</v>
      </c>
      <c r="AF25" s="52" t="s">
        <v>41</v>
      </c>
      <c r="AK25" s="52">
        <v>377</v>
      </c>
    </row>
    <row r="26" spans="1:37" x14ac:dyDescent="0.2">
      <c r="A26" s="52" t="s">
        <v>1996</v>
      </c>
      <c r="B26" s="52" t="s">
        <v>3115</v>
      </c>
      <c r="C26" s="52">
        <v>29</v>
      </c>
      <c r="D26" s="52" t="s">
        <v>1936</v>
      </c>
      <c r="E26" s="52" t="s">
        <v>128</v>
      </c>
      <c r="F26" s="52" t="s">
        <v>443</v>
      </c>
      <c r="G26" s="52" t="s">
        <v>34</v>
      </c>
      <c r="H26" s="52" t="s">
        <v>3118</v>
      </c>
      <c r="I26" s="52" t="s">
        <v>935</v>
      </c>
      <c r="J26" s="52" t="s">
        <v>884</v>
      </c>
      <c r="K26" s="52" t="s">
        <v>892</v>
      </c>
      <c r="L26" s="52" t="s">
        <v>956</v>
      </c>
      <c r="M26" s="52" t="s">
        <v>886</v>
      </c>
      <c r="N26" s="52" t="s">
        <v>461</v>
      </c>
      <c r="O26" s="52" t="s">
        <v>557</v>
      </c>
      <c r="Q26" s="52">
        <v>941000031683992</v>
      </c>
      <c r="R26" s="52" t="s">
        <v>443</v>
      </c>
      <c r="S26" s="52" t="s">
        <v>885</v>
      </c>
      <c r="T26" s="53">
        <v>45426</v>
      </c>
      <c r="U26" s="52" t="s">
        <v>932</v>
      </c>
      <c r="W26" s="52" t="s">
        <v>892</v>
      </c>
      <c r="X26" s="53">
        <v>45950.542361111111</v>
      </c>
      <c r="Y26" s="52">
        <v>42.1</v>
      </c>
      <c r="AA26" s="52" t="s">
        <v>3119</v>
      </c>
      <c r="AB26" s="52" t="s">
        <v>2117</v>
      </c>
      <c r="AC26" s="52" t="s">
        <v>41</v>
      </c>
      <c r="AE26" s="52">
        <v>1</v>
      </c>
      <c r="AF26" s="52" t="s">
        <v>41</v>
      </c>
      <c r="AK26" s="52">
        <v>377</v>
      </c>
    </row>
    <row r="27" spans="1:37" x14ac:dyDescent="0.2">
      <c r="A27" s="52" t="s">
        <v>1996</v>
      </c>
      <c r="B27" s="52" t="s">
        <v>3115</v>
      </c>
      <c r="C27" s="52">
        <v>29</v>
      </c>
      <c r="D27" s="52" t="s">
        <v>1949</v>
      </c>
      <c r="E27" s="52" t="s">
        <v>1950</v>
      </c>
      <c r="F27" s="52" t="s">
        <v>443</v>
      </c>
      <c r="G27" s="52" t="s">
        <v>34</v>
      </c>
      <c r="H27" s="52" t="s">
        <v>3120</v>
      </c>
      <c r="I27" s="52" t="s">
        <v>935</v>
      </c>
      <c r="K27" s="52" t="s">
        <v>884</v>
      </c>
      <c r="L27" s="52" t="s">
        <v>922</v>
      </c>
      <c r="M27" s="52" t="s">
        <v>886</v>
      </c>
      <c r="N27" s="52" t="s">
        <v>494</v>
      </c>
      <c r="O27" s="52" t="s">
        <v>557</v>
      </c>
      <c r="R27" s="52" t="s">
        <v>443</v>
      </c>
      <c r="S27" s="52" t="s">
        <v>885</v>
      </c>
      <c r="T27" s="53">
        <v>45547</v>
      </c>
      <c r="U27" s="52" t="s">
        <v>2013</v>
      </c>
      <c r="V27" s="53">
        <v>45587.659722222219</v>
      </c>
      <c r="W27" s="52" t="s">
        <v>884</v>
      </c>
      <c r="X27" s="53">
        <v>45582.659722222219</v>
      </c>
      <c r="Y27" s="52">
        <v>410</v>
      </c>
      <c r="AA27" s="52" t="s">
        <v>2925</v>
      </c>
      <c r="AB27" s="52" t="s">
        <v>2144</v>
      </c>
      <c r="AC27" s="52" t="s">
        <v>41</v>
      </c>
      <c r="AE27" s="52">
        <v>1</v>
      </c>
      <c r="AF27" s="52" t="s">
        <v>41</v>
      </c>
      <c r="AK27" s="52">
        <v>377</v>
      </c>
    </row>
    <row r="28" spans="1:37" x14ac:dyDescent="0.2">
      <c r="A28" s="52" t="s">
        <v>1996</v>
      </c>
      <c r="B28" s="52" t="s">
        <v>3115</v>
      </c>
      <c r="C28" s="52">
        <v>29</v>
      </c>
      <c r="D28" s="52" t="s">
        <v>695</v>
      </c>
      <c r="E28" s="52" t="s">
        <v>3121</v>
      </c>
      <c r="F28" s="52" t="s">
        <v>443</v>
      </c>
      <c r="G28" s="52" t="s">
        <v>34</v>
      </c>
      <c r="H28" s="52" t="s">
        <v>3122</v>
      </c>
      <c r="I28" s="52" t="s">
        <v>903</v>
      </c>
      <c r="J28" s="52" t="s">
        <v>884</v>
      </c>
      <c r="K28" s="52" t="s">
        <v>884</v>
      </c>
      <c r="L28" s="52" t="s">
        <v>922</v>
      </c>
      <c r="M28" s="52" t="s">
        <v>890</v>
      </c>
      <c r="N28" s="52" t="s">
        <v>461</v>
      </c>
      <c r="O28" s="52" t="s">
        <v>557</v>
      </c>
      <c r="Q28" s="52">
        <v>941000013683871</v>
      </c>
      <c r="R28" s="52" t="s">
        <v>443</v>
      </c>
      <c r="S28" s="52" t="s">
        <v>885</v>
      </c>
      <c r="T28" s="53">
        <v>45827</v>
      </c>
      <c r="U28" s="52" t="s">
        <v>2000</v>
      </c>
      <c r="V28" s="53">
        <v>45874.621527777781</v>
      </c>
      <c r="W28" s="52" t="s">
        <v>892</v>
      </c>
      <c r="X28" s="53">
        <v>45869.621527777781</v>
      </c>
      <c r="Y28" s="52">
        <v>123.1</v>
      </c>
      <c r="AA28" s="52" t="s">
        <v>3123</v>
      </c>
      <c r="AB28" s="52" t="s">
        <v>3124</v>
      </c>
      <c r="AC28" s="52" t="s">
        <v>41</v>
      </c>
      <c r="AE28" s="52">
        <v>1</v>
      </c>
      <c r="AF28" s="52" t="s">
        <v>41</v>
      </c>
      <c r="AK28" s="52">
        <v>377</v>
      </c>
    </row>
    <row r="29" spans="1:37" x14ac:dyDescent="0.2">
      <c r="A29" s="52" t="s">
        <v>1996</v>
      </c>
      <c r="B29" s="52" t="s">
        <v>3115</v>
      </c>
      <c r="C29" s="52">
        <v>29</v>
      </c>
      <c r="D29" s="52" t="s">
        <v>697</v>
      </c>
      <c r="E29" s="52" t="s">
        <v>3125</v>
      </c>
      <c r="F29" s="52" t="s">
        <v>443</v>
      </c>
      <c r="G29" s="52" t="s">
        <v>34</v>
      </c>
      <c r="H29" s="52" t="s">
        <v>3122</v>
      </c>
      <c r="I29" s="52" t="s">
        <v>923</v>
      </c>
      <c r="J29" s="52" t="s">
        <v>884</v>
      </c>
      <c r="K29" s="52" t="s">
        <v>884</v>
      </c>
      <c r="L29" s="52" t="s">
        <v>922</v>
      </c>
      <c r="M29" s="52" t="s">
        <v>886</v>
      </c>
      <c r="N29" s="52" t="s">
        <v>461</v>
      </c>
      <c r="O29" s="52" t="s">
        <v>557</v>
      </c>
      <c r="Q29" s="52">
        <v>941000031684343</v>
      </c>
      <c r="R29" s="52" t="s">
        <v>443</v>
      </c>
      <c r="S29" s="52" t="s">
        <v>885</v>
      </c>
      <c r="T29" s="53">
        <v>45827</v>
      </c>
      <c r="V29" s="53">
        <v>45874.621527777781</v>
      </c>
      <c r="W29" s="52" t="s">
        <v>892</v>
      </c>
      <c r="X29" s="53">
        <v>45869.621527777781</v>
      </c>
      <c r="Y29" s="52">
        <v>123.1</v>
      </c>
      <c r="AA29" s="52" t="s">
        <v>3123</v>
      </c>
      <c r="AB29" s="52" t="s">
        <v>3126</v>
      </c>
      <c r="AC29" s="52" t="s">
        <v>41</v>
      </c>
      <c r="AE29" s="52">
        <v>1</v>
      </c>
      <c r="AF29" s="52" t="s">
        <v>41</v>
      </c>
      <c r="AK29" s="52">
        <v>377</v>
      </c>
    </row>
    <row r="30" spans="1:37" x14ac:dyDescent="0.2">
      <c r="A30" s="52" t="s">
        <v>1996</v>
      </c>
      <c r="B30" s="52" t="s">
        <v>3115</v>
      </c>
      <c r="C30" s="52">
        <v>29</v>
      </c>
      <c r="D30" s="52" t="s">
        <v>1785</v>
      </c>
      <c r="E30" s="52" t="s">
        <v>1786</v>
      </c>
      <c r="F30" s="52" t="s">
        <v>443</v>
      </c>
      <c r="G30" s="52" t="s">
        <v>34</v>
      </c>
      <c r="H30" s="52" t="s">
        <v>3127</v>
      </c>
      <c r="I30" s="52" t="s">
        <v>897</v>
      </c>
      <c r="K30" s="52" t="s">
        <v>884</v>
      </c>
      <c r="L30" s="52" t="s">
        <v>922</v>
      </c>
      <c r="M30" s="52" t="s">
        <v>890</v>
      </c>
      <c r="N30" s="52" t="s">
        <v>494</v>
      </c>
      <c r="O30" s="52" t="s">
        <v>557</v>
      </c>
      <c r="R30" s="52" t="s">
        <v>443</v>
      </c>
      <c r="S30" s="52" t="s">
        <v>885</v>
      </c>
      <c r="T30" s="53">
        <v>45596</v>
      </c>
      <c r="V30" s="53">
        <v>45965.531944444447</v>
      </c>
      <c r="W30" s="52" t="s">
        <v>892</v>
      </c>
      <c r="X30" s="53">
        <v>45960.573611111111</v>
      </c>
      <c r="Y30" s="52">
        <v>32.1</v>
      </c>
      <c r="AA30" s="52" t="s">
        <v>2464</v>
      </c>
      <c r="AB30" s="52" t="s">
        <v>2053</v>
      </c>
      <c r="AC30" s="52" t="s">
        <v>41</v>
      </c>
      <c r="AE30" s="52">
        <v>1</v>
      </c>
      <c r="AF30" s="52" t="s">
        <v>41</v>
      </c>
      <c r="AK30" s="52">
        <v>377</v>
      </c>
    </row>
    <row r="31" spans="1:37" x14ac:dyDescent="0.2">
      <c r="A31" s="52" t="s">
        <v>1996</v>
      </c>
      <c r="B31" s="52" t="s">
        <v>3115</v>
      </c>
      <c r="C31" s="52">
        <v>29</v>
      </c>
      <c r="D31" s="52" t="s">
        <v>1840</v>
      </c>
      <c r="E31" s="52" t="s">
        <v>1824</v>
      </c>
      <c r="F31" s="52" t="s">
        <v>443</v>
      </c>
      <c r="G31" s="52" t="s">
        <v>34</v>
      </c>
      <c r="H31" s="52" t="s">
        <v>3128</v>
      </c>
      <c r="I31" s="52" t="s">
        <v>894</v>
      </c>
      <c r="K31" s="52" t="s">
        <v>884</v>
      </c>
      <c r="L31" s="52" t="s">
        <v>922</v>
      </c>
      <c r="M31" s="52" t="s">
        <v>886</v>
      </c>
      <c r="N31" s="52" t="s">
        <v>494</v>
      </c>
      <c r="O31" s="52" t="s">
        <v>557</v>
      </c>
      <c r="R31" s="52" t="s">
        <v>443</v>
      </c>
      <c r="S31" s="52" t="s">
        <v>885</v>
      </c>
      <c r="T31" s="53">
        <v>45875</v>
      </c>
      <c r="V31" s="53">
        <v>45956.646527777775</v>
      </c>
      <c r="W31" s="52" t="s">
        <v>884</v>
      </c>
      <c r="X31" s="53">
        <v>45951.646527777775</v>
      </c>
      <c r="Y31" s="52">
        <v>41</v>
      </c>
      <c r="AA31" s="52" t="s">
        <v>648</v>
      </c>
      <c r="AB31" s="52" t="s">
        <v>2964</v>
      </c>
      <c r="AC31" s="52" t="s">
        <v>41</v>
      </c>
      <c r="AE31" s="52">
        <v>2</v>
      </c>
      <c r="AF31" s="52" t="s">
        <v>41</v>
      </c>
      <c r="AK31" s="52">
        <v>377</v>
      </c>
    </row>
    <row r="32" spans="1:37" x14ac:dyDescent="0.2">
      <c r="A32" s="52" t="s">
        <v>1996</v>
      </c>
      <c r="B32" s="52" t="s">
        <v>3115</v>
      </c>
      <c r="C32" s="52">
        <v>29</v>
      </c>
      <c r="D32" s="52" t="s">
        <v>657</v>
      </c>
      <c r="E32" s="52" t="s">
        <v>656</v>
      </c>
      <c r="F32" s="52" t="s">
        <v>443</v>
      </c>
      <c r="G32" s="52" t="s">
        <v>34</v>
      </c>
      <c r="H32" s="52" t="s">
        <v>3129</v>
      </c>
      <c r="I32" s="52" t="s">
        <v>1999</v>
      </c>
      <c r="K32" s="52" t="s">
        <v>884</v>
      </c>
      <c r="L32" s="52" t="s">
        <v>887</v>
      </c>
      <c r="M32" s="52" t="s">
        <v>890</v>
      </c>
      <c r="N32" s="52" t="s">
        <v>461</v>
      </c>
      <c r="O32" s="52" t="s">
        <v>557</v>
      </c>
      <c r="R32" s="52" t="s">
        <v>443</v>
      </c>
      <c r="S32" s="52" t="s">
        <v>885</v>
      </c>
      <c r="T32" s="53">
        <v>44046</v>
      </c>
      <c r="V32" s="53">
        <v>45837.607638888891</v>
      </c>
      <c r="W32" s="52" t="s">
        <v>892</v>
      </c>
      <c r="X32" s="53">
        <v>45832.607638888891</v>
      </c>
      <c r="Y32" s="52">
        <v>160.1</v>
      </c>
      <c r="AA32" s="52" t="s">
        <v>3130</v>
      </c>
      <c r="AB32" s="52" t="s">
        <v>2035</v>
      </c>
      <c r="AC32" s="52" t="s">
        <v>41</v>
      </c>
      <c r="AE32" s="52">
        <v>1</v>
      </c>
      <c r="AF32" s="52" t="s">
        <v>41</v>
      </c>
      <c r="AK32" s="52">
        <v>377</v>
      </c>
    </row>
    <row r="33" spans="1:37" x14ac:dyDescent="0.2">
      <c r="A33" s="52" t="s">
        <v>1996</v>
      </c>
      <c r="B33" s="52" t="s">
        <v>3115</v>
      </c>
      <c r="C33" s="52">
        <v>29</v>
      </c>
      <c r="D33" s="52" t="s">
        <v>597</v>
      </c>
      <c r="E33" s="52" t="s">
        <v>596</v>
      </c>
      <c r="F33" s="52" t="s">
        <v>443</v>
      </c>
      <c r="G33" s="52" t="s">
        <v>34</v>
      </c>
      <c r="H33" s="52" t="s">
        <v>3131</v>
      </c>
      <c r="I33" s="52" t="s">
        <v>923</v>
      </c>
      <c r="J33" s="52" t="s">
        <v>884</v>
      </c>
      <c r="K33" s="52" t="s">
        <v>884</v>
      </c>
      <c r="L33" s="52" t="s">
        <v>922</v>
      </c>
      <c r="M33" s="52" t="s">
        <v>886</v>
      </c>
      <c r="N33" s="52" t="s">
        <v>461</v>
      </c>
      <c r="O33" s="52" t="s">
        <v>557</v>
      </c>
      <c r="Q33" s="52">
        <v>941000031749670</v>
      </c>
      <c r="R33" s="52" t="s">
        <v>443</v>
      </c>
      <c r="S33" s="52" t="s">
        <v>885</v>
      </c>
      <c r="T33" s="53">
        <v>45771</v>
      </c>
      <c r="U33" s="52" t="s">
        <v>2004</v>
      </c>
      <c r="V33" s="53">
        <v>45801.65</v>
      </c>
      <c r="W33" s="52" t="s">
        <v>892</v>
      </c>
      <c r="X33" s="53">
        <v>45796.65</v>
      </c>
      <c r="Y33" s="52">
        <v>196</v>
      </c>
      <c r="AA33" s="52" t="s">
        <v>590</v>
      </c>
      <c r="AB33" s="52" t="s">
        <v>2009</v>
      </c>
      <c r="AC33" s="52" t="s">
        <v>41</v>
      </c>
      <c r="AE33" s="52">
        <v>3</v>
      </c>
      <c r="AF33" s="52" t="s">
        <v>41</v>
      </c>
      <c r="AK33" s="52">
        <v>377</v>
      </c>
    </row>
    <row r="34" spans="1:37" x14ac:dyDescent="0.2">
      <c r="A34" s="52" t="s">
        <v>1996</v>
      </c>
      <c r="B34" s="52" t="s">
        <v>3115</v>
      </c>
      <c r="C34" s="52">
        <v>29</v>
      </c>
      <c r="D34" s="52" t="s">
        <v>617</v>
      </c>
      <c r="E34" s="52" t="s">
        <v>3132</v>
      </c>
      <c r="F34" s="52" t="s">
        <v>443</v>
      </c>
      <c r="G34" s="52" t="s">
        <v>34</v>
      </c>
      <c r="H34" s="52" t="s">
        <v>3133</v>
      </c>
      <c r="I34" s="52" t="s">
        <v>897</v>
      </c>
      <c r="J34" s="52" t="s">
        <v>884</v>
      </c>
      <c r="K34" s="52" t="s">
        <v>884</v>
      </c>
      <c r="L34" s="52" t="s">
        <v>922</v>
      </c>
      <c r="M34" s="52" t="s">
        <v>890</v>
      </c>
      <c r="N34" s="52" t="s">
        <v>461</v>
      </c>
      <c r="O34" s="52" t="s">
        <v>557</v>
      </c>
      <c r="Q34" s="52">
        <v>941000031684211</v>
      </c>
      <c r="R34" s="52" t="s">
        <v>443</v>
      </c>
      <c r="S34" s="52" t="s">
        <v>885</v>
      </c>
      <c r="T34" s="53">
        <v>45746</v>
      </c>
      <c r="V34" s="53">
        <v>45819.623611111114</v>
      </c>
      <c r="W34" s="52" t="s">
        <v>892</v>
      </c>
      <c r="X34" s="53">
        <v>45814.623611111114</v>
      </c>
      <c r="Y34" s="52">
        <v>178.1</v>
      </c>
      <c r="AA34" s="52" t="s">
        <v>2648</v>
      </c>
      <c r="AB34" s="52" t="s">
        <v>1208</v>
      </c>
      <c r="AC34" s="52" t="s">
        <v>41</v>
      </c>
      <c r="AE34" s="52">
        <v>1</v>
      </c>
      <c r="AF34" s="52" t="s">
        <v>41</v>
      </c>
      <c r="AK34" s="52">
        <v>377</v>
      </c>
    </row>
    <row r="35" spans="1:37" x14ac:dyDescent="0.2">
      <c r="A35" s="52" t="s">
        <v>1996</v>
      </c>
      <c r="B35" s="52" t="s">
        <v>3115</v>
      </c>
      <c r="C35" s="52">
        <v>29</v>
      </c>
      <c r="D35" s="52" t="s">
        <v>602</v>
      </c>
      <c r="E35" s="52" t="s">
        <v>601</v>
      </c>
      <c r="F35" s="52" t="s">
        <v>443</v>
      </c>
      <c r="G35" s="52" t="s">
        <v>34</v>
      </c>
      <c r="H35" s="52" t="s">
        <v>2973</v>
      </c>
      <c r="I35" s="52" t="s">
        <v>894</v>
      </c>
      <c r="J35" s="52" t="s">
        <v>884</v>
      </c>
      <c r="K35" s="52" t="s">
        <v>884</v>
      </c>
      <c r="L35" s="52" t="s">
        <v>922</v>
      </c>
      <c r="M35" s="52" t="s">
        <v>886</v>
      </c>
      <c r="N35" s="52" t="s">
        <v>461</v>
      </c>
      <c r="O35" s="52" t="s">
        <v>557</v>
      </c>
      <c r="Q35" s="52">
        <v>941000031684078</v>
      </c>
      <c r="R35" s="52" t="s">
        <v>443</v>
      </c>
      <c r="S35" s="52" t="s">
        <v>885</v>
      </c>
      <c r="T35" s="53">
        <v>45765</v>
      </c>
      <c r="V35" s="53">
        <v>45810.568749999999</v>
      </c>
      <c r="W35" s="52" t="s">
        <v>892</v>
      </c>
      <c r="X35" s="53">
        <v>45805.568749999999</v>
      </c>
      <c r="Y35" s="52">
        <v>187.1</v>
      </c>
      <c r="AA35" s="52" t="s">
        <v>1934</v>
      </c>
      <c r="AB35" s="52" t="s">
        <v>2010</v>
      </c>
      <c r="AC35" s="52" t="s">
        <v>41</v>
      </c>
      <c r="AE35" s="52">
        <v>1</v>
      </c>
      <c r="AF35" s="52" t="s">
        <v>41</v>
      </c>
      <c r="AK35" s="52">
        <v>377</v>
      </c>
    </row>
    <row r="36" spans="1:37" x14ac:dyDescent="0.2">
      <c r="A36" s="52" t="s">
        <v>1996</v>
      </c>
      <c r="B36" s="52" t="s">
        <v>3115</v>
      </c>
      <c r="C36" s="52">
        <v>29</v>
      </c>
      <c r="D36" s="52" t="s">
        <v>628</v>
      </c>
      <c r="E36" s="52" t="s">
        <v>627</v>
      </c>
      <c r="F36" s="52" t="s">
        <v>443</v>
      </c>
      <c r="G36" s="52" t="s">
        <v>34</v>
      </c>
      <c r="H36" s="52" t="s">
        <v>3134</v>
      </c>
      <c r="I36" s="52" t="s">
        <v>2023</v>
      </c>
      <c r="J36" s="52" t="s">
        <v>884</v>
      </c>
      <c r="K36" s="52" t="s">
        <v>884</v>
      </c>
      <c r="L36" s="52" t="s">
        <v>922</v>
      </c>
      <c r="M36" s="52" t="s">
        <v>886</v>
      </c>
      <c r="N36" s="52" t="s">
        <v>461</v>
      </c>
      <c r="O36" s="52" t="s">
        <v>557</v>
      </c>
      <c r="Q36" s="52">
        <v>941000031683512</v>
      </c>
      <c r="R36" s="52" t="s">
        <v>443</v>
      </c>
      <c r="S36" s="52" t="s">
        <v>885</v>
      </c>
      <c r="T36" s="53">
        <v>45774</v>
      </c>
      <c r="V36" s="53">
        <v>45823.563888888886</v>
      </c>
      <c r="W36" s="52" t="s">
        <v>892</v>
      </c>
      <c r="X36" s="53">
        <v>45818.563888888886</v>
      </c>
      <c r="Y36" s="52">
        <v>174.1</v>
      </c>
      <c r="AA36" s="52" t="s">
        <v>2833</v>
      </c>
      <c r="AB36" s="52" t="s">
        <v>2024</v>
      </c>
      <c r="AC36" s="52" t="s">
        <v>41</v>
      </c>
      <c r="AE36" s="52">
        <v>2</v>
      </c>
      <c r="AF36" s="52" t="s">
        <v>41</v>
      </c>
      <c r="AK36" s="52">
        <v>377</v>
      </c>
    </row>
    <row r="37" spans="1:37" x14ac:dyDescent="0.2">
      <c r="A37" s="52" t="s">
        <v>1996</v>
      </c>
      <c r="B37" s="52" t="s">
        <v>3115</v>
      </c>
      <c r="C37" s="52">
        <v>29</v>
      </c>
      <c r="D37" s="52" t="s">
        <v>1805</v>
      </c>
      <c r="E37" s="52" t="s">
        <v>2351</v>
      </c>
      <c r="F37" s="52" t="s">
        <v>443</v>
      </c>
      <c r="G37" s="52" t="s">
        <v>34</v>
      </c>
      <c r="H37" s="52" t="s">
        <v>3135</v>
      </c>
      <c r="I37" s="52" t="s">
        <v>910</v>
      </c>
      <c r="K37" s="52" t="s">
        <v>884</v>
      </c>
      <c r="L37" s="52" t="s">
        <v>922</v>
      </c>
      <c r="M37" s="52" t="s">
        <v>886</v>
      </c>
      <c r="N37" s="52" t="s">
        <v>461</v>
      </c>
      <c r="O37" s="52" t="s">
        <v>557</v>
      </c>
      <c r="Q37" s="52">
        <v>941000031684113</v>
      </c>
      <c r="R37" s="52" t="s">
        <v>443</v>
      </c>
      <c r="S37" s="52" t="s">
        <v>885</v>
      </c>
      <c r="T37" s="53">
        <v>45911</v>
      </c>
      <c r="V37" s="53">
        <v>45962.361111111109</v>
      </c>
      <c r="W37" s="52" t="s">
        <v>892</v>
      </c>
      <c r="X37" s="53">
        <v>45957.361111111109</v>
      </c>
      <c r="Y37" s="52">
        <v>35.299999999999997</v>
      </c>
      <c r="AA37" s="52" t="s">
        <v>608</v>
      </c>
      <c r="AB37" s="52" t="s">
        <v>2964</v>
      </c>
      <c r="AC37" s="52" t="s">
        <v>41</v>
      </c>
      <c r="AE37" s="52">
        <v>2</v>
      </c>
      <c r="AF37" s="52" t="s">
        <v>41</v>
      </c>
      <c r="AK37" s="52">
        <v>377</v>
      </c>
    </row>
    <row r="38" spans="1:37" x14ac:dyDescent="0.2">
      <c r="A38" s="52" t="s">
        <v>1996</v>
      </c>
      <c r="B38" s="52" t="s">
        <v>3115</v>
      </c>
      <c r="C38" s="52">
        <v>29</v>
      </c>
      <c r="D38" s="52" t="s">
        <v>1804</v>
      </c>
      <c r="E38" s="52" t="s">
        <v>2493</v>
      </c>
      <c r="F38" s="52" t="s">
        <v>443</v>
      </c>
      <c r="G38" s="52" t="s">
        <v>34</v>
      </c>
      <c r="H38" s="52" t="s">
        <v>3135</v>
      </c>
      <c r="I38" s="52" t="s">
        <v>910</v>
      </c>
      <c r="K38" s="52" t="s">
        <v>884</v>
      </c>
      <c r="L38" s="52" t="s">
        <v>922</v>
      </c>
      <c r="M38" s="52" t="s">
        <v>890</v>
      </c>
      <c r="N38" s="52" t="s">
        <v>461</v>
      </c>
      <c r="O38" s="52" t="s">
        <v>557</v>
      </c>
      <c r="Q38" s="52">
        <v>941000031684134</v>
      </c>
      <c r="R38" s="52" t="s">
        <v>443</v>
      </c>
      <c r="S38" s="52" t="s">
        <v>885</v>
      </c>
      <c r="T38" s="53">
        <v>45911</v>
      </c>
      <c r="V38" s="53">
        <v>45962.361111111109</v>
      </c>
      <c r="W38" s="52" t="s">
        <v>892</v>
      </c>
      <c r="X38" s="53">
        <v>45957.361111111109</v>
      </c>
      <c r="Y38" s="52">
        <v>35.299999999999997</v>
      </c>
      <c r="AA38" s="52" t="s">
        <v>608</v>
      </c>
      <c r="AB38" s="52" t="s">
        <v>2029</v>
      </c>
      <c r="AC38" s="52" t="s">
        <v>41</v>
      </c>
      <c r="AE38" s="52">
        <v>2</v>
      </c>
      <c r="AF38" s="52" t="s">
        <v>41</v>
      </c>
      <c r="AK38" s="52">
        <v>377</v>
      </c>
    </row>
    <row r="39" spans="1:37" x14ac:dyDescent="0.2">
      <c r="A39" s="52" t="s">
        <v>1996</v>
      </c>
      <c r="B39" s="52" t="s">
        <v>3115</v>
      </c>
      <c r="C39" s="52">
        <v>29</v>
      </c>
      <c r="D39" s="52" t="s">
        <v>1803</v>
      </c>
      <c r="E39" s="52" t="s">
        <v>2491</v>
      </c>
      <c r="F39" s="52" t="s">
        <v>443</v>
      </c>
      <c r="G39" s="52" t="s">
        <v>34</v>
      </c>
      <c r="H39" s="52" t="s">
        <v>3135</v>
      </c>
      <c r="I39" s="52" t="s">
        <v>910</v>
      </c>
      <c r="K39" s="52" t="s">
        <v>884</v>
      </c>
      <c r="L39" s="52" t="s">
        <v>922</v>
      </c>
      <c r="M39" s="52" t="s">
        <v>886</v>
      </c>
      <c r="N39" s="52" t="s">
        <v>461</v>
      </c>
      <c r="O39" s="52" t="s">
        <v>557</v>
      </c>
      <c r="Q39" s="52">
        <v>941000031684339</v>
      </c>
      <c r="R39" s="52" t="s">
        <v>443</v>
      </c>
      <c r="S39" s="52" t="s">
        <v>885</v>
      </c>
      <c r="T39" s="53">
        <v>45911</v>
      </c>
      <c r="V39" s="53">
        <v>45962.361111111109</v>
      </c>
      <c r="W39" s="52" t="s">
        <v>892</v>
      </c>
      <c r="X39" s="53">
        <v>45957.361111111109</v>
      </c>
      <c r="Y39" s="52">
        <v>35.299999999999997</v>
      </c>
      <c r="AA39" s="52" t="s">
        <v>608</v>
      </c>
      <c r="AB39" s="52" t="s">
        <v>2029</v>
      </c>
      <c r="AC39" s="52" t="s">
        <v>41</v>
      </c>
      <c r="AE39" s="52">
        <v>2</v>
      </c>
      <c r="AF39" s="52" t="s">
        <v>41</v>
      </c>
      <c r="AK39" s="52">
        <v>377</v>
      </c>
    </row>
    <row r="40" spans="1:37" x14ac:dyDescent="0.2">
      <c r="A40" s="52" t="s">
        <v>1996</v>
      </c>
      <c r="B40" s="52" t="s">
        <v>3115</v>
      </c>
      <c r="C40" s="52">
        <v>29</v>
      </c>
      <c r="D40" s="52" t="s">
        <v>1802</v>
      </c>
      <c r="E40" s="52" t="s">
        <v>2489</v>
      </c>
      <c r="F40" s="52" t="s">
        <v>443</v>
      </c>
      <c r="G40" s="52" t="s">
        <v>34</v>
      </c>
      <c r="H40" s="52" t="s">
        <v>3135</v>
      </c>
      <c r="I40" s="52" t="s">
        <v>910</v>
      </c>
      <c r="K40" s="52" t="s">
        <v>884</v>
      </c>
      <c r="L40" s="52" t="s">
        <v>922</v>
      </c>
      <c r="M40" s="52" t="s">
        <v>890</v>
      </c>
      <c r="N40" s="52" t="s">
        <v>461</v>
      </c>
      <c r="O40" s="52" t="s">
        <v>557</v>
      </c>
      <c r="Q40" s="52">
        <v>941000031683748</v>
      </c>
      <c r="R40" s="52" t="s">
        <v>443</v>
      </c>
      <c r="S40" s="52" t="s">
        <v>885</v>
      </c>
      <c r="T40" s="53">
        <v>45911</v>
      </c>
      <c r="V40" s="53">
        <v>45962.361111111109</v>
      </c>
      <c r="W40" s="52" t="s">
        <v>892</v>
      </c>
      <c r="X40" s="53">
        <v>45957.361111111109</v>
      </c>
      <c r="Y40" s="52">
        <v>35.299999999999997</v>
      </c>
      <c r="AA40" s="52" t="s">
        <v>608</v>
      </c>
      <c r="AB40" s="52" t="s">
        <v>2029</v>
      </c>
      <c r="AC40" s="52" t="s">
        <v>41</v>
      </c>
      <c r="AE40" s="52">
        <v>2</v>
      </c>
      <c r="AF40" s="52" t="s">
        <v>41</v>
      </c>
      <c r="AK40" s="52">
        <v>377</v>
      </c>
    </row>
    <row r="41" spans="1:37" x14ac:dyDescent="0.2">
      <c r="A41" s="52" t="s">
        <v>1996</v>
      </c>
      <c r="B41" s="52" t="s">
        <v>3115</v>
      </c>
      <c r="C41" s="52">
        <v>29</v>
      </c>
      <c r="D41" s="52" t="s">
        <v>1801</v>
      </c>
      <c r="E41" s="52" t="s">
        <v>2486</v>
      </c>
      <c r="F41" s="52" t="s">
        <v>443</v>
      </c>
      <c r="G41" s="52" t="s">
        <v>34</v>
      </c>
      <c r="H41" s="52" t="s">
        <v>3135</v>
      </c>
      <c r="I41" s="52" t="s">
        <v>897</v>
      </c>
      <c r="K41" s="52" t="s">
        <v>884</v>
      </c>
      <c r="L41" s="52" t="s">
        <v>922</v>
      </c>
      <c r="M41" s="52" t="s">
        <v>886</v>
      </c>
      <c r="N41" s="52" t="s">
        <v>461</v>
      </c>
      <c r="O41" s="52" t="s">
        <v>557</v>
      </c>
      <c r="Q41" s="52">
        <v>941000031683587</v>
      </c>
      <c r="R41" s="52" t="s">
        <v>443</v>
      </c>
      <c r="S41" s="52" t="s">
        <v>885</v>
      </c>
      <c r="T41" s="53">
        <v>45911</v>
      </c>
      <c r="V41" s="53">
        <v>45962.361111111109</v>
      </c>
      <c r="W41" s="52" t="s">
        <v>892</v>
      </c>
      <c r="X41" s="53">
        <v>45957.361111111109</v>
      </c>
      <c r="Y41" s="52">
        <v>35.299999999999997</v>
      </c>
      <c r="AA41" s="52" t="s">
        <v>608</v>
      </c>
      <c r="AB41" s="52" t="s">
        <v>2969</v>
      </c>
      <c r="AC41" s="52" t="s">
        <v>41</v>
      </c>
      <c r="AE41" s="52">
        <v>2</v>
      </c>
      <c r="AF41" s="52" t="s">
        <v>41</v>
      </c>
      <c r="AK41" s="52">
        <v>377</v>
      </c>
    </row>
    <row r="42" spans="1:37" x14ac:dyDescent="0.2">
      <c r="A42" s="52" t="s">
        <v>1996</v>
      </c>
      <c r="B42" s="52" t="s">
        <v>3115</v>
      </c>
      <c r="C42" s="52">
        <v>29</v>
      </c>
      <c r="D42" s="52" t="s">
        <v>660</v>
      </c>
      <c r="E42" s="52" t="s">
        <v>659</v>
      </c>
      <c r="F42" s="52" t="s">
        <v>443</v>
      </c>
      <c r="G42" s="52" t="s">
        <v>34</v>
      </c>
      <c r="H42" s="52" t="s">
        <v>3136</v>
      </c>
      <c r="I42" s="52" t="s">
        <v>1999</v>
      </c>
      <c r="K42" s="52" t="s">
        <v>884</v>
      </c>
      <c r="L42" s="52" t="s">
        <v>922</v>
      </c>
      <c r="M42" s="52" t="s">
        <v>890</v>
      </c>
      <c r="N42" s="52" t="s">
        <v>461</v>
      </c>
      <c r="O42" s="52" t="s">
        <v>557</v>
      </c>
      <c r="Q42" s="52">
        <v>941000031683598</v>
      </c>
      <c r="R42" s="52" t="s">
        <v>443</v>
      </c>
      <c r="S42" s="52" t="s">
        <v>885</v>
      </c>
      <c r="T42" s="53">
        <v>45130</v>
      </c>
      <c r="V42" s="53">
        <v>45850.496527777781</v>
      </c>
      <c r="W42" s="52" t="s">
        <v>892</v>
      </c>
      <c r="X42" s="53">
        <v>45845.496527777781</v>
      </c>
      <c r="Y42" s="52">
        <v>147.19999999999999</v>
      </c>
      <c r="AA42" s="52" t="s">
        <v>3137</v>
      </c>
      <c r="AB42" s="52" t="s">
        <v>2118</v>
      </c>
      <c r="AC42" s="52" t="s">
        <v>41</v>
      </c>
      <c r="AE42" s="52">
        <v>1</v>
      </c>
      <c r="AF42" s="52" t="s">
        <v>41</v>
      </c>
      <c r="AK42" s="52">
        <v>377</v>
      </c>
    </row>
    <row r="43" spans="1:37" x14ac:dyDescent="0.2">
      <c r="A43" s="52" t="s">
        <v>1996</v>
      </c>
      <c r="B43" s="52" t="s">
        <v>3115</v>
      </c>
      <c r="C43" s="52">
        <v>29</v>
      </c>
      <c r="D43" s="52" t="s">
        <v>839</v>
      </c>
      <c r="E43" s="52" t="s">
        <v>1170</v>
      </c>
      <c r="F43" s="52" t="s">
        <v>443</v>
      </c>
      <c r="G43" s="52" t="s">
        <v>34</v>
      </c>
      <c r="H43" s="52" t="s">
        <v>3138</v>
      </c>
      <c r="I43" s="52" t="s">
        <v>903</v>
      </c>
      <c r="J43" s="52" t="s">
        <v>884</v>
      </c>
      <c r="K43" s="52" t="s">
        <v>892</v>
      </c>
      <c r="L43" s="52" t="s">
        <v>887</v>
      </c>
      <c r="M43" s="52" t="s">
        <v>890</v>
      </c>
      <c r="N43" s="52" t="s">
        <v>461</v>
      </c>
      <c r="O43" s="52" t="s">
        <v>557</v>
      </c>
      <c r="R43" s="52" t="s">
        <v>443</v>
      </c>
      <c r="S43" s="52" t="s">
        <v>885</v>
      </c>
      <c r="T43" s="53">
        <v>45648</v>
      </c>
      <c r="V43" s="53">
        <v>45927.696527777778</v>
      </c>
      <c r="W43" s="52" t="s">
        <v>892</v>
      </c>
      <c r="X43" s="53">
        <v>45922.696527777778</v>
      </c>
      <c r="Y43" s="52">
        <v>70</v>
      </c>
      <c r="AA43" s="52" t="s">
        <v>3139</v>
      </c>
      <c r="AB43" s="52" t="s">
        <v>2058</v>
      </c>
      <c r="AC43" s="52" t="s">
        <v>41</v>
      </c>
      <c r="AE43" s="52">
        <v>1</v>
      </c>
      <c r="AF43" s="52" t="s">
        <v>41</v>
      </c>
      <c r="AK43" s="52">
        <v>377</v>
      </c>
    </row>
    <row r="44" spans="1:37" x14ac:dyDescent="0.2">
      <c r="A44" s="52" t="s">
        <v>1996</v>
      </c>
      <c r="B44" s="52" t="s">
        <v>3115</v>
      </c>
      <c r="C44" s="52">
        <v>29</v>
      </c>
      <c r="D44" s="52" t="s">
        <v>1167</v>
      </c>
      <c r="E44" s="52" t="s">
        <v>1168</v>
      </c>
      <c r="F44" s="52" t="s">
        <v>443</v>
      </c>
      <c r="G44" s="52" t="s">
        <v>34</v>
      </c>
      <c r="H44" s="52" t="s">
        <v>3138</v>
      </c>
      <c r="I44" s="52" t="s">
        <v>903</v>
      </c>
      <c r="J44" s="52" t="s">
        <v>884</v>
      </c>
      <c r="K44" s="52" t="s">
        <v>892</v>
      </c>
      <c r="L44" s="52" t="s">
        <v>887</v>
      </c>
      <c r="M44" s="52" t="s">
        <v>890</v>
      </c>
      <c r="N44" s="52" t="s">
        <v>461</v>
      </c>
      <c r="O44" s="52" t="s">
        <v>557</v>
      </c>
      <c r="R44" s="52" t="s">
        <v>443</v>
      </c>
      <c r="S44" s="52" t="s">
        <v>885</v>
      </c>
      <c r="T44" s="53">
        <v>45648</v>
      </c>
      <c r="V44" s="53">
        <v>45927.696527777778</v>
      </c>
      <c r="W44" s="52" t="s">
        <v>892</v>
      </c>
      <c r="X44" s="53">
        <v>45922.696527777778</v>
      </c>
      <c r="Y44" s="52">
        <v>70</v>
      </c>
      <c r="AA44" s="52" t="s">
        <v>3139</v>
      </c>
      <c r="AB44" s="52" t="s">
        <v>2063</v>
      </c>
      <c r="AC44" s="52" t="s">
        <v>41</v>
      </c>
      <c r="AE44" s="52">
        <v>1</v>
      </c>
      <c r="AF44" s="52" t="s">
        <v>41</v>
      </c>
      <c r="AK44" s="52">
        <v>377</v>
      </c>
    </row>
    <row r="45" spans="1:37" x14ac:dyDescent="0.2">
      <c r="A45" s="52" t="s">
        <v>1996</v>
      </c>
      <c r="B45" s="52" t="s">
        <v>3115</v>
      </c>
      <c r="C45" s="52">
        <v>29</v>
      </c>
      <c r="D45" s="52" t="s">
        <v>613</v>
      </c>
      <c r="E45" s="52" t="s">
        <v>612</v>
      </c>
      <c r="F45" s="52" t="s">
        <v>443</v>
      </c>
      <c r="G45" s="52" t="s">
        <v>34</v>
      </c>
      <c r="H45" s="52" t="s">
        <v>3140</v>
      </c>
      <c r="I45" s="52" t="s">
        <v>2019</v>
      </c>
      <c r="J45" s="52" t="s">
        <v>884</v>
      </c>
      <c r="K45" s="52" t="s">
        <v>884</v>
      </c>
      <c r="L45" s="52" t="s">
        <v>2020</v>
      </c>
      <c r="M45" s="52" t="s">
        <v>886</v>
      </c>
      <c r="N45" s="52" t="s">
        <v>461</v>
      </c>
      <c r="O45" s="52" t="s">
        <v>557</v>
      </c>
      <c r="Q45" s="52">
        <v>941000028840619</v>
      </c>
      <c r="R45" s="52" t="s">
        <v>443</v>
      </c>
      <c r="S45" s="52" t="s">
        <v>885</v>
      </c>
      <c r="T45" s="53">
        <v>44718</v>
      </c>
      <c r="W45" s="52" t="s">
        <v>892</v>
      </c>
      <c r="X45" s="53">
        <v>45807.337500000001</v>
      </c>
      <c r="Y45" s="52">
        <v>185.3</v>
      </c>
      <c r="AA45" s="52" t="s">
        <v>2484</v>
      </c>
      <c r="AB45" s="52" t="s">
        <v>2021</v>
      </c>
      <c r="AC45" s="52" t="s">
        <v>41</v>
      </c>
      <c r="AE45" s="52">
        <v>3</v>
      </c>
      <c r="AF45" s="52" t="s">
        <v>41</v>
      </c>
      <c r="AK45" s="52">
        <v>377</v>
      </c>
    </row>
    <row r="46" spans="1:37" x14ac:dyDescent="0.2">
      <c r="A46" s="52" t="s">
        <v>1996</v>
      </c>
      <c r="B46" s="52" t="s">
        <v>3115</v>
      </c>
      <c r="C46" s="52">
        <v>29</v>
      </c>
      <c r="D46" s="52" t="s">
        <v>1799</v>
      </c>
      <c r="E46" s="52" t="s">
        <v>2482</v>
      </c>
      <c r="F46" s="52" t="s">
        <v>443</v>
      </c>
      <c r="G46" s="52" t="s">
        <v>34</v>
      </c>
      <c r="H46" s="52" t="s">
        <v>3065</v>
      </c>
      <c r="I46" s="52" t="s">
        <v>2970</v>
      </c>
      <c r="K46" s="52" t="s">
        <v>884</v>
      </c>
      <c r="L46" s="52" t="s">
        <v>922</v>
      </c>
      <c r="M46" s="52" t="s">
        <v>886</v>
      </c>
      <c r="N46" s="52" t="s">
        <v>494</v>
      </c>
      <c r="O46" s="52" t="s">
        <v>557</v>
      </c>
      <c r="R46" s="52" t="s">
        <v>443</v>
      </c>
      <c r="S46" s="52" t="s">
        <v>885</v>
      </c>
      <c r="T46" s="53">
        <v>45236</v>
      </c>
      <c r="V46" s="53">
        <v>45962.361111111109</v>
      </c>
      <c r="W46" s="52" t="s">
        <v>884</v>
      </c>
      <c r="X46" s="53">
        <v>45957.361111111109</v>
      </c>
      <c r="Y46" s="52">
        <v>35.299999999999997</v>
      </c>
      <c r="AA46" s="52" t="s">
        <v>2626</v>
      </c>
      <c r="AB46" s="52" t="s">
        <v>2971</v>
      </c>
      <c r="AC46" s="52" t="s">
        <v>41</v>
      </c>
      <c r="AE46" s="52">
        <v>2</v>
      </c>
      <c r="AF46" s="52" t="s">
        <v>41</v>
      </c>
      <c r="AK46" s="52">
        <v>377</v>
      </c>
    </row>
    <row r="47" spans="1:37" x14ac:dyDescent="0.2">
      <c r="A47" s="52" t="s">
        <v>1996</v>
      </c>
      <c r="B47" s="52" t="s">
        <v>3115</v>
      </c>
      <c r="C47" s="52">
        <v>29</v>
      </c>
      <c r="D47" s="52" t="s">
        <v>800</v>
      </c>
      <c r="E47" s="52" t="s">
        <v>2704</v>
      </c>
      <c r="F47" s="52" t="s">
        <v>443</v>
      </c>
      <c r="G47" s="52" t="s">
        <v>34</v>
      </c>
      <c r="H47" s="52" t="s">
        <v>3141</v>
      </c>
      <c r="I47" s="52" t="s">
        <v>1999</v>
      </c>
      <c r="J47" s="52" t="s">
        <v>884</v>
      </c>
      <c r="K47" s="52" t="s">
        <v>884</v>
      </c>
      <c r="L47" s="52" t="s">
        <v>922</v>
      </c>
      <c r="M47" s="52" t="s">
        <v>886</v>
      </c>
      <c r="N47" s="52" t="s">
        <v>490</v>
      </c>
      <c r="O47" s="52" t="s">
        <v>557</v>
      </c>
      <c r="Q47" s="52">
        <v>941000031684122</v>
      </c>
      <c r="R47" s="52" t="s">
        <v>443</v>
      </c>
      <c r="S47" s="52" t="s">
        <v>885</v>
      </c>
      <c r="T47" s="53">
        <v>45830</v>
      </c>
      <c r="V47" s="53">
        <v>45919.564583333333</v>
      </c>
      <c r="W47" s="52" t="s">
        <v>892</v>
      </c>
      <c r="X47" s="53">
        <v>45914.564583333333</v>
      </c>
      <c r="Y47" s="52">
        <v>78.099999999999994</v>
      </c>
      <c r="AA47" s="52" t="s">
        <v>3142</v>
      </c>
      <c r="AB47" s="52" t="s">
        <v>2111</v>
      </c>
      <c r="AC47" s="52" t="s">
        <v>41</v>
      </c>
      <c r="AE47" s="52">
        <v>1</v>
      </c>
      <c r="AF47" s="52" t="s">
        <v>41</v>
      </c>
      <c r="AK47" s="52">
        <v>377</v>
      </c>
    </row>
    <row r="48" spans="1:37" x14ac:dyDescent="0.2">
      <c r="A48" s="52" t="s">
        <v>1996</v>
      </c>
      <c r="B48" s="52" t="s">
        <v>3115</v>
      </c>
      <c r="C48" s="52">
        <v>29</v>
      </c>
      <c r="D48" s="52" t="s">
        <v>801</v>
      </c>
      <c r="E48" s="52" t="s">
        <v>2700</v>
      </c>
      <c r="F48" s="52" t="s">
        <v>443</v>
      </c>
      <c r="G48" s="52" t="s">
        <v>34</v>
      </c>
      <c r="H48" s="52" t="s">
        <v>3141</v>
      </c>
      <c r="I48" s="52" t="s">
        <v>2103</v>
      </c>
      <c r="J48" s="52" t="s">
        <v>884</v>
      </c>
      <c r="K48" s="52" t="s">
        <v>884</v>
      </c>
      <c r="L48" s="52" t="s">
        <v>922</v>
      </c>
      <c r="M48" s="52" t="s">
        <v>886</v>
      </c>
      <c r="N48" s="52" t="s">
        <v>490</v>
      </c>
      <c r="O48" s="52" t="s">
        <v>557</v>
      </c>
      <c r="Q48" s="52">
        <v>941000013747357</v>
      </c>
      <c r="R48" s="52" t="s">
        <v>443</v>
      </c>
      <c r="S48" s="52" t="s">
        <v>885</v>
      </c>
      <c r="T48" s="53">
        <v>45830</v>
      </c>
      <c r="U48" s="52" t="s">
        <v>2013</v>
      </c>
      <c r="V48" s="53">
        <v>45919.564583333333</v>
      </c>
      <c r="W48" s="52" t="s">
        <v>892</v>
      </c>
      <c r="X48" s="53">
        <v>45914.564583333333</v>
      </c>
      <c r="Y48" s="52">
        <v>78.099999999999994</v>
      </c>
      <c r="AA48" s="52" t="s">
        <v>3142</v>
      </c>
      <c r="AB48" s="52" t="s">
        <v>2024</v>
      </c>
      <c r="AC48" s="52" t="s">
        <v>41</v>
      </c>
      <c r="AE48" s="52">
        <v>0</v>
      </c>
      <c r="AF48" s="52" t="s">
        <v>41</v>
      </c>
      <c r="AK48" s="52">
        <v>377</v>
      </c>
    </row>
    <row r="49" spans="1:37" x14ac:dyDescent="0.2">
      <c r="A49" s="52" t="s">
        <v>1996</v>
      </c>
      <c r="B49" s="52" t="s">
        <v>3115</v>
      </c>
      <c r="C49" s="52">
        <v>29</v>
      </c>
      <c r="D49" s="52" t="s">
        <v>556</v>
      </c>
      <c r="E49" s="52" t="s">
        <v>1198</v>
      </c>
      <c r="F49" s="52" t="s">
        <v>443</v>
      </c>
      <c r="G49" s="52" t="s">
        <v>34</v>
      </c>
      <c r="H49" s="52" t="s">
        <v>3143</v>
      </c>
      <c r="I49" s="52" t="s">
        <v>903</v>
      </c>
      <c r="J49" s="52" t="s">
        <v>884</v>
      </c>
      <c r="K49" s="52" t="s">
        <v>884</v>
      </c>
      <c r="L49" s="52" t="s">
        <v>887</v>
      </c>
      <c r="M49" s="52" t="s">
        <v>890</v>
      </c>
      <c r="N49" s="52" t="s">
        <v>461</v>
      </c>
      <c r="O49" s="52" t="s">
        <v>557</v>
      </c>
      <c r="Q49" s="52">
        <v>941000031684276</v>
      </c>
      <c r="R49" s="52" t="s">
        <v>443</v>
      </c>
      <c r="S49" s="52" t="s">
        <v>885</v>
      </c>
      <c r="T49" s="53">
        <v>45751</v>
      </c>
      <c r="U49" s="52" t="s">
        <v>950</v>
      </c>
      <c r="V49" s="53">
        <v>45784.438194444447</v>
      </c>
      <c r="W49" s="52" t="s">
        <v>892</v>
      </c>
      <c r="X49" s="53">
        <v>45779.438194444447</v>
      </c>
      <c r="Y49" s="52">
        <v>213.3</v>
      </c>
      <c r="AA49" s="52" t="s">
        <v>2865</v>
      </c>
      <c r="AB49" s="52" t="s">
        <v>2003</v>
      </c>
      <c r="AC49" s="52" t="s">
        <v>41</v>
      </c>
      <c r="AE49" s="52">
        <v>1</v>
      </c>
      <c r="AF49" s="52" t="s">
        <v>41</v>
      </c>
      <c r="AK49" s="52">
        <v>377</v>
      </c>
    </row>
    <row r="50" spans="1:37" x14ac:dyDescent="0.2">
      <c r="A50" s="52" t="s">
        <v>1996</v>
      </c>
      <c r="B50" s="52" t="s">
        <v>3115</v>
      </c>
      <c r="C50" s="52">
        <v>29</v>
      </c>
      <c r="D50" s="52" t="s">
        <v>582</v>
      </c>
      <c r="E50" s="52" t="s">
        <v>1197</v>
      </c>
      <c r="F50" s="52" t="s">
        <v>443</v>
      </c>
      <c r="G50" s="52" t="s">
        <v>34</v>
      </c>
      <c r="H50" s="52" t="s">
        <v>3002</v>
      </c>
      <c r="I50" s="52" t="s">
        <v>964</v>
      </c>
      <c r="J50" s="52" t="s">
        <v>884</v>
      </c>
      <c r="K50" s="52" t="s">
        <v>884</v>
      </c>
      <c r="L50" s="52" t="s">
        <v>922</v>
      </c>
      <c r="M50" s="52" t="s">
        <v>890</v>
      </c>
      <c r="N50" s="52" t="s">
        <v>461</v>
      </c>
      <c r="O50" s="52" t="s">
        <v>557</v>
      </c>
      <c r="Q50" s="52">
        <v>941000031684057</v>
      </c>
      <c r="R50" s="52" t="s">
        <v>443</v>
      </c>
      <c r="S50" s="52" t="s">
        <v>885</v>
      </c>
      <c r="T50" s="53">
        <v>45758</v>
      </c>
      <c r="U50" s="52" t="s">
        <v>2004</v>
      </c>
      <c r="V50" s="53">
        <v>45793.585416666669</v>
      </c>
      <c r="W50" s="52" t="s">
        <v>892</v>
      </c>
      <c r="X50" s="53">
        <v>45788.585416666669</v>
      </c>
      <c r="Y50" s="52">
        <v>204.1</v>
      </c>
      <c r="AA50" s="52" t="s">
        <v>2865</v>
      </c>
      <c r="AB50" s="52" t="s">
        <v>2005</v>
      </c>
      <c r="AC50" s="52" t="s">
        <v>41</v>
      </c>
      <c r="AE50" s="52">
        <v>1</v>
      </c>
      <c r="AF50" s="52" t="s">
        <v>41</v>
      </c>
      <c r="AK50" s="52">
        <v>377</v>
      </c>
    </row>
    <row r="51" spans="1:37" x14ac:dyDescent="0.2">
      <c r="A51" s="52" t="s">
        <v>1996</v>
      </c>
      <c r="B51" s="52" t="s">
        <v>3115</v>
      </c>
      <c r="C51" s="52">
        <v>29</v>
      </c>
      <c r="D51" s="52" t="s">
        <v>816</v>
      </c>
      <c r="E51" s="52" t="s">
        <v>1910</v>
      </c>
      <c r="F51" s="52" t="s">
        <v>443</v>
      </c>
      <c r="G51" s="52" t="s">
        <v>34</v>
      </c>
      <c r="H51" s="52" t="s">
        <v>3144</v>
      </c>
      <c r="I51" s="52" t="s">
        <v>897</v>
      </c>
      <c r="K51" s="52" t="s">
        <v>884</v>
      </c>
      <c r="L51" s="52" t="s">
        <v>887</v>
      </c>
      <c r="M51" s="52" t="s">
        <v>890</v>
      </c>
      <c r="N51" s="52" t="s">
        <v>461</v>
      </c>
      <c r="O51" s="52" t="s">
        <v>557</v>
      </c>
      <c r="Q51" s="52">
        <v>941000031684168</v>
      </c>
      <c r="R51" s="52" t="s">
        <v>443</v>
      </c>
      <c r="S51" s="52" t="s">
        <v>885</v>
      </c>
      <c r="T51" s="53">
        <v>45881</v>
      </c>
      <c r="V51" s="53">
        <v>45921.339583333334</v>
      </c>
      <c r="W51" s="52" t="s">
        <v>892</v>
      </c>
      <c r="X51" s="53">
        <v>45916.339583333334</v>
      </c>
      <c r="Y51" s="52">
        <v>76.3</v>
      </c>
      <c r="AA51" s="52" t="s">
        <v>561</v>
      </c>
      <c r="AB51" s="52" t="s">
        <v>2014</v>
      </c>
      <c r="AC51" s="52" t="s">
        <v>41</v>
      </c>
      <c r="AE51" s="52">
        <v>2</v>
      </c>
      <c r="AF51" s="52" t="s">
        <v>41</v>
      </c>
      <c r="AK51" s="52">
        <v>377</v>
      </c>
    </row>
    <row r="52" spans="1:37" x14ac:dyDescent="0.2">
      <c r="A52" s="52" t="s">
        <v>1996</v>
      </c>
      <c r="B52" s="52" t="s">
        <v>3115</v>
      </c>
      <c r="C52" s="52">
        <v>29</v>
      </c>
      <c r="D52" s="52" t="s">
        <v>817</v>
      </c>
      <c r="E52" s="52" t="s">
        <v>1909</v>
      </c>
      <c r="F52" s="52" t="s">
        <v>443</v>
      </c>
      <c r="G52" s="52" t="s">
        <v>34</v>
      </c>
      <c r="H52" s="52" t="s">
        <v>3144</v>
      </c>
      <c r="I52" s="52" t="s">
        <v>2015</v>
      </c>
      <c r="K52" s="52" t="s">
        <v>884</v>
      </c>
      <c r="L52" s="52" t="s">
        <v>887</v>
      </c>
      <c r="M52" s="52" t="s">
        <v>886</v>
      </c>
      <c r="N52" s="52" t="s">
        <v>461</v>
      </c>
      <c r="O52" s="52" t="s">
        <v>557</v>
      </c>
      <c r="Q52" s="52">
        <v>941000031684352</v>
      </c>
      <c r="R52" s="52" t="s">
        <v>443</v>
      </c>
      <c r="S52" s="52" t="s">
        <v>885</v>
      </c>
      <c r="T52" s="53">
        <v>45881</v>
      </c>
      <c r="U52" s="52" t="s">
        <v>2004</v>
      </c>
      <c r="V52" s="53">
        <v>45921.339583333334</v>
      </c>
      <c r="W52" s="52" t="s">
        <v>892</v>
      </c>
      <c r="X52" s="53">
        <v>45916.339583333334</v>
      </c>
      <c r="Y52" s="52">
        <v>76.3</v>
      </c>
      <c r="AA52" s="52" t="s">
        <v>561</v>
      </c>
      <c r="AB52" s="52" t="s">
        <v>2016</v>
      </c>
      <c r="AC52" s="52" t="s">
        <v>41</v>
      </c>
      <c r="AE52" s="52">
        <v>2</v>
      </c>
      <c r="AF52" s="52" t="s">
        <v>41</v>
      </c>
      <c r="AK52" s="52">
        <v>377</v>
      </c>
    </row>
    <row r="53" spans="1:37" x14ac:dyDescent="0.2">
      <c r="A53" s="52" t="s">
        <v>1996</v>
      </c>
      <c r="B53" s="52" t="s">
        <v>3115</v>
      </c>
      <c r="C53" s="52">
        <v>29</v>
      </c>
      <c r="D53" s="52" t="s">
        <v>220</v>
      </c>
      <c r="E53" s="52" t="s">
        <v>221</v>
      </c>
      <c r="F53" s="52" t="s">
        <v>443</v>
      </c>
      <c r="G53" s="52" t="s">
        <v>34</v>
      </c>
      <c r="H53" s="52" t="s">
        <v>3145</v>
      </c>
      <c r="I53" s="52" t="s">
        <v>897</v>
      </c>
      <c r="J53" s="52" t="s">
        <v>884</v>
      </c>
      <c r="K53" s="52" t="s">
        <v>884</v>
      </c>
      <c r="L53" s="52" t="s">
        <v>922</v>
      </c>
      <c r="M53" s="52" t="s">
        <v>890</v>
      </c>
      <c r="N53" s="52" t="s">
        <v>461</v>
      </c>
      <c r="O53" s="52" t="s">
        <v>557</v>
      </c>
      <c r="Q53" s="52">
        <v>941000031683613</v>
      </c>
      <c r="R53" s="52" t="s">
        <v>443</v>
      </c>
      <c r="S53" s="52" t="s">
        <v>885</v>
      </c>
      <c r="T53" s="53">
        <v>45761</v>
      </c>
      <c r="U53" s="52" t="s">
        <v>2004</v>
      </c>
      <c r="V53" s="53">
        <v>45787.509027777778</v>
      </c>
      <c r="W53" s="52" t="s">
        <v>892</v>
      </c>
      <c r="X53" s="53">
        <v>45782.509027777778</v>
      </c>
      <c r="Y53" s="52">
        <v>210.2</v>
      </c>
      <c r="AA53" s="52" t="s">
        <v>2879</v>
      </c>
      <c r="AC53" s="52" t="s">
        <v>41</v>
      </c>
      <c r="AE53" s="52">
        <v>2</v>
      </c>
      <c r="AF53" s="52" t="s">
        <v>41</v>
      </c>
      <c r="AK53" s="52">
        <v>377</v>
      </c>
    </row>
    <row r="54" spans="1:37" x14ac:dyDescent="0.2">
      <c r="A54" s="52" t="s">
        <v>2025</v>
      </c>
      <c r="B54" s="52" t="s">
        <v>3146</v>
      </c>
      <c r="C54" s="52">
        <v>18</v>
      </c>
      <c r="D54" s="52" t="s">
        <v>1108</v>
      </c>
      <c r="E54" s="52" t="s">
        <v>1874</v>
      </c>
      <c r="F54" s="52" t="s">
        <v>443</v>
      </c>
      <c r="G54" s="52" t="s">
        <v>34</v>
      </c>
      <c r="H54" s="52" t="s">
        <v>2032</v>
      </c>
      <c r="I54" s="52" t="s">
        <v>2027</v>
      </c>
      <c r="K54" s="52" t="s">
        <v>884</v>
      </c>
      <c r="L54" s="52" t="s">
        <v>922</v>
      </c>
      <c r="M54" s="52" t="s">
        <v>886</v>
      </c>
      <c r="N54" s="52" t="s">
        <v>494</v>
      </c>
      <c r="O54" s="52" t="s">
        <v>600</v>
      </c>
      <c r="R54" s="52" t="s">
        <v>443</v>
      </c>
      <c r="S54" s="52" t="s">
        <v>885</v>
      </c>
      <c r="T54" s="53">
        <v>45896</v>
      </c>
      <c r="U54" s="52" t="s">
        <v>2028</v>
      </c>
      <c r="V54" s="53">
        <v>45952.51666666667</v>
      </c>
      <c r="W54" s="52" t="s">
        <v>884</v>
      </c>
      <c r="X54" s="53">
        <v>45947.51666666667</v>
      </c>
      <c r="Y54" s="52">
        <v>45.2</v>
      </c>
      <c r="AA54" s="52">
        <v>1</v>
      </c>
      <c r="AB54" s="52" t="s">
        <v>2029</v>
      </c>
      <c r="AC54" s="52" t="s">
        <v>41</v>
      </c>
      <c r="AE54" s="52">
        <v>1</v>
      </c>
      <c r="AF54" s="52" t="s">
        <v>41</v>
      </c>
      <c r="AK54" s="52">
        <v>377</v>
      </c>
    </row>
    <row r="55" spans="1:37" x14ac:dyDescent="0.2">
      <c r="A55" s="52" t="s">
        <v>2025</v>
      </c>
      <c r="B55" s="52" t="s">
        <v>3146</v>
      </c>
      <c r="C55" s="52">
        <v>18</v>
      </c>
      <c r="D55" s="52" t="s">
        <v>1110</v>
      </c>
      <c r="E55" s="52" t="s">
        <v>1876</v>
      </c>
      <c r="F55" s="52" t="s">
        <v>443</v>
      </c>
      <c r="G55" s="52" t="s">
        <v>34</v>
      </c>
      <c r="H55" s="52" t="s">
        <v>3147</v>
      </c>
      <c r="I55" s="52" t="s">
        <v>2030</v>
      </c>
      <c r="J55" s="52" t="s">
        <v>884</v>
      </c>
      <c r="K55" s="52" t="s">
        <v>884</v>
      </c>
      <c r="L55" s="52" t="s">
        <v>887</v>
      </c>
      <c r="M55" s="52" t="s">
        <v>890</v>
      </c>
      <c r="N55" s="52" t="s">
        <v>461</v>
      </c>
      <c r="O55" s="52" t="s">
        <v>600</v>
      </c>
      <c r="Q55" s="52">
        <v>941000031684342</v>
      </c>
      <c r="R55" s="52" t="s">
        <v>443</v>
      </c>
      <c r="S55" s="52" t="s">
        <v>885</v>
      </c>
      <c r="T55" s="53">
        <v>45582</v>
      </c>
      <c r="U55" s="52" t="s">
        <v>950</v>
      </c>
      <c r="V55" s="53">
        <v>45952.341666666667</v>
      </c>
      <c r="W55" s="52" t="s">
        <v>892</v>
      </c>
      <c r="X55" s="53">
        <v>45947.341666666667</v>
      </c>
      <c r="Y55" s="52">
        <v>45.3</v>
      </c>
      <c r="AA55" s="52">
        <v>10</v>
      </c>
      <c r="AB55" s="52" t="s">
        <v>2031</v>
      </c>
      <c r="AC55" s="52" t="s">
        <v>41</v>
      </c>
      <c r="AE55" s="52">
        <v>1</v>
      </c>
      <c r="AF55" s="52" t="s">
        <v>41</v>
      </c>
      <c r="AK55" s="52">
        <v>377</v>
      </c>
    </row>
    <row r="56" spans="1:37" x14ac:dyDescent="0.2">
      <c r="A56" s="52" t="s">
        <v>2025</v>
      </c>
      <c r="B56" s="52" t="s">
        <v>3146</v>
      </c>
      <c r="C56" s="52">
        <v>18</v>
      </c>
      <c r="D56" s="52" t="s">
        <v>1798</v>
      </c>
      <c r="E56" s="52" t="s">
        <v>2480</v>
      </c>
      <c r="F56" s="52" t="s">
        <v>443</v>
      </c>
      <c r="G56" s="52" t="s">
        <v>34</v>
      </c>
      <c r="H56" s="52" t="s">
        <v>2011</v>
      </c>
      <c r="I56" s="52" t="s">
        <v>897</v>
      </c>
      <c r="J56" s="52" t="s">
        <v>884</v>
      </c>
      <c r="K56" s="52" t="s">
        <v>884</v>
      </c>
      <c r="L56" s="52" t="s">
        <v>887</v>
      </c>
      <c r="M56" s="52" t="s">
        <v>890</v>
      </c>
      <c r="N56" s="52" t="s">
        <v>731</v>
      </c>
      <c r="O56" s="52" t="s">
        <v>600</v>
      </c>
      <c r="R56" s="52" t="s">
        <v>443</v>
      </c>
      <c r="S56" s="52" t="s">
        <v>885</v>
      </c>
      <c r="T56" s="53">
        <v>45909</v>
      </c>
      <c r="V56" s="53">
        <v>45965.362500000003</v>
      </c>
      <c r="W56" s="52" t="s">
        <v>884</v>
      </c>
      <c r="X56" s="53">
        <v>45960.404166666667</v>
      </c>
      <c r="Y56" s="52">
        <v>32.299999999999997</v>
      </c>
      <c r="AA56" s="52">
        <v>11</v>
      </c>
      <c r="AB56" s="52" t="s">
        <v>2008</v>
      </c>
      <c r="AC56" s="52" t="s">
        <v>41</v>
      </c>
      <c r="AE56" s="52">
        <v>2</v>
      </c>
      <c r="AF56" s="52" t="s">
        <v>41</v>
      </c>
      <c r="AK56" s="52">
        <v>377</v>
      </c>
    </row>
    <row r="57" spans="1:37" x14ac:dyDescent="0.2">
      <c r="A57" s="52" t="s">
        <v>2025</v>
      </c>
      <c r="B57" s="52" t="s">
        <v>3146</v>
      </c>
      <c r="C57" s="52">
        <v>18</v>
      </c>
      <c r="D57" s="52" t="s">
        <v>1797</v>
      </c>
      <c r="E57" s="52" t="s">
        <v>2478</v>
      </c>
      <c r="F57" s="52" t="s">
        <v>443</v>
      </c>
      <c r="G57" s="52" t="s">
        <v>34</v>
      </c>
      <c r="H57" s="52" t="s">
        <v>2011</v>
      </c>
      <c r="I57" s="52" t="s">
        <v>903</v>
      </c>
      <c r="J57" s="52" t="s">
        <v>884</v>
      </c>
      <c r="K57" s="52" t="s">
        <v>884</v>
      </c>
      <c r="L57" s="52" t="s">
        <v>887</v>
      </c>
      <c r="M57" s="52" t="s">
        <v>890</v>
      </c>
      <c r="N57" s="52" t="s">
        <v>731</v>
      </c>
      <c r="O57" s="52" t="s">
        <v>600</v>
      </c>
      <c r="R57" s="52" t="s">
        <v>443</v>
      </c>
      <c r="S57" s="52" t="s">
        <v>885</v>
      </c>
      <c r="T57" s="53">
        <v>45909</v>
      </c>
      <c r="V57" s="53">
        <v>45965.362500000003</v>
      </c>
      <c r="W57" s="52" t="s">
        <v>884</v>
      </c>
      <c r="X57" s="53">
        <v>45960.404166666667</v>
      </c>
      <c r="Y57" s="52">
        <v>32.299999999999997</v>
      </c>
      <c r="AA57" s="52">
        <v>11</v>
      </c>
      <c r="AB57" s="52" t="s">
        <v>2094</v>
      </c>
      <c r="AC57" s="52" t="s">
        <v>41</v>
      </c>
      <c r="AE57" s="52">
        <v>2</v>
      </c>
      <c r="AF57" s="52" t="s">
        <v>41</v>
      </c>
      <c r="AK57" s="52">
        <v>377</v>
      </c>
    </row>
    <row r="58" spans="1:37" x14ac:dyDescent="0.2">
      <c r="A58" s="52" t="s">
        <v>2025</v>
      </c>
      <c r="B58" s="52" t="s">
        <v>3146</v>
      </c>
      <c r="C58" s="52">
        <v>18</v>
      </c>
      <c r="D58" s="52" t="s">
        <v>1796</v>
      </c>
      <c r="E58" s="52" t="s">
        <v>2476</v>
      </c>
      <c r="F58" s="52" t="s">
        <v>443</v>
      </c>
      <c r="G58" s="52" t="s">
        <v>34</v>
      </c>
      <c r="H58" s="52" t="s">
        <v>2011</v>
      </c>
      <c r="I58" s="52" t="s">
        <v>903</v>
      </c>
      <c r="J58" s="52" t="s">
        <v>884</v>
      </c>
      <c r="K58" s="52" t="s">
        <v>884</v>
      </c>
      <c r="L58" s="52" t="s">
        <v>887</v>
      </c>
      <c r="M58" s="52" t="s">
        <v>890</v>
      </c>
      <c r="N58" s="52" t="s">
        <v>731</v>
      </c>
      <c r="O58" s="52" t="s">
        <v>600</v>
      </c>
      <c r="R58" s="52" t="s">
        <v>443</v>
      </c>
      <c r="S58" s="52" t="s">
        <v>885</v>
      </c>
      <c r="T58" s="53">
        <v>45909</v>
      </c>
      <c r="V58" s="53">
        <v>45965.362500000003</v>
      </c>
      <c r="W58" s="52" t="s">
        <v>884</v>
      </c>
      <c r="X58" s="53">
        <v>45960.404166666667</v>
      </c>
      <c r="Y58" s="52">
        <v>32.299999999999997</v>
      </c>
      <c r="AA58" s="52">
        <v>11</v>
      </c>
      <c r="AB58" s="52" t="s">
        <v>2087</v>
      </c>
      <c r="AC58" s="52" t="s">
        <v>41</v>
      </c>
      <c r="AE58" s="52">
        <v>2</v>
      </c>
      <c r="AF58" s="52" t="s">
        <v>41</v>
      </c>
      <c r="AK58" s="52">
        <v>377</v>
      </c>
    </row>
    <row r="59" spans="1:37" x14ac:dyDescent="0.2">
      <c r="A59" s="52" t="s">
        <v>2025</v>
      </c>
      <c r="B59" s="52" t="s">
        <v>3146</v>
      </c>
      <c r="C59" s="52">
        <v>18</v>
      </c>
      <c r="D59" s="52" t="s">
        <v>1795</v>
      </c>
      <c r="E59" s="52" t="s">
        <v>2474</v>
      </c>
      <c r="F59" s="52" t="s">
        <v>443</v>
      </c>
      <c r="G59" s="52" t="s">
        <v>34</v>
      </c>
      <c r="H59" s="52" t="s">
        <v>2011</v>
      </c>
      <c r="I59" s="52" t="s">
        <v>2030</v>
      </c>
      <c r="J59" s="52" t="s">
        <v>884</v>
      </c>
      <c r="K59" s="52" t="s">
        <v>884</v>
      </c>
      <c r="L59" s="52" t="s">
        <v>887</v>
      </c>
      <c r="M59" s="52" t="s">
        <v>886</v>
      </c>
      <c r="N59" s="52" t="s">
        <v>731</v>
      </c>
      <c r="O59" s="52" t="s">
        <v>600</v>
      </c>
      <c r="R59" s="52" t="s">
        <v>443</v>
      </c>
      <c r="S59" s="52" t="s">
        <v>885</v>
      </c>
      <c r="T59" s="53">
        <v>45909</v>
      </c>
      <c r="V59" s="53">
        <v>45965.362500000003</v>
      </c>
      <c r="W59" s="52" t="s">
        <v>884</v>
      </c>
      <c r="X59" s="53">
        <v>45960.404166666667</v>
      </c>
      <c r="Y59" s="52">
        <v>32.299999999999997</v>
      </c>
      <c r="AA59" s="52">
        <v>11</v>
      </c>
      <c r="AB59" s="52" t="s">
        <v>2978</v>
      </c>
      <c r="AC59" s="52" t="s">
        <v>41</v>
      </c>
      <c r="AE59" s="52">
        <v>2</v>
      </c>
      <c r="AF59" s="52" t="s">
        <v>41</v>
      </c>
      <c r="AK59" s="52">
        <v>377</v>
      </c>
    </row>
    <row r="60" spans="1:37" x14ac:dyDescent="0.2">
      <c r="A60" s="52" t="s">
        <v>2025</v>
      </c>
      <c r="B60" s="52" t="s">
        <v>3146</v>
      </c>
      <c r="C60" s="52">
        <v>18</v>
      </c>
      <c r="D60" s="52" t="s">
        <v>830</v>
      </c>
      <c r="E60" s="52" t="s">
        <v>1904</v>
      </c>
      <c r="F60" s="52" t="s">
        <v>443</v>
      </c>
      <c r="G60" s="52" t="s">
        <v>34</v>
      </c>
      <c r="H60" s="52" t="s">
        <v>3148</v>
      </c>
      <c r="I60" s="52" t="s">
        <v>2030</v>
      </c>
      <c r="K60" s="52" t="s">
        <v>884</v>
      </c>
      <c r="L60" s="52" t="s">
        <v>887</v>
      </c>
      <c r="M60" s="52" t="s">
        <v>886</v>
      </c>
      <c r="N60" s="52" t="s">
        <v>461</v>
      </c>
      <c r="O60" s="52" t="s">
        <v>600</v>
      </c>
      <c r="Q60" s="52">
        <v>941000031683675</v>
      </c>
      <c r="R60" s="52" t="s">
        <v>443</v>
      </c>
      <c r="S60" s="52" t="s">
        <v>885</v>
      </c>
      <c r="T60" s="53">
        <v>45869</v>
      </c>
      <c r="V60" s="53">
        <v>45925.372916666667</v>
      </c>
      <c r="W60" s="52" t="s">
        <v>892</v>
      </c>
      <c r="X60" s="53">
        <v>45920.372916666667</v>
      </c>
      <c r="Y60" s="52">
        <v>72.3</v>
      </c>
      <c r="AA60" s="52">
        <v>12</v>
      </c>
      <c r="AB60" s="52" t="s">
        <v>2029</v>
      </c>
      <c r="AC60" s="52" t="s">
        <v>41</v>
      </c>
      <c r="AE60" s="52">
        <v>2</v>
      </c>
      <c r="AF60" s="52" t="s">
        <v>41</v>
      </c>
      <c r="AK60" s="52">
        <v>377</v>
      </c>
    </row>
    <row r="61" spans="1:37" x14ac:dyDescent="0.2">
      <c r="A61" s="52" t="s">
        <v>2025</v>
      </c>
      <c r="B61" s="52" t="s">
        <v>3146</v>
      </c>
      <c r="C61" s="52">
        <v>18</v>
      </c>
      <c r="D61" s="52" t="s">
        <v>1833</v>
      </c>
      <c r="E61" s="52" t="s">
        <v>1834</v>
      </c>
      <c r="F61" s="52" t="s">
        <v>443</v>
      </c>
      <c r="G61" s="52" t="s">
        <v>34</v>
      </c>
      <c r="H61" s="52" t="s">
        <v>3149</v>
      </c>
      <c r="I61" s="52" t="s">
        <v>894</v>
      </c>
      <c r="K61" s="52" t="s">
        <v>884</v>
      </c>
      <c r="L61" s="52" t="s">
        <v>939</v>
      </c>
      <c r="M61" s="52" t="s">
        <v>886</v>
      </c>
      <c r="N61" s="52" t="s">
        <v>852</v>
      </c>
      <c r="O61" s="52" t="s">
        <v>600</v>
      </c>
      <c r="Q61" s="52">
        <v>982126056167259</v>
      </c>
      <c r="R61" s="52" t="s">
        <v>443</v>
      </c>
      <c r="S61" s="52" t="s">
        <v>885</v>
      </c>
      <c r="T61" s="53">
        <v>44492</v>
      </c>
      <c r="V61" s="53">
        <v>45957.508333333331</v>
      </c>
      <c r="W61" s="52" t="s">
        <v>884</v>
      </c>
      <c r="X61" s="53">
        <v>45952.508333333331</v>
      </c>
      <c r="Y61" s="52">
        <v>40.200000000000003</v>
      </c>
      <c r="AA61" s="52">
        <v>13</v>
      </c>
      <c r="AB61" s="52" t="s">
        <v>2033</v>
      </c>
      <c r="AC61" s="52" t="s">
        <v>41</v>
      </c>
      <c r="AE61" s="52">
        <v>1</v>
      </c>
      <c r="AF61" s="52" t="s">
        <v>41</v>
      </c>
      <c r="AK61" s="52">
        <v>377</v>
      </c>
    </row>
    <row r="62" spans="1:37" x14ac:dyDescent="0.2">
      <c r="A62" s="52" t="s">
        <v>2025</v>
      </c>
      <c r="B62" s="52" t="s">
        <v>3146</v>
      </c>
      <c r="C62" s="52">
        <v>18</v>
      </c>
      <c r="D62" s="52" t="s">
        <v>1863</v>
      </c>
      <c r="E62" s="52" t="s">
        <v>1864</v>
      </c>
      <c r="F62" s="52" t="s">
        <v>443</v>
      </c>
      <c r="G62" s="52" t="s">
        <v>34</v>
      </c>
      <c r="H62" s="52" t="s">
        <v>3150</v>
      </c>
      <c r="I62" s="52" t="s">
        <v>894</v>
      </c>
      <c r="K62" s="52" t="s">
        <v>884</v>
      </c>
      <c r="L62" s="52" t="s">
        <v>922</v>
      </c>
      <c r="M62" s="52" t="s">
        <v>886</v>
      </c>
      <c r="N62" s="52" t="s">
        <v>494</v>
      </c>
      <c r="O62" s="52" t="s">
        <v>600</v>
      </c>
      <c r="R62" s="52" t="s">
        <v>443</v>
      </c>
      <c r="S62" s="52" t="s">
        <v>885</v>
      </c>
      <c r="T62" s="53">
        <v>45710</v>
      </c>
      <c r="U62" s="52" t="s">
        <v>2004</v>
      </c>
      <c r="V62" s="53">
        <v>45955.637499999997</v>
      </c>
      <c r="W62" s="52" t="s">
        <v>884</v>
      </c>
      <c r="X62" s="53">
        <v>45950.637499999997</v>
      </c>
      <c r="Y62" s="52">
        <v>42</v>
      </c>
      <c r="AA62" s="52">
        <v>14</v>
      </c>
      <c r="AB62" s="52" t="s">
        <v>2034</v>
      </c>
      <c r="AC62" s="52" t="s">
        <v>41</v>
      </c>
      <c r="AE62" s="52">
        <v>1</v>
      </c>
      <c r="AF62" s="52" t="s">
        <v>41</v>
      </c>
      <c r="AK62" s="52">
        <v>377</v>
      </c>
    </row>
    <row r="63" spans="1:37" x14ac:dyDescent="0.2">
      <c r="A63" s="52" t="s">
        <v>2025</v>
      </c>
      <c r="B63" s="52" t="s">
        <v>3146</v>
      </c>
      <c r="C63" s="52">
        <v>18</v>
      </c>
      <c r="D63" s="52" t="s">
        <v>2240</v>
      </c>
      <c r="E63" s="52" t="s">
        <v>3151</v>
      </c>
      <c r="F63" s="52" t="s">
        <v>443</v>
      </c>
      <c r="G63" s="52" t="s">
        <v>34</v>
      </c>
      <c r="H63" s="52" t="s">
        <v>2968</v>
      </c>
      <c r="I63" s="52" t="s">
        <v>910</v>
      </c>
      <c r="K63" s="52" t="s">
        <v>884</v>
      </c>
      <c r="L63" s="52" t="s">
        <v>922</v>
      </c>
      <c r="M63" s="52" t="s">
        <v>890</v>
      </c>
      <c r="N63" s="52" t="s">
        <v>731</v>
      </c>
      <c r="O63" s="52" t="s">
        <v>600</v>
      </c>
      <c r="R63" s="52" t="s">
        <v>443</v>
      </c>
      <c r="S63" s="52" t="s">
        <v>885</v>
      </c>
      <c r="T63" s="53">
        <v>45925</v>
      </c>
      <c r="V63" s="53">
        <v>45983.575694444444</v>
      </c>
      <c r="W63" s="52" t="s">
        <v>884</v>
      </c>
      <c r="X63" s="53">
        <v>45978.575694444444</v>
      </c>
      <c r="Y63" s="52">
        <v>14.1</v>
      </c>
      <c r="AA63" s="52">
        <v>2</v>
      </c>
      <c r="AB63" s="52" t="s">
        <v>2101</v>
      </c>
      <c r="AC63" s="52" t="s">
        <v>41</v>
      </c>
      <c r="AE63" s="52">
        <v>1</v>
      </c>
      <c r="AF63" s="52" t="s">
        <v>41</v>
      </c>
      <c r="AK63" s="52">
        <v>377</v>
      </c>
    </row>
    <row r="64" spans="1:37" x14ac:dyDescent="0.2">
      <c r="A64" s="52" t="s">
        <v>2025</v>
      </c>
      <c r="B64" s="52" t="s">
        <v>3146</v>
      </c>
      <c r="C64" s="52">
        <v>18</v>
      </c>
      <c r="D64" s="52" t="s">
        <v>1129</v>
      </c>
      <c r="E64" s="52" t="s">
        <v>1130</v>
      </c>
      <c r="F64" s="52" t="s">
        <v>443</v>
      </c>
      <c r="G64" s="52" t="s">
        <v>34</v>
      </c>
      <c r="H64" s="52" t="s">
        <v>3152</v>
      </c>
      <c r="I64" s="52" t="s">
        <v>2027</v>
      </c>
      <c r="K64" s="52" t="s">
        <v>884</v>
      </c>
      <c r="L64" s="52" t="s">
        <v>922</v>
      </c>
      <c r="M64" s="52" t="s">
        <v>886</v>
      </c>
      <c r="N64" s="52" t="s">
        <v>461</v>
      </c>
      <c r="O64" s="52" t="s">
        <v>600</v>
      </c>
      <c r="Q64" s="52">
        <v>941000031683851</v>
      </c>
      <c r="R64" s="52" t="s">
        <v>443</v>
      </c>
      <c r="S64" s="52" t="s">
        <v>885</v>
      </c>
      <c r="T64" s="53">
        <v>45209</v>
      </c>
      <c r="V64" s="53">
        <v>45945.625</v>
      </c>
      <c r="W64" s="52" t="s">
        <v>892</v>
      </c>
      <c r="X64" s="53">
        <v>45940.625</v>
      </c>
      <c r="Y64" s="52">
        <v>52</v>
      </c>
      <c r="AA64" s="52">
        <v>3</v>
      </c>
      <c r="AB64" s="52" t="s">
        <v>2036</v>
      </c>
      <c r="AC64" s="52" t="s">
        <v>41</v>
      </c>
      <c r="AE64" s="52">
        <v>1</v>
      </c>
      <c r="AF64" s="52" t="s">
        <v>41</v>
      </c>
      <c r="AK64" s="52">
        <v>377</v>
      </c>
    </row>
    <row r="65" spans="1:37" x14ac:dyDescent="0.2">
      <c r="A65" s="52" t="s">
        <v>2025</v>
      </c>
      <c r="B65" s="52" t="s">
        <v>3146</v>
      </c>
      <c r="C65" s="52">
        <v>18</v>
      </c>
      <c r="D65" s="52" t="s">
        <v>1124</v>
      </c>
      <c r="E65" s="52" t="s">
        <v>404</v>
      </c>
      <c r="F65" s="52" t="s">
        <v>443</v>
      </c>
      <c r="G65" s="52" t="s">
        <v>34</v>
      </c>
      <c r="H65" s="52" t="s">
        <v>3153</v>
      </c>
      <c r="I65" s="52" t="s">
        <v>897</v>
      </c>
      <c r="J65" s="52" t="s">
        <v>884</v>
      </c>
      <c r="K65" s="52" t="s">
        <v>884</v>
      </c>
      <c r="L65" s="52" t="s">
        <v>922</v>
      </c>
      <c r="M65" s="52" t="s">
        <v>911</v>
      </c>
      <c r="N65" s="52" t="s">
        <v>494</v>
      </c>
      <c r="O65" s="52" t="s">
        <v>600</v>
      </c>
      <c r="R65" s="52" t="s">
        <v>443</v>
      </c>
      <c r="S65" s="52" t="s">
        <v>885</v>
      </c>
      <c r="T65" s="53">
        <v>45908</v>
      </c>
      <c r="V65" s="53">
        <v>45948.543055555558</v>
      </c>
      <c r="W65" s="52" t="s">
        <v>884</v>
      </c>
      <c r="X65" s="53">
        <v>45943.543055555558</v>
      </c>
      <c r="Y65" s="52">
        <v>49.1</v>
      </c>
      <c r="AA65" s="52">
        <v>4</v>
      </c>
      <c r="AB65" s="52" t="s">
        <v>2037</v>
      </c>
      <c r="AC65" s="52" t="s">
        <v>41</v>
      </c>
      <c r="AE65" s="52">
        <v>1</v>
      </c>
      <c r="AF65" s="52" t="s">
        <v>41</v>
      </c>
      <c r="AK65" s="52">
        <v>377</v>
      </c>
    </row>
    <row r="66" spans="1:37" x14ac:dyDescent="0.2">
      <c r="A66" s="52" t="s">
        <v>2025</v>
      </c>
      <c r="B66" s="52" t="s">
        <v>3146</v>
      </c>
      <c r="C66" s="52">
        <v>18</v>
      </c>
      <c r="D66" s="52" t="s">
        <v>1116</v>
      </c>
      <c r="E66" s="52" t="s">
        <v>1117</v>
      </c>
      <c r="F66" s="52" t="s">
        <v>443</v>
      </c>
      <c r="G66" s="52" t="s">
        <v>34</v>
      </c>
      <c r="H66" s="52" t="s">
        <v>3154</v>
      </c>
      <c r="I66" s="52" t="s">
        <v>910</v>
      </c>
      <c r="J66" s="52" t="s">
        <v>884</v>
      </c>
      <c r="K66" s="52" t="s">
        <v>911</v>
      </c>
      <c r="L66" s="52" t="s">
        <v>922</v>
      </c>
      <c r="M66" s="52" t="s">
        <v>886</v>
      </c>
      <c r="N66" s="52" t="s">
        <v>494</v>
      </c>
      <c r="O66" s="52" t="s">
        <v>600</v>
      </c>
      <c r="R66" s="52" t="s">
        <v>443</v>
      </c>
      <c r="S66" s="52" t="s">
        <v>885</v>
      </c>
      <c r="T66" s="53">
        <v>44486</v>
      </c>
      <c r="V66" s="53">
        <v>45950.584027777775</v>
      </c>
      <c r="W66" s="52" t="s">
        <v>911</v>
      </c>
      <c r="X66" s="53">
        <v>45945.584027777775</v>
      </c>
      <c r="Y66" s="52">
        <v>47.1</v>
      </c>
      <c r="AA66" s="52">
        <v>5</v>
      </c>
      <c r="AB66" s="52" t="s">
        <v>2038</v>
      </c>
      <c r="AC66" s="52" t="s">
        <v>41</v>
      </c>
      <c r="AE66" s="52">
        <v>1</v>
      </c>
      <c r="AF66" s="52" t="s">
        <v>41</v>
      </c>
      <c r="AK66" s="52">
        <v>377</v>
      </c>
    </row>
    <row r="67" spans="1:37" x14ac:dyDescent="0.2">
      <c r="A67" s="52" t="s">
        <v>2025</v>
      </c>
      <c r="B67" s="52" t="s">
        <v>3146</v>
      </c>
      <c r="C67" s="52">
        <v>18</v>
      </c>
      <c r="D67" s="52" t="s">
        <v>1449</v>
      </c>
      <c r="E67" s="52" t="s">
        <v>1871</v>
      </c>
      <c r="F67" s="52" t="s">
        <v>443</v>
      </c>
      <c r="G67" s="52" t="s">
        <v>34</v>
      </c>
      <c r="H67" s="52" t="s">
        <v>3155</v>
      </c>
      <c r="I67" s="52" t="s">
        <v>2039</v>
      </c>
      <c r="K67" s="52" t="s">
        <v>884</v>
      </c>
      <c r="L67" s="52" t="s">
        <v>922</v>
      </c>
      <c r="M67" s="52" t="s">
        <v>890</v>
      </c>
      <c r="N67" s="52" t="s">
        <v>461</v>
      </c>
      <c r="O67" s="52" t="s">
        <v>600</v>
      </c>
      <c r="Q67" s="52">
        <v>941000031750121</v>
      </c>
      <c r="R67" s="52" t="s">
        <v>443</v>
      </c>
      <c r="S67" s="52" t="s">
        <v>885</v>
      </c>
      <c r="T67" s="53">
        <v>45221</v>
      </c>
      <c r="V67" s="53">
        <v>45955.487500000003</v>
      </c>
      <c r="W67" s="52" t="s">
        <v>892</v>
      </c>
      <c r="X67" s="53">
        <v>45950.487500000003</v>
      </c>
      <c r="Y67" s="52">
        <v>42.2</v>
      </c>
      <c r="AA67" s="52">
        <v>6</v>
      </c>
      <c r="AB67" s="52" t="s">
        <v>2034</v>
      </c>
      <c r="AC67" s="52" t="s">
        <v>41</v>
      </c>
      <c r="AE67" s="52">
        <v>1</v>
      </c>
      <c r="AF67" s="52" t="s">
        <v>41</v>
      </c>
      <c r="AK67" s="52">
        <v>377</v>
      </c>
    </row>
    <row r="68" spans="1:37" x14ac:dyDescent="0.2">
      <c r="A68" s="52" t="s">
        <v>2025</v>
      </c>
      <c r="B68" s="52" t="s">
        <v>3146</v>
      </c>
      <c r="C68" s="52">
        <v>18</v>
      </c>
      <c r="D68" s="52" t="s">
        <v>1854</v>
      </c>
      <c r="E68" s="52" t="s">
        <v>1855</v>
      </c>
      <c r="F68" s="52" t="s">
        <v>443</v>
      </c>
      <c r="G68" s="52" t="s">
        <v>34</v>
      </c>
      <c r="H68" s="52" t="s">
        <v>3156</v>
      </c>
      <c r="I68" s="52" t="s">
        <v>935</v>
      </c>
      <c r="K68" s="52" t="s">
        <v>884</v>
      </c>
      <c r="L68" s="52" t="s">
        <v>922</v>
      </c>
      <c r="M68" s="52" t="s">
        <v>886</v>
      </c>
      <c r="N68" s="52" t="s">
        <v>461</v>
      </c>
      <c r="O68" s="52" t="s">
        <v>600</v>
      </c>
      <c r="Q68" s="52">
        <v>941000031684362</v>
      </c>
      <c r="R68" s="52" t="s">
        <v>443</v>
      </c>
      <c r="S68" s="52" t="s">
        <v>885</v>
      </c>
      <c r="T68" s="53">
        <v>44856</v>
      </c>
      <c r="U68" s="52" t="s">
        <v>2013</v>
      </c>
      <c r="V68" s="53">
        <v>45956.515972222223</v>
      </c>
      <c r="W68" s="52" t="s">
        <v>892</v>
      </c>
      <c r="X68" s="53">
        <v>45951.515972222223</v>
      </c>
      <c r="Y68" s="52">
        <v>41.2</v>
      </c>
      <c r="AA68" s="52">
        <v>8</v>
      </c>
      <c r="AB68" s="52" t="s">
        <v>2042</v>
      </c>
      <c r="AC68" s="52" t="s">
        <v>41</v>
      </c>
      <c r="AE68" s="52">
        <v>1</v>
      </c>
      <c r="AF68" s="52" t="s">
        <v>41</v>
      </c>
      <c r="AK68" s="52">
        <v>377</v>
      </c>
    </row>
    <row r="69" spans="1:37" x14ac:dyDescent="0.2">
      <c r="A69" s="52" t="s">
        <v>2025</v>
      </c>
      <c r="B69" s="52" t="s">
        <v>3146</v>
      </c>
      <c r="C69" s="52">
        <v>18</v>
      </c>
      <c r="D69" s="52" t="s">
        <v>1139</v>
      </c>
      <c r="F69" s="52" t="s">
        <v>443</v>
      </c>
      <c r="G69" s="52" t="s">
        <v>34</v>
      </c>
      <c r="H69" s="52" t="s">
        <v>3048</v>
      </c>
      <c r="I69" s="52" t="s">
        <v>897</v>
      </c>
      <c r="J69" s="52" t="s">
        <v>884</v>
      </c>
      <c r="K69" s="52" t="s">
        <v>884</v>
      </c>
      <c r="L69" s="52" t="s">
        <v>922</v>
      </c>
      <c r="M69" s="52" t="s">
        <v>911</v>
      </c>
      <c r="N69" s="52" t="s">
        <v>494</v>
      </c>
      <c r="O69" s="52" t="s">
        <v>600</v>
      </c>
      <c r="R69" s="52" t="s">
        <v>443</v>
      </c>
      <c r="S69" s="52" t="s">
        <v>885</v>
      </c>
      <c r="T69" s="53">
        <v>45891</v>
      </c>
      <c r="V69" s="53">
        <v>45945.476388888892</v>
      </c>
      <c r="W69" s="52" t="s">
        <v>884</v>
      </c>
      <c r="X69" s="53">
        <v>45940.476388888892</v>
      </c>
      <c r="Y69" s="52">
        <v>52.2</v>
      </c>
      <c r="AA69" s="52">
        <v>9</v>
      </c>
      <c r="AB69" s="52" t="s">
        <v>2044</v>
      </c>
      <c r="AC69" s="52" t="s">
        <v>41</v>
      </c>
      <c r="AE69" s="52">
        <v>1</v>
      </c>
      <c r="AF69" s="52" t="s">
        <v>41</v>
      </c>
      <c r="AK69" s="52">
        <v>377</v>
      </c>
    </row>
    <row r="70" spans="1:37" x14ac:dyDescent="0.2">
      <c r="A70" s="52" t="s">
        <v>2025</v>
      </c>
      <c r="B70" s="52" t="s">
        <v>3146</v>
      </c>
      <c r="C70" s="52">
        <v>18</v>
      </c>
      <c r="D70" s="52" t="s">
        <v>1135</v>
      </c>
      <c r="E70" s="52" t="s">
        <v>1136</v>
      </c>
      <c r="F70" s="52" t="s">
        <v>443</v>
      </c>
      <c r="G70" s="52" t="s">
        <v>34</v>
      </c>
      <c r="H70" s="52" t="s">
        <v>3048</v>
      </c>
      <c r="I70" s="52" t="s">
        <v>903</v>
      </c>
      <c r="J70" s="52" t="s">
        <v>884</v>
      </c>
      <c r="K70" s="52" t="s">
        <v>884</v>
      </c>
      <c r="L70" s="52" t="s">
        <v>922</v>
      </c>
      <c r="M70" s="52" t="s">
        <v>886</v>
      </c>
      <c r="N70" s="52" t="s">
        <v>461</v>
      </c>
      <c r="O70" s="52" t="s">
        <v>600</v>
      </c>
      <c r="Q70" s="52">
        <v>941000031684014</v>
      </c>
      <c r="R70" s="52" t="s">
        <v>443</v>
      </c>
      <c r="S70" s="52" t="s">
        <v>885</v>
      </c>
      <c r="T70" s="53">
        <v>45891</v>
      </c>
      <c r="V70" s="53">
        <v>45945.476388888892</v>
      </c>
      <c r="W70" s="52" t="s">
        <v>892</v>
      </c>
      <c r="X70" s="53">
        <v>45940.476388888892</v>
      </c>
      <c r="Y70" s="52">
        <v>52.2</v>
      </c>
      <c r="AA70" s="52">
        <v>9</v>
      </c>
      <c r="AB70" s="52" t="s">
        <v>2045</v>
      </c>
      <c r="AC70" s="52" t="s">
        <v>41</v>
      </c>
      <c r="AE70" s="52">
        <v>1</v>
      </c>
      <c r="AF70" s="52" t="s">
        <v>41</v>
      </c>
      <c r="AK70" s="52">
        <v>377</v>
      </c>
    </row>
    <row r="71" spans="1:37" x14ac:dyDescent="0.2">
      <c r="A71" s="52" t="s">
        <v>2025</v>
      </c>
      <c r="B71" s="52" t="s">
        <v>3146</v>
      </c>
      <c r="C71" s="52">
        <v>18</v>
      </c>
      <c r="D71" s="52" t="s">
        <v>3157</v>
      </c>
      <c r="F71" s="52" t="s">
        <v>443</v>
      </c>
      <c r="G71" s="52" t="s">
        <v>34</v>
      </c>
      <c r="H71" s="52" t="s">
        <v>913</v>
      </c>
      <c r="I71" s="52" t="s">
        <v>897</v>
      </c>
      <c r="K71" s="52" t="s">
        <v>884</v>
      </c>
      <c r="L71" s="52" t="s">
        <v>922</v>
      </c>
      <c r="M71" s="52" t="s">
        <v>911</v>
      </c>
      <c r="N71" s="52" t="s">
        <v>494</v>
      </c>
      <c r="O71" s="52" t="s">
        <v>600</v>
      </c>
      <c r="R71" s="52" t="s">
        <v>443</v>
      </c>
      <c r="S71" s="52" t="s">
        <v>885</v>
      </c>
      <c r="U71" s="52" t="s">
        <v>3158</v>
      </c>
      <c r="V71" s="53">
        <v>45986.551388888889</v>
      </c>
      <c r="W71" s="52" t="s">
        <v>884</v>
      </c>
      <c r="X71" s="53">
        <v>45981.551388888889</v>
      </c>
      <c r="Y71" s="52">
        <v>11.1</v>
      </c>
      <c r="AA71" s="52" t="s">
        <v>600</v>
      </c>
      <c r="AC71" s="52" t="s">
        <v>41</v>
      </c>
      <c r="AE71" s="52">
        <v>1</v>
      </c>
      <c r="AF71" s="52" t="s">
        <v>41</v>
      </c>
      <c r="AK71" s="52">
        <v>377</v>
      </c>
    </row>
    <row r="72" spans="1:37" x14ac:dyDescent="0.2">
      <c r="A72" s="52" t="s">
        <v>2983</v>
      </c>
      <c r="B72" s="52" t="s">
        <v>3159</v>
      </c>
      <c r="C72" s="52">
        <v>22</v>
      </c>
      <c r="D72" s="52" t="s">
        <v>2281</v>
      </c>
      <c r="F72" s="52" t="s">
        <v>443</v>
      </c>
      <c r="G72" s="52" t="s">
        <v>34</v>
      </c>
      <c r="H72" s="52" t="s">
        <v>3160</v>
      </c>
      <c r="I72" s="52" t="s">
        <v>2055</v>
      </c>
      <c r="J72" s="52" t="s">
        <v>884</v>
      </c>
      <c r="K72" s="52" t="s">
        <v>884</v>
      </c>
      <c r="L72" s="52" t="s">
        <v>922</v>
      </c>
      <c r="M72" s="52" t="s">
        <v>886</v>
      </c>
      <c r="N72" s="52" t="s">
        <v>3161</v>
      </c>
      <c r="O72" s="52" t="s">
        <v>2244</v>
      </c>
      <c r="R72" s="52" t="s">
        <v>443</v>
      </c>
      <c r="S72" s="52" t="s">
        <v>885</v>
      </c>
      <c r="T72" s="53">
        <v>45244</v>
      </c>
      <c r="V72" s="53">
        <v>45980.658333333333</v>
      </c>
      <c r="W72" s="52" t="s">
        <v>892</v>
      </c>
      <c r="X72" s="53">
        <v>45975.658333333333</v>
      </c>
      <c r="Y72" s="52">
        <v>17</v>
      </c>
      <c r="AA72" s="52">
        <v>1</v>
      </c>
      <c r="AC72" s="52" t="s">
        <v>41</v>
      </c>
      <c r="AE72" s="52">
        <v>1</v>
      </c>
      <c r="AF72" s="52" t="s">
        <v>41</v>
      </c>
      <c r="AK72" s="52">
        <v>377</v>
      </c>
    </row>
    <row r="73" spans="1:37" x14ac:dyDescent="0.2">
      <c r="A73" s="52" t="s">
        <v>2983</v>
      </c>
      <c r="B73" s="52" t="s">
        <v>3159</v>
      </c>
      <c r="C73" s="52">
        <v>22</v>
      </c>
      <c r="D73" s="52" t="s">
        <v>3162</v>
      </c>
      <c r="E73" s="52" t="s">
        <v>3163</v>
      </c>
      <c r="F73" s="52" t="s">
        <v>443</v>
      </c>
      <c r="G73" s="52" t="s">
        <v>34</v>
      </c>
      <c r="H73" s="52" t="s">
        <v>3164</v>
      </c>
      <c r="I73" s="52" t="s">
        <v>897</v>
      </c>
      <c r="K73" s="52" t="s">
        <v>884</v>
      </c>
      <c r="L73" s="52" t="s">
        <v>922</v>
      </c>
      <c r="M73" s="52" t="s">
        <v>886</v>
      </c>
      <c r="N73" s="52" t="s">
        <v>494</v>
      </c>
      <c r="O73" s="52" t="s">
        <v>2244</v>
      </c>
      <c r="R73" s="52" t="s">
        <v>443</v>
      </c>
      <c r="S73" s="52" t="s">
        <v>885</v>
      </c>
      <c r="T73" s="53">
        <v>45621</v>
      </c>
      <c r="V73" s="53">
        <v>45985.628472222219</v>
      </c>
      <c r="W73" s="52" t="s">
        <v>892</v>
      </c>
      <c r="X73" s="53">
        <v>45980.628472222219</v>
      </c>
      <c r="Y73" s="52">
        <v>12</v>
      </c>
      <c r="AA73" s="52">
        <v>10</v>
      </c>
      <c r="AB73" s="52" t="s">
        <v>3165</v>
      </c>
      <c r="AC73" s="52" t="s">
        <v>41</v>
      </c>
      <c r="AE73" s="52">
        <v>1</v>
      </c>
      <c r="AF73" s="52" t="s">
        <v>41</v>
      </c>
      <c r="AK73" s="52">
        <v>377</v>
      </c>
    </row>
    <row r="74" spans="1:37" x14ac:dyDescent="0.2">
      <c r="A74" s="52" t="s">
        <v>2983</v>
      </c>
      <c r="B74" s="52" t="s">
        <v>3159</v>
      </c>
      <c r="C74" s="52">
        <v>22</v>
      </c>
      <c r="D74" s="52" t="s">
        <v>3166</v>
      </c>
      <c r="E74" s="52" t="s">
        <v>3167</v>
      </c>
      <c r="F74" s="52" t="s">
        <v>443</v>
      </c>
      <c r="G74" s="52" t="s">
        <v>34</v>
      </c>
      <c r="H74" s="52" t="s">
        <v>3164</v>
      </c>
      <c r="I74" s="52" t="s">
        <v>2019</v>
      </c>
      <c r="K74" s="52" t="s">
        <v>884</v>
      </c>
      <c r="L74" s="52" t="s">
        <v>922</v>
      </c>
      <c r="M74" s="52" t="s">
        <v>886</v>
      </c>
      <c r="N74" s="52" t="s">
        <v>461</v>
      </c>
      <c r="O74" s="52" t="s">
        <v>2244</v>
      </c>
      <c r="Q74" s="52">
        <v>941000031683790</v>
      </c>
      <c r="R74" s="52" t="s">
        <v>443</v>
      </c>
      <c r="S74" s="52" t="s">
        <v>885</v>
      </c>
      <c r="T74" s="53">
        <v>45621</v>
      </c>
      <c r="U74" s="52" t="s">
        <v>2004</v>
      </c>
      <c r="V74" s="53">
        <v>45985.628472222219</v>
      </c>
      <c r="W74" s="52" t="s">
        <v>892</v>
      </c>
      <c r="X74" s="53">
        <v>45980.628472222219</v>
      </c>
      <c r="Y74" s="52">
        <v>12</v>
      </c>
      <c r="AA74" s="52">
        <v>10</v>
      </c>
      <c r="AB74" s="52" t="s">
        <v>3168</v>
      </c>
      <c r="AC74" s="52" t="s">
        <v>41</v>
      </c>
      <c r="AE74" s="52">
        <v>1</v>
      </c>
      <c r="AF74" s="52" t="s">
        <v>41</v>
      </c>
      <c r="AK74" s="52">
        <v>377</v>
      </c>
    </row>
    <row r="75" spans="1:37" x14ac:dyDescent="0.2">
      <c r="A75" s="52" t="s">
        <v>2983</v>
      </c>
      <c r="B75" s="52" t="s">
        <v>3159</v>
      </c>
      <c r="C75" s="52">
        <v>22</v>
      </c>
      <c r="D75" s="52" t="s">
        <v>2296</v>
      </c>
      <c r="E75" s="52" t="s">
        <v>2900</v>
      </c>
      <c r="F75" s="52" t="s">
        <v>443</v>
      </c>
      <c r="G75" s="52" t="s">
        <v>34</v>
      </c>
      <c r="H75" s="52" t="s">
        <v>3160</v>
      </c>
      <c r="I75" s="52" t="s">
        <v>1999</v>
      </c>
      <c r="K75" s="52" t="s">
        <v>884</v>
      </c>
      <c r="L75" s="52" t="s">
        <v>922</v>
      </c>
      <c r="M75" s="52" t="s">
        <v>890</v>
      </c>
      <c r="N75" s="52" t="s">
        <v>494</v>
      </c>
      <c r="O75" s="52" t="s">
        <v>2244</v>
      </c>
      <c r="R75" s="52" t="s">
        <v>443</v>
      </c>
      <c r="S75" s="52" t="s">
        <v>885</v>
      </c>
      <c r="T75" s="53">
        <v>45244</v>
      </c>
      <c r="V75" s="53">
        <v>45980.477777777778</v>
      </c>
      <c r="W75" s="52" t="s">
        <v>884</v>
      </c>
      <c r="X75" s="53">
        <v>45975.477777777778</v>
      </c>
      <c r="Y75" s="52">
        <v>17.2</v>
      </c>
      <c r="AA75" s="52">
        <v>2</v>
      </c>
      <c r="AC75" s="52" t="s">
        <v>41</v>
      </c>
      <c r="AE75" s="52">
        <v>1</v>
      </c>
      <c r="AF75" s="52" t="s">
        <v>41</v>
      </c>
      <c r="AK75" s="52">
        <v>377</v>
      </c>
    </row>
    <row r="76" spans="1:37" x14ac:dyDescent="0.2">
      <c r="A76" s="52" t="s">
        <v>2983</v>
      </c>
      <c r="B76" s="52" t="s">
        <v>3159</v>
      </c>
      <c r="C76" s="52">
        <v>22</v>
      </c>
      <c r="D76" s="52" t="s">
        <v>2315</v>
      </c>
      <c r="E76" s="52" t="s">
        <v>3169</v>
      </c>
      <c r="F76" s="52" t="s">
        <v>443</v>
      </c>
      <c r="G76" s="52" t="s">
        <v>34</v>
      </c>
      <c r="H76" s="52" t="s">
        <v>3170</v>
      </c>
      <c r="I76" s="52" t="s">
        <v>910</v>
      </c>
      <c r="K76" s="52" t="s">
        <v>884</v>
      </c>
      <c r="L76" s="52" t="s">
        <v>922</v>
      </c>
      <c r="M76" s="52" t="s">
        <v>886</v>
      </c>
      <c r="N76" s="52" t="s">
        <v>461</v>
      </c>
      <c r="O76" s="52" t="s">
        <v>2244</v>
      </c>
      <c r="Q76" s="52">
        <v>941000031683688</v>
      </c>
      <c r="R76" s="52" t="s">
        <v>443</v>
      </c>
      <c r="S76" s="52" t="s">
        <v>885</v>
      </c>
      <c r="T76" s="53">
        <v>45608</v>
      </c>
      <c r="U76" s="52" t="s">
        <v>2004</v>
      </c>
      <c r="V76" s="53">
        <v>45978.604166666664</v>
      </c>
      <c r="W76" s="52" t="s">
        <v>892</v>
      </c>
      <c r="X76" s="53">
        <v>45973.604166666664</v>
      </c>
      <c r="Y76" s="52">
        <v>19.100000000000001</v>
      </c>
      <c r="AA76" s="52">
        <v>3</v>
      </c>
      <c r="AC76" s="52" t="s">
        <v>41</v>
      </c>
      <c r="AE76" s="52">
        <v>1</v>
      </c>
      <c r="AF76" s="52" t="s">
        <v>41</v>
      </c>
      <c r="AK76" s="52">
        <v>377</v>
      </c>
    </row>
    <row r="77" spans="1:37" x14ac:dyDescent="0.2">
      <c r="A77" s="52" t="s">
        <v>2983</v>
      </c>
      <c r="B77" s="52" t="s">
        <v>3159</v>
      </c>
      <c r="C77" s="52">
        <v>22</v>
      </c>
      <c r="D77" s="52" t="s">
        <v>2261</v>
      </c>
      <c r="E77" s="52" t="s">
        <v>3171</v>
      </c>
      <c r="F77" s="52" t="s">
        <v>443</v>
      </c>
      <c r="G77" s="52" t="s">
        <v>1236</v>
      </c>
      <c r="H77" s="52" t="s">
        <v>3172</v>
      </c>
      <c r="I77" s="52" t="s">
        <v>2051</v>
      </c>
      <c r="K77" s="52" t="s">
        <v>884</v>
      </c>
      <c r="L77" s="52" t="s">
        <v>922</v>
      </c>
      <c r="M77" s="52" t="s">
        <v>890</v>
      </c>
      <c r="N77" s="52" t="s">
        <v>494</v>
      </c>
      <c r="O77" s="52" t="s">
        <v>2244</v>
      </c>
      <c r="R77" s="52" t="s">
        <v>443</v>
      </c>
      <c r="S77" s="52" t="s">
        <v>885</v>
      </c>
      <c r="T77" s="53">
        <v>44882</v>
      </c>
      <c r="V77" s="53">
        <v>45983.472916666666</v>
      </c>
      <c r="W77" s="52" t="s">
        <v>892</v>
      </c>
      <c r="X77" s="53">
        <v>45978.472916666666</v>
      </c>
      <c r="Y77" s="52">
        <v>14.2</v>
      </c>
      <c r="AA77" s="52">
        <v>4</v>
      </c>
      <c r="AC77" s="52" t="s">
        <v>41</v>
      </c>
      <c r="AE77" s="52">
        <v>1</v>
      </c>
      <c r="AF77" s="52" t="s">
        <v>41</v>
      </c>
      <c r="AK77" s="52">
        <v>377</v>
      </c>
    </row>
    <row r="78" spans="1:37" x14ac:dyDescent="0.2">
      <c r="A78" s="52" t="s">
        <v>2983</v>
      </c>
      <c r="B78" s="52" t="s">
        <v>3159</v>
      </c>
      <c r="C78" s="52">
        <v>22</v>
      </c>
      <c r="D78" s="52" t="s">
        <v>2253</v>
      </c>
      <c r="F78" s="52" t="s">
        <v>443</v>
      </c>
      <c r="G78" s="52" t="s">
        <v>34</v>
      </c>
      <c r="H78" s="52" t="s">
        <v>3173</v>
      </c>
      <c r="I78" s="52" t="s">
        <v>897</v>
      </c>
      <c r="K78" s="52" t="s">
        <v>884</v>
      </c>
      <c r="L78" s="52" t="s">
        <v>922</v>
      </c>
      <c r="M78" s="52" t="s">
        <v>911</v>
      </c>
      <c r="N78" s="52" t="s">
        <v>494</v>
      </c>
      <c r="O78" s="52" t="s">
        <v>2244</v>
      </c>
      <c r="R78" s="52" t="s">
        <v>443</v>
      </c>
      <c r="S78" s="52" t="s">
        <v>885</v>
      </c>
      <c r="T78" s="53">
        <v>45613</v>
      </c>
      <c r="V78" s="53">
        <v>45983.550694444442</v>
      </c>
      <c r="W78" s="52" t="s">
        <v>884</v>
      </c>
      <c r="X78" s="53">
        <v>45978.550694444442</v>
      </c>
      <c r="Y78" s="52">
        <v>14.1</v>
      </c>
      <c r="AA78" s="52">
        <v>5</v>
      </c>
      <c r="AC78" s="52" t="s">
        <v>41</v>
      </c>
      <c r="AE78" s="52">
        <v>1</v>
      </c>
      <c r="AF78" s="52" t="s">
        <v>41</v>
      </c>
      <c r="AK78" s="52">
        <v>377</v>
      </c>
    </row>
    <row r="79" spans="1:37" x14ac:dyDescent="0.2">
      <c r="A79" s="52" t="s">
        <v>2983</v>
      </c>
      <c r="B79" s="52" t="s">
        <v>3159</v>
      </c>
      <c r="C79" s="52">
        <v>22</v>
      </c>
      <c r="D79" s="52" t="s">
        <v>2251</v>
      </c>
      <c r="F79" s="52" t="s">
        <v>443</v>
      </c>
      <c r="G79" s="52" t="s">
        <v>34</v>
      </c>
      <c r="H79" s="52" t="s">
        <v>3173</v>
      </c>
      <c r="I79" s="52" t="s">
        <v>903</v>
      </c>
      <c r="K79" s="52" t="s">
        <v>884</v>
      </c>
      <c r="L79" s="52" t="s">
        <v>922</v>
      </c>
      <c r="M79" s="52" t="s">
        <v>911</v>
      </c>
      <c r="N79" s="52" t="s">
        <v>494</v>
      </c>
      <c r="O79" s="52" t="s">
        <v>2244</v>
      </c>
      <c r="R79" s="52" t="s">
        <v>443</v>
      </c>
      <c r="S79" s="52" t="s">
        <v>885</v>
      </c>
      <c r="T79" s="53">
        <v>45613</v>
      </c>
      <c r="V79" s="53">
        <v>45983.550694444442</v>
      </c>
      <c r="W79" s="52" t="s">
        <v>884</v>
      </c>
      <c r="X79" s="53">
        <v>45978.550694444442</v>
      </c>
      <c r="Y79" s="52">
        <v>14.1</v>
      </c>
      <c r="AA79" s="52">
        <v>5</v>
      </c>
      <c r="AC79" s="52" t="s">
        <v>41</v>
      </c>
      <c r="AE79" s="52">
        <v>1</v>
      </c>
      <c r="AF79" s="52" t="s">
        <v>41</v>
      </c>
      <c r="AK79" s="52">
        <v>377</v>
      </c>
    </row>
    <row r="80" spans="1:37" x14ac:dyDescent="0.2">
      <c r="A80" s="52" t="s">
        <v>2983</v>
      </c>
      <c r="B80" s="52" t="s">
        <v>3159</v>
      </c>
      <c r="C80" s="52">
        <v>22</v>
      </c>
      <c r="D80" s="52" t="s">
        <v>2248</v>
      </c>
      <c r="F80" s="52" t="s">
        <v>443</v>
      </c>
      <c r="G80" s="52" t="s">
        <v>34</v>
      </c>
      <c r="H80" s="52" t="s">
        <v>3173</v>
      </c>
      <c r="I80" s="52" t="s">
        <v>2019</v>
      </c>
      <c r="K80" s="52" t="s">
        <v>884</v>
      </c>
      <c r="L80" s="52" t="s">
        <v>922</v>
      </c>
      <c r="M80" s="52" t="s">
        <v>911</v>
      </c>
      <c r="N80" s="52" t="s">
        <v>494</v>
      </c>
      <c r="O80" s="52" t="s">
        <v>2244</v>
      </c>
      <c r="R80" s="52" t="s">
        <v>443</v>
      </c>
      <c r="S80" s="52" t="s">
        <v>885</v>
      </c>
      <c r="T80" s="53">
        <v>45613</v>
      </c>
      <c r="V80" s="53">
        <v>45983.550694444442</v>
      </c>
      <c r="W80" s="52" t="s">
        <v>884</v>
      </c>
      <c r="X80" s="53">
        <v>45978.550694444442</v>
      </c>
      <c r="Y80" s="52">
        <v>14.1</v>
      </c>
      <c r="AA80" s="52">
        <v>5</v>
      </c>
      <c r="AC80" s="52" t="s">
        <v>41</v>
      </c>
      <c r="AE80" s="52">
        <v>1</v>
      </c>
      <c r="AF80" s="52" t="s">
        <v>41</v>
      </c>
      <c r="AK80" s="52">
        <v>377</v>
      </c>
    </row>
    <row r="81" spans="1:37" x14ac:dyDescent="0.2">
      <c r="A81" s="52" t="s">
        <v>2983</v>
      </c>
      <c r="B81" s="52" t="s">
        <v>3159</v>
      </c>
      <c r="C81" s="52">
        <v>22</v>
      </c>
      <c r="D81" s="52" t="s">
        <v>2271</v>
      </c>
      <c r="E81" s="52" t="s">
        <v>3174</v>
      </c>
      <c r="F81" s="52" t="s">
        <v>443</v>
      </c>
      <c r="G81" s="52" t="s">
        <v>34</v>
      </c>
      <c r="H81" s="52" t="s">
        <v>3175</v>
      </c>
      <c r="I81" s="52" t="s">
        <v>907</v>
      </c>
      <c r="K81" s="52" t="s">
        <v>884</v>
      </c>
      <c r="L81" s="52" t="s">
        <v>887</v>
      </c>
      <c r="M81" s="52" t="s">
        <v>886</v>
      </c>
      <c r="N81" s="52" t="s">
        <v>494</v>
      </c>
      <c r="O81" s="52" t="s">
        <v>2244</v>
      </c>
      <c r="R81" s="52" t="s">
        <v>443</v>
      </c>
      <c r="S81" s="52" t="s">
        <v>885</v>
      </c>
      <c r="T81" s="53">
        <v>45920</v>
      </c>
      <c r="U81" s="52" t="s">
        <v>2004</v>
      </c>
      <c r="V81" s="53">
        <v>45981.472916666666</v>
      </c>
      <c r="W81" s="52" t="s">
        <v>884</v>
      </c>
      <c r="X81" s="53">
        <v>45976.472916666666</v>
      </c>
      <c r="Y81" s="52">
        <v>16.2</v>
      </c>
      <c r="AA81" s="52">
        <v>6</v>
      </c>
      <c r="AB81" s="52" t="s">
        <v>3176</v>
      </c>
      <c r="AC81" s="52" t="s">
        <v>41</v>
      </c>
      <c r="AE81" s="52">
        <v>2</v>
      </c>
      <c r="AF81" s="52" t="s">
        <v>41</v>
      </c>
      <c r="AK81" s="52">
        <v>377</v>
      </c>
    </row>
    <row r="82" spans="1:37" x14ac:dyDescent="0.2">
      <c r="A82" s="52" t="s">
        <v>2983</v>
      </c>
      <c r="B82" s="52" t="s">
        <v>3159</v>
      </c>
      <c r="C82" s="52">
        <v>22</v>
      </c>
      <c r="D82" s="52" t="s">
        <v>2278</v>
      </c>
      <c r="E82" s="52" t="s">
        <v>3177</v>
      </c>
      <c r="F82" s="52" t="s">
        <v>443</v>
      </c>
      <c r="G82" s="52" t="s">
        <v>34</v>
      </c>
      <c r="H82" s="52" t="s">
        <v>3178</v>
      </c>
      <c r="I82" s="52" t="s">
        <v>907</v>
      </c>
      <c r="K82" s="52" t="s">
        <v>884</v>
      </c>
      <c r="L82" s="52" t="s">
        <v>887</v>
      </c>
      <c r="M82" s="52" t="s">
        <v>886</v>
      </c>
      <c r="N82" s="52" t="s">
        <v>494</v>
      </c>
      <c r="O82" s="52" t="s">
        <v>2244</v>
      </c>
      <c r="R82" s="52" t="s">
        <v>443</v>
      </c>
      <c r="S82" s="52" t="s">
        <v>885</v>
      </c>
      <c r="T82" s="53">
        <v>45245</v>
      </c>
      <c r="U82" s="52" t="s">
        <v>2004</v>
      </c>
      <c r="V82" s="53">
        <v>45981.472916666666</v>
      </c>
      <c r="W82" s="52" t="s">
        <v>884</v>
      </c>
      <c r="X82" s="53">
        <v>45976.472916666666</v>
      </c>
      <c r="Y82" s="52">
        <v>16.2</v>
      </c>
      <c r="AA82" s="52">
        <v>7</v>
      </c>
      <c r="AB82" s="52" t="s">
        <v>976</v>
      </c>
      <c r="AC82" s="52" t="s">
        <v>41</v>
      </c>
      <c r="AE82" s="52">
        <v>2</v>
      </c>
      <c r="AF82" s="52" t="s">
        <v>41</v>
      </c>
      <c r="AK82" s="52">
        <v>377</v>
      </c>
    </row>
    <row r="83" spans="1:37" x14ac:dyDescent="0.2">
      <c r="A83" s="52" t="s">
        <v>2983</v>
      </c>
      <c r="B83" s="52" t="s">
        <v>3159</v>
      </c>
      <c r="C83" s="52">
        <v>22</v>
      </c>
      <c r="D83" s="52" t="s">
        <v>2323</v>
      </c>
      <c r="E83" s="52" t="s">
        <v>3179</v>
      </c>
      <c r="F83" s="52" t="s">
        <v>443</v>
      </c>
      <c r="G83" s="52" t="s">
        <v>34</v>
      </c>
      <c r="H83" s="52" t="s">
        <v>3180</v>
      </c>
      <c r="I83" s="52" t="s">
        <v>2039</v>
      </c>
      <c r="K83" s="52" t="s">
        <v>884</v>
      </c>
      <c r="L83" s="52" t="s">
        <v>922</v>
      </c>
      <c r="M83" s="52" t="s">
        <v>890</v>
      </c>
      <c r="N83" s="52" t="s">
        <v>731</v>
      </c>
      <c r="O83" s="52" t="s">
        <v>2244</v>
      </c>
      <c r="R83" s="52" t="s">
        <v>443</v>
      </c>
      <c r="S83" s="52" t="s">
        <v>885</v>
      </c>
      <c r="T83" s="53">
        <v>45931</v>
      </c>
      <c r="V83" s="53">
        <v>45978.554166666669</v>
      </c>
      <c r="W83" s="52" t="s">
        <v>884</v>
      </c>
      <c r="X83" s="53">
        <v>45973.554166666669</v>
      </c>
      <c r="Y83" s="52">
        <v>19.100000000000001</v>
      </c>
      <c r="AA83" s="52">
        <v>8</v>
      </c>
      <c r="AC83" s="52" t="s">
        <v>41</v>
      </c>
      <c r="AE83" s="52">
        <v>1</v>
      </c>
      <c r="AF83" s="52" t="s">
        <v>41</v>
      </c>
      <c r="AK83" s="52">
        <v>377</v>
      </c>
    </row>
    <row r="84" spans="1:37" x14ac:dyDescent="0.2">
      <c r="A84" s="52" t="s">
        <v>2983</v>
      </c>
      <c r="B84" s="52" t="s">
        <v>3159</v>
      </c>
      <c r="C84" s="52">
        <v>22</v>
      </c>
      <c r="D84" s="52" t="s">
        <v>2321</v>
      </c>
      <c r="E84" s="52" t="s">
        <v>3181</v>
      </c>
      <c r="F84" s="52" t="s">
        <v>443</v>
      </c>
      <c r="G84" s="52" t="s">
        <v>34</v>
      </c>
      <c r="H84" s="52" t="s">
        <v>3180</v>
      </c>
      <c r="I84" s="52" t="s">
        <v>2030</v>
      </c>
      <c r="K84" s="52" t="s">
        <v>884</v>
      </c>
      <c r="L84" s="52" t="s">
        <v>922</v>
      </c>
      <c r="M84" s="52" t="s">
        <v>886</v>
      </c>
      <c r="N84" s="52" t="s">
        <v>731</v>
      </c>
      <c r="O84" s="52" t="s">
        <v>2244</v>
      </c>
      <c r="R84" s="52" t="s">
        <v>443</v>
      </c>
      <c r="S84" s="52" t="s">
        <v>885</v>
      </c>
      <c r="T84" s="53">
        <v>45931</v>
      </c>
      <c r="U84" s="52" t="s">
        <v>2004</v>
      </c>
      <c r="V84" s="53">
        <v>45978.554166666669</v>
      </c>
      <c r="W84" s="52" t="s">
        <v>884</v>
      </c>
      <c r="X84" s="53">
        <v>45973.554166666669</v>
      </c>
      <c r="Y84" s="52">
        <v>19.100000000000001</v>
      </c>
      <c r="AA84" s="52">
        <v>8</v>
      </c>
      <c r="AC84" s="52" t="s">
        <v>41</v>
      </c>
      <c r="AE84" s="52">
        <v>1</v>
      </c>
      <c r="AF84" s="52" t="s">
        <v>41</v>
      </c>
      <c r="AK84" s="52">
        <v>377</v>
      </c>
    </row>
    <row r="85" spans="1:37" x14ac:dyDescent="0.2">
      <c r="A85" s="52" t="s">
        <v>2983</v>
      </c>
      <c r="B85" s="52" t="s">
        <v>3159</v>
      </c>
      <c r="C85" s="52">
        <v>22</v>
      </c>
      <c r="D85" s="52" t="s">
        <v>2319</v>
      </c>
      <c r="E85" s="52" t="s">
        <v>3182</v>
      </c>
      <c r="F85" s="52" t="s">
        <v>443</v>
      </c>
      <c r="G85" s="52" t="s">
        <v>34</v>
      </c>
      <c r="H85" s="52" t="s">
        <v>3180</v>
      </c>
      <c r="I85" s="52" t="s">
        <v>2030</v>
      </c>
      <c r="K85" s="52" t="s">
        <v>884</v>
      </c>
      <c r="L85" s="52" t="s">
        <v>922</v>
      </c>
      <c r="M85" s="52" t="s">
        <v>886</v>
      </c>
      <c r="N85" s="52" t="s">
        <v>731</v>
      </c>
      <c r="O85" s="52" t="s">
        <v>2244</v>
      </c>
      <c r="R85" s="52" t="s">
        <v>443</v>
      </c>
      <c r="S85" s="52" t="s">
        <v>885</v>
      </c>
      <c r="T85" s="53">
        <v>45931</v>
      </c>
      <c r="U85" s="52" t="s">
        <v>2004</v>
      </c>
      <c r="V85" s="53">
        <v>45978.554166666669</v>
      </c>
      <c r="W85" s="52" t="s">
        <v>884</v>
      </c>
      <c r="X85" s="53">
        <v>45973.554166666669</v>
      </c>
      <c r="Y85" s="52">
        <v>19.100000000000001</v>
      </c>
      <c r="AA85" s="52">
        <v>8</v>
      </c>
      <c r="AC85" s="52" t="s">
        <v>41</v>
      </c>
      <c r="AE85" s="52">
        <v>1</v>
      </c>
      <c r="AF85" s="52" t="s">
        <v>41</v>
      </c>
      <c r="AK85" s="52">
        <v>377</v>
      </c>
    </row>
    <row r="86" spans="1:37" x14ac:dyDescent="0.2">
      <c r="A86" s="52" t="s">
        <v>2983</v>
      </c>
      <c r="B86" s="52" t="s">
        <v>3159</v>
      </c>
      <c r="C86" s="52">
        <v>22</v>
      </c>
      <c r="D86" s="52" t="s">
        <v>2317</v>
      </c>
      <c r="E86" s="52" t="s">
        <v>3183</v>
      </c>
      <c r="F86" s="52" t="s">
        <v>443</v>
      </c>
      <c r="G86" s="52" t="s">
        <v>34</v>
      </c>
      <c r="H86" s="52" t="s">
        <v>3180</v>
      </c>
      <c r="I86" s="52" t="s">
        <v>2012</v>
      </c>
      <c r="K86" s="52" t="s">
        <v>884</v>
      </c>
      <c r="L86" s="52" t="s">
        <v>922</v>
      </c>
      <c r="M86" s="52" t="s">
        <v>886</v>
      </c>
      <c r="N86" s="52" t="s">
        <v>731</v>
      </c>
      <c r="O86" s="52" t="s">
        <v>2244</v>
      </c>
      <c r="R86" s="52" t="s">
        <v>443</v>
      </c>
      <c r="S86" s="52" t="s">
        <v>885</v>
      </c>
      <c r="T86" s="53">
        <v>45931</v>
      </c>
      <c r="U86" s="52" t="s">
        <v>2028</v>
      </c>
      <c r="V86" s="53">
        <v>45978.554166666669</v>
      </c>
      <c r="W86" s="52" t="s">
        <v>884</v>
      </c>
      <c r="X86" s="53">
        <v>45973.554166666669</v>
      </c>
      <c r="Y86" s="52">
        <v>19.100000000000001</v>
      </c>
      <c r="AA86" s="52">
        <v>8</v>
      </c>
      <c r="AC86" s="52" t="s">
        <v>41</v>
      </c>
      <c r="AE86" s="52">
        <v>1</v>
      </c>
      <c r="AF86" s="52" t="s">
        <v>41</v>
      </c>
      <c r="AK86" s="52">
        <v>377</v>
      </c>
    </row>
    <row r="87" spans="1:37" x14ac:dyDescent="0.2">
      <c r="A87" s="52" t="s">
        <v>2983</v>
      </c>
      <c r="B87" s="52" t="s">
        <v>3159</v>
      </c>
      <c r="C87" s="52">
        <v>22</v>
      </c>
      <c r="D87" s="52" t="s">
        <v>2309</v>
      </c>
      <c r="F87" s="52" t="s">
        <v>443</v>
      </c>
      <c r="G87" s="52" t="s">
        <v>34</v>
      </c>
      <c r="H87" s="52" t="s">
        <v>2979</v>
      </c>
      <c r="I87" s="52" t="s">
        <v>897</v>
      </c>
      <c r="J87" s="52" t="s">
        <v>884</v>
      </c>
      <c r="K87" s="52" t="s">
        <v>884</v>
      </c>
      <c r="L87" s="52" t="s">
        <v>922</v>
      </c>
      <c r="M87" s="52" t="s">
        <v>890</v>
      </c>
      <c r="N87" s="52" t="s">
        <v>499</v>
      </c>
      <c r="O87" s="52" t="s">
        <v>2244</v>
      </c>
      <c r="R87" s="52" t="s">
        <v>443</v>
      </c>
      <c r="S87" s="52" t="s">
        <v>885</v>
      </c>
      <c r="T87" s="53">
        <v>45882</v>
      </c>
      <c r="V87" s="53">
        <v>45979.477777777778</v>
      </c>
      <c r="W87" s="52" t="s">
        <v>884</v>
      </c>
      <c r="X87" s="53">
        <v>45974.477777777778</v>
      </c>
      <c r="Y87" s="52">
        <v>18.2</v>
      </c>
      <c r="AA87" s="52">
        <v>9</v>
      </c>
      <c r="AC87" s="52" t="s">
        <v>41</v>
      </c>
      <c r="AE87" s="52">
        <v>1</v>
      </c>
      <c r="AF87" s="52" t="s">
        <v>41</v>
      </c>
      <c r="AK87" s="52">
        <v>377</v>
      </c>
    </row>
    <row r="88" spans="1:37" x14ac:dyDescent="0.2">
      <c r="A88" s="52" t="s">
        <v>2983</v>
      </c>
      <c r="B88" s="52" t="s">
        <v>3159</v>
      </c>
      <c r="C88" s="52">
        <v>22</v>
      </c>
      <c r="D88" s="52" t="s">
        <v>2307</v>
      </c>
      <c r="F88" s="52" t="s">
        <v>443</v>
      </c>
      <c r="G88" s="52" t="s">
        <v>34</v>
      </c>
      <c r="H88" s="52" t="s">
        <v>2979</v>
      </c>
      <c r="I88" s="52" t="s">
        <v>897</v>
      </c>
      <c r="J88" s="52" t="s">
        <v>884</v>
      </c>
      <c r="K88" s="52" t="s">
        <v>884</v>
      </c>
      <c r="L88" s="52" t="s">
        <v>922</v>
      </c>
      <c r="M88" s="52" t="s">
        <v>886</v>
      </c>
      <c r="N88" s="52" t="s">
        <v>494</v>
      </c>
      <c r="O88" s="52" t="s">
        <v>2244</v>
      </c>
      <c r="R88" s="52" t="s">
        <v>443</v>
      </c>
      <c r="S88" s="52" t="s">
        <v>885</v>
      </c>
      <c r="T88" s="53">
        <v>45882</v>
      </c>
      <c r="V88" s="53">
        <v>45979.477777777778</v>
      </c>
      <c r="W88" s="52" t="s">
        <v>884</v>
      </c>
      <c r="X88" s="53">
        <v>45974.477777777778</v>
      </c>
      <c r="Y88" s="52">
        <v>18.2</v>
      </c>
      <c r="AA88" s="52">
        <v>9</v>
      </c>
      <c r="AC88" s="52" t="s">
        <v>41</v>
      </c>
      <c r="AE88" s="52">
        <v>1</v>
      </c>
      <c r="AF88" s="52" t="s">
        <v>41</v>
      </c>
      <c r="AK88" s="52">
        <v>377</v>
      </c>
    </row>
    <row r="89" spans="1:37" x14ac:dyDescent="0.2">
      <c r="A89" s="52" t="s">
        <v>2983</v>
      </c>
      <c r="B89" s="52" t="s">
        <v>3159</v>
      </c>
      <c r="C89" s="52">
        <v>22</v>
      </c>
      <c r="D89" s="52" t="s">
        <v>2305</v>
      </c>
      <c r="F89" s="52" t="s">
        <v>443</v>
      </c>
      <c r="G89" s="52" t="s">
        <v>34</v>
      </c>
      <c r="H89" s="52" t="s">
        <v>2979</v>
      </c>
      <c r="I89" s="52" t="s">
        <v>897</v>
      </c>
      <c r="J89" s="52" t="s">
        <v>884</v>
      </c>
      <c r="K89" s="52" t="s">
        <v>884</v>
      </c>
      <c r="L89" s="52" t="s">
        <v>922</v>
      </c>
      <c r="M89" s="52" t="s">
        <v>890</v>
      </c>
      <c r="N89" s="52" t="s">
        <v>494</v>
      </c>
      <c r="O89" s="52" t="s">
        <v>2244</v>
      </c>
      <c r="R89" s="52" t="s">
        <v>443</v>
      </c>
      <c r="S89" s="52" t="s">
        <v>885</v>
      </c>
      <c r="T89" s="53">
        <v>45882</v>
      </c>
      <c r="V89" s="53">
        <v>45979.477777777778</v>
      </c>
      <c r="W89" s="52" t="s">
        <v>884</v>
      </c>
      <c r="X89" s="53">
        <v>45974.477777777778</v>
      </c>
      <c r="Y89" s="52">
        <v>18.2</v>
      </c>
      <c r="AA89" s="52">
        <v>9</v>
      </c>
      <c r="AC89" s="52" t="s">
        <v>41</v>
      </c>
      <c r="AE89" s="52">
        <v>1</v>
      </c>
      <c r="AF89" s="52" t="s">
        <v>41</v>
      </c>
      <c r="AK89" s="52">
        <v>377</v>
      </c>
    </row>
    <row r="90" spans="1:37" x14ac:dyDescent="0.2">
      <c r="A90" s="52" t="s">
        <v>2983</v>
      </c>
      <c r="B90" s="52" t="s">
        <v>3159</v>
      </c>
      <c r="C90" s="52">
        <v>22</v>
      </c>
      <c r="D90" s="52" t="s">
        <v>2303</v>
      </c>
      <c r="F90" s="52" t="s">
        <v>443</v>
      </c>
      <c r="G90" s="52" t="s">
        <v>34</v>
      </c>
      <c r="H90" s="52" t="s">
        <v>2979</v>
      </c>
      <c r="I90" s="52" t="s">
        <v>903</v>
      </c>
      <c r="J90" s="52" t="s">
        <v>884</v>
      </c>
      <c r="K90" s="52" t="s">
        <v>884</v>
      </c>
      <c r="L90" s="52" t="s">
        <v>922</v>
      </c>
      <c r="M90" s="52" t="s">
        <v>890</v>
      </c>
      <c r="N90" s="52" t="s">
        <v>494</v>
      </c>
      <c r="O90" s="52" t="s">
        <v>2244</v>
      </c>
      <c r="R90" s="52" t="s">
        <v>443</v>
      </c>
      <c r="S90" s="52" t="s">
        <v>885</v>
      </c>
      <c r="T90" s="53">
        <v>45882</v>
      </c>
      <c r="V90" s="53">
        <v>45979.477777777778</v>
      </c>
      <c r="W90" s="52" t="s">
        <v>884</v>
      </c>
      <c r="X90" s="53">
        <v>45974.477777777778</v>
      </c>
      <c r="Y90" s="52">
        <v>18.2</v>
      </c>
      <c r="AA90" s="52">
        <v>9</v>
      </c>
      <c r="AC90" s="52" t="s">
        <v>41</v>
      </c>
      <c r="AE90" s="52">
        <v>1</v>
      </c>
      <c r="AF90" s="52" t="s">
        <v>41</v>
      </c>
      <c r="AK90" s="52">
        <v>377</v>
      </c>
    </row>
    <row r="91" spans="1:37" x14ac:dyDescent="0.2">
      <c r="A91" s="52" t="s">
        <v>2983</v>
      </c>
      <c r="B91" s="52" t="s">
        <v>3159</v>
      </c>
      <c r="C91" s="52">
        <v>22</v>
      </c>
      <c r="D91" s="52" t="s">
        <v>2301</v>
      </c>
      <c r="F91" s="52" t="s">
        <v>443</v>
      </c>
      <c r="G91" s="52" t="s">
        <v>34</v>
      </c>
      <c r="H91" s="52" t="s">
        <v>2979</v>
      </c>
      <c r="I91" s="52" t="s">
        <v>894</v>
      </c>
      <c r="J91" s="52" t="s">
        <v>884</v>
      </c>
      <c r="K91" s="52" t="s">
        <v>884</v>
      </c>
      <c r="L91" s="52" t="s">
        <v>922</v>
      </c>
      <c r="M91" s="52" t="s">
        <v>890</v>
      </c>
      <c r="N91" s="52" t="s">
        <v>494</v>
      </c>
      <c r="O91" s="52" t="s">
        <v>2244</v>
      </c>
      <c r="R91" s="52" t="s">
        <v>443</v>
      </c>
      <c r="S91" s="52" t="s">
        <v>885</v>
      </c>
      <c r="T91" s="53">
        <v>45882</v>
      </c>
      <c r="U91" s="52" t="s">
        <v>2004</v>
      </c>
      <c r="V91" s="53">
        <v>45979.477777777778</v>
      </c>
      <c r="W91" s="52" t="s">
        <v>884</v>
      </c>
      <c r="X91" s="53">
        <v>45974.477777777778</v>
      </c>
      <c r="Y91" s="52">
        <v>18.2</v>
      </c>
      <c r="AA91" s="52">
        <v>9</v>
      </c>
      <c r="AC91" s="52" t="s">
        <v>41</v>
      </c>
      <c r="AE91" s="52">
        <v>1</v>
      </c>
      <c r="AF91" s="52" t="s">
        <v>41</v>
      </c>
      <c r="AK91" s="52">
        <v>377</v>
      </c>
    </row>
    <row r="92" spans="1:37" x14ac:dyDescent="0.2">
      <c r="A92" s="52" t="s">
        <v>2983</v>
      </c>
      <c r="B92" s="52" t="s">
        <v>3159</v>
      </c>
      <c r="C92" s="52">
        <v>22</v>
      </c>
      <c r="D92" s="52" t="s">
        <v>2298</v>
      </c>
      <c r="F92" s="52" t="s">
        <v>443</v>
      </c>
      <c r="G92" s="52" t="s">
        <v>34</v>
      </c>
      <c r="H92" s="52" t="s">
        <v>3184</v>
      </c>
      <c r="I92" s="52" t="s">
        <v>2030</v>
      </c>
      <c r="J92" s="52" t="s">
        <v>884</v>
      </c>
      <c r="K92" s="52" t="s">
        <v>884</v>
      </c>
      <c r="L92" s="52" t="s">
        <v>922</v>
      </c>
      <c r="M92" s="52" t="s">
        <v>886</v>
      </c>
      <c r="N92" s="52" t="s">
        <v>494</v>
      </c>
      <c r="O92" s="52" t="s">
        <v>2244</v>
      </c>
      <c r="R92" s="52" t="s">
        <v>443</v>
      </c>
      <c r="S92" s="52" t="s">
        <v>885</v>
      </c>
      <c r="T92" s="53">
        <v>45243</v>
      </c>
      <c r="U92" s="52" t="s">
        <v>2004</v>
      </c>
      <c r="V92" s="53">
        <v>45979.477777777778</v>
      </c>
      <c r="W92" s="52" t="s">
        <v>884</v>
      </c>
      <c r="X92" s="53">
        <v>45974.477777777778</v>
      </c>
      <c r="Y92" s="52">
        <v>18.2</v>
      </c>
      <c r="AA92" s="52">
        <v>9</v>
      </c>
      <c r="AC92" s="52" t="s">
        <v>41</v>
      </c>
      <c r="AE92" s="52">
        <v>1</v>
      </c>
      <c r="AF92" s="52" t="s">
        <v>41</v>
      </c>
      <c r="AK92" s="52">
        <v>377</v>
      </c>
    </row>
    <row r="93" spans="1:37" x14ac:dyDescent="0.2">
      <c r="A93" s="52" t="s">
        <v>2983</v>
      </c>
      <c r="B93" s="52" t="s">
        <v>3159</v>
      </c>
      <c r="C93" s="52">
        <v>22</v>
      </c>
      <c r="D93" s="52" t="s">
        <v>3185</v>
      </c>
      <c r="E93" s="52" t="s">
        <v>3186</v>
      </c>
      <c r="F93" s="52" t="s">
        <v>443</v>
      </c>
      <c r="G93" s="52" t="s">
        <v>34</v>
      </c>
      <c r="H93" s="52" t="s">
        <v>3187</v>
      </c>
      <c r="I93" s="52" t="s">
        <v>2039</v>
      </c>
      <c r="K93" s="52" t="s">
        <v>884</v>
      </c>
      <c r="L93" s="52" t="s">
        <v>922</v>
      </c>
      <c r="M93" s="52" t="s">
        <v>886</v>
      </c>
      <c r="N93" s="52" t="s">
        <v>749</v>
      </c>
      <c r="O93" s="52" t="s">
        <v>2244</v>
      </c>
      <c r="R93" s="52" t="s">
        <v>443</v>
      </c>
      <c r="S93" s="52" t="s">
        <v>885</v>
      </c>
      <c r="T93" s="53">
        <v>44887</v>
      </c>
      <c r="V93" s="53">
        <v>45988.574305555558</v>
      </c>
      <c r="W93" s="52" t="s">
        <v>884</v>
      </c>
      <c r="X93" s="53">
        <v>45983.574305555558</v>
      </c>
      <c r="Y93" s="52">
        <v>9.1</v>
      </c>
      <c r="AA93" s="52" t="s">
        <v>3188</v>
      </c>
      <c r="AB93" s="52" t="s">
        <v>3189</v>
      </c>
      <c r="AC93" s="52" t="s">
        <v>41</v>
      </c>
      <c r="AE93" s="52">
        <v>1</v>
      </c>
      <c r="AF93" s="52" t="s">
        <v>41</v>
      </c>
      <c r="AK93" s="52">
        <v>377</v>
      </c>
    </row>
    <row r="94" spans="1:37" x14ac:dyDescent="0.2">
      <c r="A94" s="52" t="s">
        <v>2046</v>
      </c>
      <c r="B94" s="52" t="s">
        <v>3190</v>
      </c>
      <c r="C94" s="52">
        <v>20</v>
      </c>
      <c r="D94" s="52" t="s">
        <v>465</v>
      </c>
      <c r="E94" s="52" t="s">
        <v>31</v>
      </c>
      <c r="F94" s="52" t="s">
        <v>443</v>
      </c>
      <c r="G94" s="52" t="s">
        <v>34</v>
      </c>
      <c r="H94" s="52" t="s">
        <v>3191</v>
      </c>
      <c r="I94" s="52" t="s">
        <v>897</v>
      </c>
      <c r="J94" s="52" t="s">
        <v>884</v>
      </c>
      <c r="K94" s="52" t="s">
        <v>892</v>
      </c>
      <c r="L94" s="52" t="s">
        <v>887</v>
      </c>
      <c r="M94" s="52" t="s">
        <v>886</v>
      </c>
      <c r="N94" s="52" t="s">
        <v>461</v>
      </c>
      <c r="O94" s="52" t="s">
        <v>463</v>
      </c>
      <c r="Q94" s="52">
        <v>982091070185820</v>
      </c>
      <c r="R94" s="52" t="s">
        <v>443</v>
      </c>
      <c r="S94" s="52" t="s">
        <v>885</v>
      </c>
      <c r="T94" s="53">
        <v>44634</v>
      </c>
      <c r="U94" s="52" t="s">
        <v>2013</v>
      </c>
      <c r="V94" s="53">
        <v>45004.865277777775</v>
      </c>
      <c r="W94" s="52" t="s">
        <v>892</v>
      </c>
      <c r="X94" s="53">
        <v>44999.865277777775</v>
      </c>
      <c r="Y94" s="52">
        <v>992.8</v>
      </c>
      <c r="AA94" s="52" t="s">
        <v>462</v>
      </c>
      <c r="AB94" s="52" t="s">
        <v>2047</v>
      </c>
      <c r="AC94" s="52" t="s">
        <v>41</v>
      </c>
      <c r="AE94" s="52">
        <v>3</v>
      </c>
      <c r="AF94" s="52" t="s">
        <v>41</v>
      </c>
      <c r="AK94" s="52">
        <v>377</v>
      </c>
    </row>
    <row r="95" spans="1:37" x14ac:dyDescent="0.2">
      <c r="A95" s="52" t="s">
        <v>2046</v>
      </c>
      <c r="B95" s="52" t="s">
        <v>3190</v>
      </c>
      <c r="C95" s="52">
        <v>20</v>
      </c>
      <c r="D95" s="52" t="s">
        <v>237</v>
      </c>
      <c r="E95" s="52" t="s">
        <v>238</v>
      </c>
      <c r="F95" s="52" t="s">
        <v>443</v>
      </c>
      <c r="G95" s="52" t="s">
        <v>34</v>
      </c>
      <c r="H95" s="52" t="s">
        <v>3192</v>
      </c>
      <c r="I95" s="52" t="s">
        <v>894</v>
      </c>
      <c r="J95" s="52" t="s">
        <v>884</v>
      </c>
      <c r="K95" s="52" t="s">
        <v>892</v>
      </c>
      <c r="L95" s="52" t="s">
        <v>887</v>
      </c>
      <c r="M95" s="52" t="s">
        <v>890</v>
      </c>
      <c r="N95" s="52" t="s">
        <v>461</v>
      </c>
      <c r="O95" s="52" t="s">
        <v>463</v>
      </c>
      <c r="Q95" s="52">
        <v>941000028853363</v>
      </c>
      <c r="R95" s="52" t="s">
        <v>443</v>
      </c>
      <c r="S95" s="52" t="s">
        <v>885</v>
      </c>
      <c r="T95" s="53">
        <v>45075</v>
      </c>
      <c r="V95" s="53">
        <v>45363.642361111109</v>
      </c>
      <c r="W95" s="52" t="s">
        <v>892</v>
      </c>
      <c r="X95" s="53">
        <v>45358.600694444445</v>
      </c>
      <c r="Y95" s="52">
        <v>634.1</v>
      </c>
      <c r="AA95" s="52" t="s">
        <v>462</v>
      </c>
      <c r="AB95" s="52" t="s">
        <v>2048</v>
      </c>
      <c r="AC95" s="52" t="s">
        <v>41</v>
      </c>
      <c r="AE95" s="52">
        <v>1</v>
      </c>
      <c r="AF95" s="52" t="s">
        <v>41</v>
      </c>
      <c r="AK95" s="52">
        <v>377</v>
      </c>
    </row>
    <row r="96" spans="1:37" x14ac:dyDescent="0.2">
      <c r="A96" s="52" t="s">
        <v>2046</v>
      </c>
      <c r="B96" s="52" t="s">
        <v>3190</v>
      </c>
      <c r="C96" s="52">
        <v>20</v>
      </c>
      <c r="D96" s="52" t="s">
        <v>488</v>
      </c>
      <c r="E96" s="52" t="s">
        <v>487</v>
      </c>
      <c r="F96" s="52" t="s">
        <v>443</v>
      </c>
      <c r="G96" s="52" t="s">
        <v>34</v>
      </c>
      <c r="H96" s="52" t="s">
        <v>3193</v>
      </c>
      <c r="I96" s="52" t="s">
        <v>894</v>
      </c>
      <c r="J96" s="52" t="s">
        <v>884</v>
      </c>
      <c r="K96" s="52" t="s">
        <v>884</v>
      </c>
      <c r="L96" s="52" t="s">
        <v>887</v>
      </c>
      <c r="M96" s="52" t="s">
        <v>886</v>
      </c>
      <c r="N96" s="52" t="s">
        <v>461</v>
      </c>
      <c r="O96" s="52" t="s">
        <v>463</v>
      </c>
      <c r="Q96" s="52">
        <v>941000028852735</v>
      </c>
      <c r="R96" s="52" t="s">
        <v>443</v>
      </c>
      <c r="S96" s="52" t="s">
        <v>885</v>
      </c>
      <c r="T96" s="53">
        <v>44694</v>
      </c>
      <c r="V96" s="53">
        <v>45370.461805555555</v>
      </c>
      <c r="W96" s="52" t="s">
        <v>892</v>
      </c>
      <c r="X96" s="53">
        <v>45365.461805555555</v>
      </c>
      <c r="Y96" s="52">
        <v>627.20000000000005</v>
      </c>
      <c r="AA96" s="52" t="s">
        <v>462</v>
      </c>
      <c r="AB96" s="52" t="s">
        <v>2049</v>
      </c>
      <c r="AC96" s="52" t="s">
        <v>41</v>
      </c>
      <c r="AE96" s="52">
        <v>2</v>
      </c>
      <c r="AF96" s="52" t="s">
        <v>41</v>
      </c>
      <c r="AK96" s="52">
        <v>377</v>
      </c>
    </row>
    <row r="97" spans="1:37" x14ac:dyDescent="0.2">
      <c r="A97" s="52" t="s">
        <v>2046</v>
      </c>
      <c r="B97" s="52" t="s">
        <v>3190</v>
      </c>
      <c r="C97" s="52">
        <v>20</v>
      </c>
      <c r="D97" s="52" t="s">
        <v>554</v>
      </c>
      <c r="E97" s="52" t="s">
        <v>553</v>
      </c>
      <c r="F97" s="52" t="s">
        <v>443</v>
      </c>
      <c r="G97" s="52" t="s">
        <v>34</v>
      </c>
      <c r="H97" s="52" t="s">
        <v>3194</v>
      </c>
      <c r="I97" s="52" t="s">
        <v>897</v>
      </c>
      <c r="K97" s="52" t="s">
        <v>884</v>
      </c>
      <c r="L97" s="52" t="s">
        <v>922</v>
      </c>
      <c r="M97" s="52" t="s">
        <v>886</v>
      </c>
      <c r="N97" s="52" t="s">
        <v>461</v>
      </c>
      <c r="O97" s="52" t="s">
        <v>463</v>
      </c>
      <c r="R97" s="52" t="s">
        <v>443</v>
      </c>
      <c r="S97" s="52" t="s">
        <v>885</v>
      </c>
      <c r="T97" s="53">
        <v>45040</v>
      </c>
      <c r="V97" s="53">
        <v>45776.581250000003</v>
      </c>
      <c r="W97" s="52" t="s">
        <v>892</v>
      </c>
      <c r="X97" s="53">
        <v>45771.581250000003</v>
      </c>
      <c r="Y97" s="52">
        <v>221.1</v>
      </c>
      <c r="AA97" s="52" t="s">
        <v>462</v>
      </c>
      <c r="AB97" s="52" t="s">
        <v>2034</v>
      </c>
      <c r="AC97" s="52" t="s">
        <v>41</v>
      </c>
      <c r="AE97" s="52">
        <v>2</v>
      </c>
      <c r="AF97" s="52" t="s">
        <v>41</v>
      </c>
      <c r="AK97" s="52">
        <v>377</v>
      </c>
    </row>
    <row r="98" spans="1:37" x14ac:dyDescent="0.2">
      <c r="A98" s="52" t="s">
        <v>2046</v>
      </c>
      <c r="B98" s="52" t="s">
        <v>3190</v>
      </c>
      <c r="C98" s="52">
        <v>20</v>
      </c>
      <c r="D98" s="52" t="s">
        <v>610</v>
      </c>
      <c r="E98" s="52" t="s">
        <v>609</v>
      </c>
      <c r="F98" s="52" t="s">
        <v>443</v>
      </c>
      <c r="G98" s="52" t="s">
        <v>34</v>
      </c>
      <c r="H98" s="52" t="s">
        <v>3195</v>
      </c>
      <c r="I98" s="52" t="s">
        <v>2051</v>
      </c>
      <c r="K98" s="52" t="s">
        <v>892</v>
      </c>
      <c r="L98" s="52" t="s">
        <v>922</v>
      </c>
      <c r="M98" s="52" t="s">
        <v>890</v>
      </c>
      <c r="N98" s="52" t="s">
        <v>461</v>
      </c>
      <c r="O98" s="52" t="s">
        <v>463</v>
      </c>
      <c r="R98" s="52" t="s">
        <v>443</v>
      </c>
      <c r="S98" s="52" t="s">
        <v>885</v>
      </c>
      <c r="T98" s="53">
        <v>45081</v>
      </c>
      <c r="U98" s="52" t="s">
        <v>2004</v>
      </c>
      <c r="V98" s="53">
        <v>45817.613888888889</v>
      </c>
      <c r="W98" s="52" t="s">
        <v>892</v>
      </c>
      <c r="X98" s="53">
        <v>45812.613888888889</v>
      </c>
      <c r="Y98" s="52">
        <v>180.1</v>
      </c>
      <c r="AA98" s="52" t="s">
        <v>462</v>
      </c>
      <c r="AC98" s="52" t="s">
        <v>41</v>
      </c>
      <c r="AE98" s="52">
        <v>2</v>
      </c>
      <c r="AF98" s="52" t="s">
        <v>41</v>
      </c>
      <c r="AK98" s="52">
        <v>377</v>
      </c>
    </row>
    <row r="99" spans="1:37" x14ac:dyDescent="0.2">
      <c r="A99" s="52" t="s">
        <v>2046</v>
      </c>
      <c r="B99" s="52" t="s">
        <v>3190</v>
      </c>
      <c r="C99" s="52">
        <v>20</v>
      </c>
      <c r="D99" s="52" t="s">
        <v>668</v>
      </c>
      <c r="E99" s="52" t="s">
        <v>667</v>
      </c>
      <c r="F99" s="52" t="s">
        <v>443</v>
      </c>
      <c r="G99" s="52" t="s">
        <v>34</v>
      </c>
      <c r="H99" s="52" t="s">
        <v>3196</v>
      </c>
      <c r="I99" s="52" t="s">
        <v>897</v>
      </c>
      <c r="J99" s="52" t="s">
        <v>884</v>
      </c>
      <c r="K99" s="52" t="s">
        <v>884</v>
      </c>
      <c r="L99" s="52" t="s">
        <v>2052</v>
      </c>
      <c r="M99" s="52" t="s">
        <v>890</v>
      </c>
      <c r="N99" s="52" t="s">
        <v>461</v>
      </c>
      <c r="O99" s="52" t="s">
        <v>463</v>
      </c>
      <c r="R99" s="52" t="s">
        <v>443</v>
      </c>
      <c r="S99" s="52" t="s">
        <v>885</v>
      </c>
      <c r="T99" s="53">
        <v>44751</v>
      </c>
      <c r="V99" s="53">
        <v>45852.590277777781</v>
      </c>
      <c r="W99" s="52" t="s">
        <v>892</v>
      </c>
      <c r="X99" s="53">
        <v>45847.590277777781</v>
      </c>
      <c r="Y99" s="52">
        <v>145.1</v>
      </c>
      <c r="AA99" s="52" t="s">
        <v>462</v>
      </c>
      <c r="AB99" s="52" t="s">
        <v>2053</v>
      </c>
      <c r="AC99" s="52" t="s">
        <v>41</v>
      </c>
      <c r="AE99" s="52">
        <v>2</v>
      </c>
      <c r="AF99" s="52" t="s">
        <v>41</v>
      </c>
      <c r="AK99" s="52">
        <v>377</v>
      </c>
    </row>
    <row r="100" spans="1:37" x14ac:dyDescent="0.2">
      <c r="A100" s="52" t="s">
        <v>2046</v>
      </c>
      <c r="B100" s="52" t="s">
        <v>3190</v>
      </c>
      <c r="C100" s="52">
        <v>20</v>
      </c>
      <c r="D100" s="52" t="s">
        <v>684</v>
      </c>
      <c r="E100" s="52" t="s">
        <v>683</v>
      </c>
      <c r="F100" s="52" t="s">
        <v>443</v>
      </c>
      <c r="G100" s="52" t="s">
        <v>34</v>
      </c>
      <c r="H100" s="52" t="s">
        <v>3197</v>
      </c>
      <c r="I100" s="52" t="s">
        <v>894</v>
      </c>
      <c r="K100" s="52" t="s">
        <v>884</v>
      </c>
      <c r="L100" s="52" t="s">
        <v>922</v>
      </c>
      <c r="M100" s="52" t="s">
        <v>890</v>
      </c>
      <c r="N100" s="52" t="s">
        <v>461</v>
      </c>
      <c r="O100" s="52" t="s">
        <v>463</v>
      </c>
      <c r="R100" s="52" t="s">
        <v>443</v>
      </c>
      <c r="S100" s="52" t="s">
        <v>885</v>
      </c>
      <c r="T100" s="53">
        <v>45819</v>
      </c>
      <c r="U100" s="52" t="s">
        <v>2004</v>
      </c>
      <c r="V100" s="53">
        <v>45866.588888888888</v>
      </c>
      <c r="W100" s="52" t="s">
        <v>892</v>
      </c>
      <c r="X100" s="53">
        <v>45861.588888888888</v>
      </c>
      <c r="Y100" s="52">
        <v>131.1</v>
      </c>
      <c r="AA100" s="52" t="s">
        <v>462</v>
      </c>
      <c r="AB100" s="52" t="s">
        <v>2054</v>
      </c>
      <c r="AC100" s="52" t="s">
        <v>41</v>
      </c>
      <c r="AE100" s="52">
        <v>2</v>
      </c>
      <c r="AF100" s="52" t="s">
        <v>41</v>
      </c>
      <c r="AK100" s="52">
        <v>377</v>
      </c>
    </row>
    <row r="101" spans="1:37" x14ac:dyDescent="0.2">
      <c r="A101" s="52" t="s">
        <v>2046</v>
      </c>
      <c r="B101" s="52" t="s">
        <v>3190</v>
      </c>
      <c r="C101" s="52">
        <v>20</v>
      </c>
      <c r="D101" s="52" t="s">
        <v>773</v>
      </c>
      <c r="E101" s="52" t="s">
        <v>771</v>
      </c>
      <c r="F101" s="52" t="s">
        <v>443</v>
      </c>
      <c r="G101" s="52" t="s">
        <v>548</v>
      </c>
      <c r="H101" s="52" t="s">
        <v>3198</v>
      </c>
      <c r="I101" s="52" t="s">
        <v>2055</v>
      </c>
      <c r="K101" s="52" t="s">
        <v>884</v>
      </c>
      <c r="L101" s="52" t="s">
        <v>2052</v>
      </c>
      <c r="M101" s="52" t="s">
        <v>890</v>
      </c>
      <c r="N101" s="52" t="s">
        <v>461</v>
      </c>
      <c r="O101" s="52" t="s">
        <v>463</v>
      </c>
      <c r="R101" s="52" t="s">
        <v>443</v>
      </c>
      <c r="S101" s="52" t="s">
        <v>885</v>
      </c>
      <c r="T101" s="53">
        <v>44443</v>
      </c>
      <c r="V101" s="53">
        <v>45819.593055555553</v>
      </c>
      <c r="W101" s="52" t="s">
        <v>892</v>
      </c>
      <c r="X101" s="53">
        <v>45814.593055555553</v>
      </c>
      <c r="Y101" s="52">
        <v>178.1</v>
      </c>
      <c r="AA101" s="52" t="s">
        <v>462</v>
      </c>
      <c r="AC101" s="52" t="s">
        <v>41</v>
      </c>
      <c r="AE101" s="52">
        <v>2</v>
      </c>
      <c r="AF101" s="52" t="s">
        <v>41</v>
      </c>
      <c r="AK101" s="52">
        <v>377</v>
      </c>
    </row>
    <row r="102" spans="1:37" x14ac:dyDescent="0.2">
      <c r="A102" s="52" t="s">
        <v>2046</v>
      </c>
      <c r="B102" s="52" t="s">
        <v>3190</v>
      </c>
      <c r="C102" s="52">
        <v>20</v>
      </c>
      <c r="D102" s="52" t="s">
        <v>479</v>
      </c>
      <c r="E102" s="52" t="s">
        <v>478</v>
      </c>
      <c r="F102" s="52" t="s">
        <v>443</v>
      </c>
      <c r="G102" s="52" t="s">
        <v>34</v>
      </c>
      <c r="H102" s="52" t="s">
        <v>3199</v>
      </c>
      <c r="I102" s="52" t="s">
        <v>894</v>
      </c>
      <c r="J102" s="52" t="s">
        <v>884</v>
      </c>
      <c r="K102" s="52" t="s">
        <v>884</v>
      </c>
      <c r="L102" s="52" t="s">
        <v>922</v>
      </c>
      <c r="M102" s="52" t="s">
        <v>890</v>
      </c>
      <c r="N102" s="52" t="s">
        <v>461</v>
      </c>
      <c r="O102" s="52" t="s">
        <v>463</v>
      </c>
      <c r="Q102" s="52">
        <v>941000028841335</v>
      </c>
      <c r="R102" s="52" t="s">
        <v>443</v>
      </c>
      <c r="S102" s="52" t="s">
        <v>885</v>
      </c>
      <c r="T102" s="53">
        <v>45177</v>
      </c>
      <c r="V102" s="53">
        <v>45243.695833333331</v>
      </c>
      <c r="W102" s="52" t="s">
        <v>892</v>
      </c>
      <c r="X102" s="53">
        <v>45238.695833333331</v>
      </c>
      <c r="Y102" s="52">
        <v>754</v>
      </c>
      <c r="AA102" s="52" t="s">
        <v>475</v>
      </c>
      <c r="AB102" s="52" t="s">
        <v>2056</v>
      </c>
      <c r="AC102" s="52" t="s">
        <v>41</v>
      </c>
      <c r="AE102" s="52">
        <v>2</v>
      </c>
      <c r="AF102" s="52" t="s">
        <v>41</v>
      </c>
      <c r="AK102" s="52">
        <v>377</v>
      </c>
    </row>
    <row r="103" spans="1:37" x14ac:dyDescent="0.2">
      <c r="A103" s="52" t="s">
        <v>2046</v>
      </c>
      <c r="B103" s="52" t="s">
        <v>3190</v>
      </c>
      <c r="C103" s="52">
        <v>20</v>
      </c>
      <c r="D103" s="52" t="s">
        <v>549</v>
      </c>
      <c r="E103" s="52" t="s">
        <v>547</v>
      </c>
      <c r="F103" s="52" t="s">
        <v>443</v>
      </c>
      <c r="G103" s="52" t="s">
        <v>548</v>
      </c>
      <c r="H103" s="52" t="s">
        <v>3200</v>
      </c>
      <c r="I103" s="52" t="s">
        <v>897</v>
      </c>
      <c r="J103" s="52" t="s">
        <v>884</v>
      </c>
      <c r="K103" s="52" t="s">
        <v>884</v>
      </c>
      <c r="L103" s="52" t="s">
        <v>887</v>
      </c>
      <c r="M103" s="52" t="s">
        <v>886</v>
      </c>
      <c r="N103" s="52" t="s">
        <v>461</v>
      </c>
      <c r="O103" s="52" t="s">
        <v>463</v>
      </c>
      <c r="Q103" s="52">
        <v>941000030971951</v>
      </c>
      <c r="R103" s="52" t="s">
        <v>443</v>
      </c>
      <c r="S103" s="52" t="s">
        <v>885</v>
      </c>
      <c r="T103" s="53">
        <v>42853</v>
      </c>
      <c r="V103" s="53">
        <v>45773.611111111109</v>
      </c>
      <c r="W103" s="52" t="s">
        <v>892</v>
      </c>
      <c r="X103" s="53">
        <v>45768.611111111109</v>
      </c>
      <c r="Y103" s="52">
        <v>224.1</v>
      </c>
      <c r="AA103" s="52" t="s">
        <v>475</v>
      </c>
      <c r="AB103" s="52" t="s">
        <v>2057</v>
      </c>
      <c r="AC103" s="52" t="s">
        <v>41</v>
      </c>
      <c r="AE103" s="52">
        <v>3</v>
      </c>
      <c r="AF103" s="52" t="s">
        <v>41</v>
      </c>
      <c r="AK103" s="52">
        <v>377</v>
      </c>
    </row>
    <row r="104" spans="1:37" x14ac:dyDescent="0.2">
      <c r="A104" s="52" t="s">
        <v>2046</v>
      </c>
      <c r="B104" s="52" t="s">
        <v>3190</v>
      </c>
      <c r="C104" s="52">
        <v>20</v>
      </c>
      <c r="D104" s="52" t="s">
        <v>620</v>
      </c>
      <c r="E104" s="52" t="s">
        <v>619</v>
      </c>
      <c r="F104" s="52" t="s">
        <v>443</v>
      </c>
      <c r="G104" s="52" t="s">
        <v>34</v>
      </c>
      <c r="H104" s="52" t="s">
        <v>3201</v>
      </c>
      <c r="I104" s="52" t="s">
        <v>2055</v>
      </c>
      <c r="K104" s="52" t="s">
        <v>884</v>
      </c>
      <c r="L104" s="52" t="s">
        <v>922</v>
      </c>
      <c r="M104" s="52" t="s">
        <v>886</v>
      </c>
      <c r="N104" s="52" t="s">
        <v>461</v>
      </c>
      <c r="O104" s="52" t="s">
        <v>463</v>
      </c>
      <c r="R104" s="52" t="s">
        <v>443</v>
      </c>
      <c r="S104" s="52" t="s">
        <v>885</v>
      </c>
      <c r="T104" s="53">
        <v>45452</v>
      </c>
      <c r="U104" s="52" t="s">
        <v>2000</v>
      </c>
      <c r="V104" s="53">
        <v>45822.435416666667</v>
      </c>
      <c r="W104" s="52" t="s">
        <v>892</v>
      </c>
      <c r="X104" s="53">
        <v>45817.435416666667</v>
      </c>
      <c r="Y104" s="52">
        <v>175.3</v>
      </c>
      <c r="AA104" s="52" t="s">
        <v>475</v>
      </c>
      <c r="AC104" s="52" t="s">
        <v>41</v>
      </c>
      <c r="AE104" s="52">
        <v>2</v>
      </c>
      <c r="AF104" s="52" t="s">
        <v>41</v>
      </c>
      <c r="AK104" s="52">
        <v>377</v>
      </c>
    </row>
    <row r="105" spans="1:37" x14ac:dyDescent="0.2">
      <c r="A105" s="52" t="s">
        <v>2046</v>
      </c>
      <c r="B105" s="52" t="s">
        <v>3190</v>
      </c>
      <c r="C105" s="52">
        <v>20</v>
      </c>
      <c r="D105" s="52" t="s">
        <v>673</v>
      </c>
      <c r="E105" s="52" t="s">
        <v>672</v>
      </c>
      <c r="F105" s="52" t="s">
        <v>443</v>
      </c>
      <c r="G105" s="52" t="s">
        <v>34</v>
      </c>
      <c r="H105" s="52" t="s">
        <v>3202</v>
      </c>
      <c r="I105" s="52" t="s">
        <v>2062</v>
      </c>
      <c r="J105" s="52" t="s">
        <v>884</v>
      </c>
      <c r="K105" s="52" t="s">
        <v>884</v>
      </c>
      <c r="L105" s="52" t="s">
        <v>887</v>
      </c>
      <c r="M105" s="52" t="s">
        <v>890</v>
      </c>
      <c r="N105" s="52" t="s">
        <v>682</v>
      </c>
      <c r="O105" s="52" t="s">
        <v>463</v>
      </c>
      <c r="R105" s="52" t="s">
        <v>443</v>
      </c>
      <c r="S105" s="52" t="s">
        <v>885</v>
      </c>
      <c r="T105" s="53">
        <v>44387</v>
      </c>
      <c r="V105" s="53">
        <v>45853.584027777775</v>
      </c>
      <c r="W105" s="52" t="s">
        <v>892</v>
      </c>
      <c r="X105" s="53">
        <v>45848.584027777775</v>
      </c>
      <c r="Y105" s="52">
        <v>144.1</v>
      </c>
      <c r="AA105" s="52" t="s">
        <v>724</v>
      </c>
      <c r="AC105" s="52" t="s">
        <v>41</v>
      </c>
      <c r="AE105" s="52">
        <v>1</v>
      </c>
      <c r="AF105" s="52" t="s">
        <v>41</v>
      </c>
      <c r="AK105" s="52">
        <v>377</v>
      </c>
    </row>
    <row r="106" spans="1:37" x14ac:dyDescent="0.2">
      <c r="A106" s="52" t="s">
        <v>2046</v>
      </c>
      <c r="B106" s="52" t="s">
        <v>3190</v>
      </c>
      <c r="C106" s="52">
        <v>20</v>
      </c>
      <c r="D106" s="52" t="s">
        <v>701</v>
      </c>
      <c r="E106" s="52" t="s">
        <v>1925</v>
      </c>
      <c r="F106" s="52" t="s">
        <v>443</v>
      </c>
      <c r="G106" s="52" t="s">
        <v>34</v>
      </c>
      <c r="H106" s="52" t="s">
        <v>3203</v>
      </c>
      <c r="I106" s="52" t="s">
        <v>2027</v>
      </c>
      <c r="J106" s="52" t="s">
        <v>884</v>
      </c>
      <c r="K106" s="52" t="s">
        <v>884</v>
      </c>
      <c r="L106" s="52" t="s">
        <v>922</v>
      </c>
      <c r="M106" s="52" t="s">
        <v>886</v>
      </c>
      <c r="N106" s="52" t="s">
        <v>461</v>
      </c>
      <c r="O106" s="52" t="s">
        <v>463</v>
      </c>
      <c r="R106" s="52" t="s">
        <v>443</v>
      </c>
      <c r="S106" s="52" t="s">
        <v>885</v>
      </c>
      <c r="T106" s="53">
        <v>45505</v>
      </c>
      <c r="V106" s="53">
        <v>45875.515277777777</v>
      </c>
      <c r="W106" s="52" t="s">
        <v>892</v>
      </c>
      <c r="X106" s="53">
        <v>45870.515277777777</v>
      </c>
      <c r="Y106" s="52">
        <v>122.2</v>
      </c>
      <c r="AA106" s="52" t="s">
        <v>724</v>
      </c>
      <c r="AB106" s="52" t="s">
        <v>2058</v>
      </c>
      <c r="AC106" s="52" t="s">
        <v>41</v>
      </c>
      <c r="AE106" s="52">
        <v>2</v>
      </c>
      <c r="AF106" s="52" t="s">
        <v>41</v>
      </c>
      <c r="AK106" s="52">
        <v>377</v>
      </c>
    </row>
    <row r="107" spans="1:37" x14ac:dyDescent="0.2">
      <c r="A107" s="52" t="s">
        <v>2046</v>
      </c>
      <c r="B107" s="52" t="s">
        <v>3190</v>
      </c>
      <c r="C107" s="52">
        <v>20</v>
      </c>
      <c r="D107" s="52" t="s">
        <v>726</v>
      </c>
      <c r="E107" s="52" t="s">
        <v>725</v>
      </c>
      <c r="F107" s="52" t="s">
        <v>443</v>
      </c>
      <c r="G107" s="52" t="s">
        <v>34</v>
      </c>
      <c r="H107" s="52" t="s">
        <v>3204</v>
      </c>
      <c r="I107" s="52" t="s">
        <v>903</v>
      </c>
      <c r="K107" s="52" t="s">
        <v>892</v>
      </c>
      <c r="L107" s="52" t="s">
        <v>922</v>
      </c>
      <c r="M107" s="52" t="s">
        <v>886</v>
      </c>
      <c r="N107" s="52" t="s">
        <v>461</v>
      </c>
      <c r="O107" s="52" t="s">
        <v>463</v>
      </c>
      <c r="R107" s="52" t="s">
        <v>443</v>
      </c>
      <c r="S107" s="52" t="s">
        <v>885</v>
      </c>
      <c r="T107" s="53">
        <v>45511</v>
      </c>
      <c r="V107" s="53">
        <v>45881.615972222222</v>
      </c>
      <c r="W107" s="52" t="s">
        <v>892</v>
      </c>
      <c r="X107" s="53">
        <v>45876.615972222222</v>
      </c>
      <c r="Y107" s="52">
        <v>116.1</v>
      </c>
      <c r="AA107" s="52" t="s">
        <v>724</v>
      </c>
      <c r="AC107" s="52" t="s">
        <v>41</v>
      </c>
      <c r="AE107" s="52">
        <v>3</v>
      </c>
      <c r="AF107" s="52" t="s">
        <v>41</v>
      </c>
      <c r="AK107" s="52">
        <v>377</v>
      </c>
    </row>
    <row r="108" spans="1:37" x14ac:dyDescent="0.2">
      <c r="A108" s="52" t="s">
        <v>2046</v>
      </c>
      <c r="B108" s="52" t="s">
        <v>3190</v>
      </c>
      <c r="C108" s="52">
        <v>20</v>
      </c>
      <c r="D108" s="52" t="s">
        <v>789</v>
      </c>
      <c r="E108" s="52" t="s">
        <v>1182</v>
      </c>
      <c r="F108" s="52" t="s">
        <v>443</v>
      </c>
      <c r="G108" s="52" t="s">
        <v>34</v>
      </c>
      <c r="H108" s="52" t="s">
        <v>3205</v>
      </c>
      <c r="I108" s="52" t="s">
        <v>923</v>
      </c>
      <c r="K108" s="52" t="s">
        <v>884</v>
      </c>
      <c r="L108" s="52" t="s">
        <v>922</v>
      </c>
      <c r="M108" s="52" t="s">
        <v>890</v>
      </c>
      <c r="N108" s="52" t="s">
        <v>461</v>
      </c>
      <c r="O108" s="52" t="s">
        <v>463</v>
      </c>
      <c r="R108" s="52" t="s">
        <v>443</v>
      </c>
      <c r="S108" s="52" t="s">
        <v>885</v>
      </c>
      <c r="T108" s="53">
        <v>45178</v>
      </c>
      <c r="V108" s="53">
        <v>45914.477777777778</v>
      </c>
      <c r="W108" s="52" t="s">
        <v>892</v>
      </c>
      <c r="X108" s="53">
        <v>45909.477777777778</v>
      </c>
      <c r="Y108" s="52">
        <v>83.2</v>
      </c>
      <c r="AA108" s="52" t="s">
        <v>831</v>
      </c>
      <c r="AB108" s="52" t="s">
        <v>2050</v>
      </c>
      <c r="AC108" s="52" t="s">
        <v>41</v>
      </c>
      <c r="AE108" s="52">
        <v>2</v>
      </c>
      <c r="AF108" s="52" t="s">
        <v>41</v>
      </c>
      <c r="AK108" s="52">
        <v>377</v>
      </c>
    </row>
    <row r="109" spans="1:37" x14ac:dyDescent="0.2">
      <c r="A109" s="52" t="s">
        <v>2046</v>
      </c>
      <c r="B109" s="52" t="s">
        <v>3190</v>
      </c>
      <c r="C109" s="52">
        <v>20</v>
      </c>
      <c r="D109" s="52" t="s">
        <v>790</v>
      </c>
      <c r="E109" s="52" t="s">
        <v>1181</v>
      </c>
      <c r="F109" s="52" t="s">
        <v>443</v>
      </c>
      <c r="G109" s="52" t="s">
        <v>34</v>
      </c>
      <c r="H109" s="52" t="s">
        <v>3205</v>
      </c>
      <c r="I109" s="52" t="s">
        <v>935</v>
      </c>
      <c r="K109" s="52" t="s">
        <v>884</v>
      </c>
      <c r="L109" s="52" t="s">
        <v>922</v>
      </c>
      <c r="M109" s="52" t="s">
        <v>886</v>
      </c>
      <c r="N109" s="52" t="s">
        <v>461</v>
      </c>
      <c r="O109" s="52" t="s">
        <v>463</v>
      </c>
      <c r="R109" s="52" t="s">
        <v>443</v>
      </c>
      <c r="S109" s="52" t="s">
        <v>885</v>
      </c>
      <c r="T109" s="53">
        <v>45178</v>
      </c>
      <c r="U109" s="52" t="s">
        <v>2013</v>
      </c>
      <c r="V109" s="53">
        <v>45914.477777777778</v>
      </c>
      <c r="W109" s="52" t="s">
        <v>892</v>
      </c>
      <c r="X109" s="53">
        <v>45909.477777777778</v>
      </c>
      <c r="Y109" s="52">
        <v>83.2</v>
      </c>
      <c r="AA109" s="52" t="s">
        <v>831</v>
      </c>
      <c r="AB109" s="52" t="s">
        <v>976</v>
      </c>
      <c r="AC109" s="52" t="s">
        <v>41</v>
      </c>
      <c r="AE109" s="52">
        <v>2</v>
      </c>
      <c r="AF109" s="52" t="s">
        <v>41</v>
      </c>
      <c r="AK109" s="52">
        <v>377</v>
      </c>
    </row>
    <row r="110" spans="1:37" x14ac:dyDescent="0.2">
      <c r="A110" s="52" t="s">
        <v>2046</v>
      </c>
      <c r="B110" s="52" t="s">
        <v>3190</v>
      </c>
      <c r="C110" s="52">
        <v>20</v>
      </c>
      <c r="D110" s="52" t="s">
        <v>793</v>
      </c>
      <c r="E110" s="52" t="s">
        <v>1180</v>
      </c>
      <c r="F110" s="52" t="s">
        <v>443</v>
      </c>
      <c r="G110" s="52" t="s">
        <v>34</v>
      </c>
      <c r="H110" s="52" t="s">
        <v>2738</v>
      </c>
      <c r="I110" s="52" t="s">
        <v>1999</v>
      </c>
      <c r="K110" s="52" t="s">
        <v>884</v>
      </c>
      <c r="L110" s="52" t="s">
        <v>922</v>
      </c>
      <c r="M110" s="52" t="s">
        <v>886</v>
      </c>
      <c r="N110" s="52" t="s">
        <v>461</v>
      </c>
      <c r="O110" s="52" t="s">
        <v>463</v>
      </c>
      <c r="R110" s="52" t="s">
        <v>443</v>
      </c>
      <c r="S110" s="52" t="s">
        <v>885</v>
      </c>
      <c r="T110" s="53">
        <v>45546</v>
      </c>
      <c r="V110" s="53">
        <v>45916.525000000001</v>
      </c>
      <c r="W110" s="52" t="s">
        <v>892</v>
      </c>
      <c r="X110" s="53">
        <v>45911.525000000001</v>
      </c>
      <c r="Y110" s="52">
        <v>81.2</v>
      </c>
      <c r="AA110" s="52" t="s">
        <v>831</v>
      </c>
      <c r="AB110" s="52" t="s">
        <v>976</v>
      </c>
      <c r="AC110" s="52" t="s">
        <v>41</v>
      </c>
      <c r="AE110" s="52">
        <v>2</v>
      </c>
      <c r="AF110" s="52" t="s">
        <v>41</v>
      </c>
      <c r="AK110" s="52">
        <v>377</v>
      </c>
    </row>
    <row r="111" spans="1:37" x14ac:dyDescent="0.2">
      <c r="A111" s="52" t="s">
        <v>2046</v>
      </c>
      <c r="B111" s="52" t="s">
        <v>3190</v>
      </c>
      <c r="C111" s="52">
        <v>20</v>
      </c>
      <c r="D111" s="52" t="s">
        <v>555</v>
      </c>
      <c r="E111" s="52" t="s">
        <v>1199</v>
      </c>
      <c r="F111" s="52" t="s">
        <v>443</v>
      </c>
      <c r="G111" s="52" t="s">
        <v>34</v>
      </c>
      <c r="H111" s="52" t="s">
        <v>3206</v>
      </c>
      <c r="I111" s="52" t="s">
        <v>903</v>
      </c>
      <c r="J111" s="52" t="s">
        <v>884</v>
      </c>
      <c r="K111" s="52" t="s">
        <v>892</v>
      </c>
      <c r="L111" s="52" t="s">
        <v>887</v>
      </c>
      <c r="M111" s="52" t="s">
        <v>890</v>
      </c>
      <c r="N111" s="52" t="s">
        <v>461</v>
      </c>
      <c r="O111" s="52" t="s">
        <v>463</v>
      </c>
      <c r="R111" s="52" t="s">
        <v>443</v>
      </c>
      <c r="S111" s="52" t="s">
        <v>885</v>
      </c>
      <c r="T111" s="53">
        <v>45413</v>
      </c>
      <c r="V111" s="53">
        <v>45783.585416666669</v>
      </c>
      <c r="W111" s="52" t="s">
        <v>892</v>
      </c>
      <c r="X111" s="53">
        <v>45778.585416666669</v>
      </c>
      <c r="Y111" s="52">
        <v>214.1</v>
      </c>
      <c r="AA111" s="52" t="s">
        <v>558</v>
      </c>
      <c r="AB111" s="52" t="s">
        <v>2050</v>
      </c>
      <c r="AC111" s="52" t="s">
        <v>41</v>
      </c>
      <c r="AE111" s="52">
        <v>2</v>
      </c>
      <c r="AF111" s="52" t="s">
        <v>41</v>
      </c>
      <c r="AK111" s="52">
        <v>377</v>
      </c>
    </row>
    <row r="112" spans="1:37" x14ac:dyDescent="0.2">
      <c r="A112" s="52" t="s">
        <v>2046</v>
      </c>
      <c r="B112" s="52" t="s">
        <v>3190</v>
      </c>
      <c r="C112" s="52">
        <v>20</v>
      </c>
      <c r="D112" s="52" t="s">
        <v>560</v>
      </c>
      <c r="E112" s="52" t="s">
        <v>559</v>
      </c>
      <c r="F112" s="52" t="s">
        <v>443</v>
      </c>
      <c r="G112" s="52" t="s">
        <v>548</v>
      </c>
      <c r="H112" s="52" t="s">
        <v>3207</v>
      </c>
      <c r="I112" s="52" t="s">
        <v>897</v>
      </c>
      <c r="J112" s="52" t="s">
        <v>884</v>
      </c>
      <c r="K112" s="52" t="s">
        <v>884</v>
      </c>
      <c r="L112" s="52" t="s">
        <v>2052</v>
      </c>
      <c r="M112" s="52" t="s">
        <v>886</v>
      </c>
      <c r="N112" s="52" t="s">
        <v>461</v>
      </c>
      <c r="O112" s="52" t="s">
        <v>463</v>
      </c>
      <c r="R112" s="52" t="s">
        <v>443</v>
      </c>
      <c r="S112" s="52" t="s">
        <v>885</v>
      </c>
      <c r="T112" s="53">
        <v>45048</v>
      </c>
      <c r="V112" s="53">
        <v>45784.522222222222</v>
      </c>
      <c r="W112" s="52" t="s">
        <v>892</v>
      </c>
      <c r="X112" s="53">
        <v>45779.522222222222</v>
      </c>
      <c r="Y112" s="52">
        <v>213.2</v>
      </c>
      <c r="AA112" s="52" t="s">
        <v>558</v>
      </c>
      <c r="AB112" s="52" t="s">
        <v>2058</v>
      </c>
      <c r="AC112" s="52" t="s">
        <v>41</v>
      </c>
      <c r="AE112" s="52">
        <v>2</v>
      </c>
      <c r="AF112" s="52" t="s">
        <v>41</v>
      </c>
      <c r="AK112" s="52">
        <v>377</v>
      </c>
    </row>
    <row r="113" spans="1:37" x14ac:dyDescent="0.2">
      <c r="A113" s="52" t="s">
        <v>2046</v>
      </c>
      <c r="B113" s="52" t="s">
        <v>3190</v>
      </c>
      <c r="C113" s="52">
        <v>20</v>
      </c>
      <c r="D113" s="52" t="s">
        <v>722</v>
      </c>
      <c r="E113" s="52" t="s">
        <v>721</v>
      </c>
      <c r="F113" s="52" t="s">
        <v>443</v>
      </c>
      <c r="G113" s="52" t="s">
        <v>34</v>
      </c>
      <c r="H113" s="52" t="s">
        <v>3096</v>
      </c>
      <c r="I113" s="52" t="s">
        <v>897</v>
      </c>
      <c r="J113" s="52" t="s">
        <v>884</v>
      </c>
      <c r="K113" s="52" t="s">
        <v>884</v>
      </c>
      <c r="L113" s="52" t="s">
        <v>922</v>
      </c>
      <c r="M113" s="52" t="s">
        <v>886</v>
      </c>
      <c r="N113" s="52" t="s">
        <v>461</v>
      </c>
      <c r="O113" s="52" t="s">
        <v>463</v>
      </c>
      <c r="R113" s="52" t="s">
        <v>443</v>
      </c>
      <c r="S113" s="52" t="s">
        <v>885</v>
      </c>
      <c r="T113" s="53">
        <v>45510</v>
      </c>
      <c r="V113" s="53">
        <v>45880.477777777778</v>
      </c>
      <c r="W113" s="52" t="s">
        <v>892</v>
      </c>
      <c r="X113" s="53">
        <v>45875.477777777778</v>
      </c>
      <c r="Y113" s="52">
        <v>117.2</v>
      </c>
      <c r="AA113" s="52" t="s">
        <v>558</v>
      </c>
      <c r="AB113" s="52" t="s">
        <v>2058</v>
      </c>
      <c r="AC113" s="52" t="s">
        <v>41</v>
      </c>
      <c r="AE113" s="52">
        <v>2</v>
      </c>
      <c r="AF113" s="52" t="s">
        <v>41</v>
      </c>
      <c r="AK113" s="52">
        <v>377</v>
      </c>
    </row>
    <row r="114" spans="1:37" x14ac:dyDescent="0.2">
      <c r="A114" s="52" t="s">
        <v>987</v>
      </c>
      <c r="B114" s="52" t="s">
        <v>3208</v>
      </c>
      <c r="C114" s="52">
        <v>20</v>
      </c>
      <c r="D114" s="52" t="s">
        <v>3209</v>
      </c>
      <c r="E114" s="52" t="s">
        <v>3210</v>
      </c>
      <c r="F114" s="52" t="s">
        <v>444</v>
      </c>
      <c r="G114" s="52" t="s">
        <v>68</v>
      </c>
      <c r="H114" s="52" t="s">
        <v>3211</v>
      </c>
      <c r="I114" s="52" t="s">
        <v>923</v>
      </c>
      <c r="J114" s="52" t="s">
        <v>884</v>
      </c>
      <c r="K114" s="52" t="s">
        <v>884</v>
      </c>
      <c r="L114" s="52" t="s">
        <v>922</v>
      </c>
      <c r="M114" s="52" t="s">
        <v>890</v>
      </c>
      <c r="N114" s="52" t="s">
        <v>852</v>
      </c>
      <c r="O114" s="52" t="s">
        <v>469</v>
      </c>
      <c r="Q114" s="52">
        <v>941000029788353</v>
      </c>
      <c r="R114" s="52" t="s">
        <v>444</v>
      </c>
      <c r="S114" s="52" t="s">
        <v>885</v>
      </c>
      <c r="T114" s="53">
        <v>43742</v>
      </c>
      <c r="U114" s="52" t="s">
        <v>950</v>
      </c>
      <c r="V114" s="53">
        <v>45991.614583333336</v>
      </c>
      <c r="W114" s="52" t="s">
        <v>884</v>
      </c>
      <c r="X114" s="53">
        <v>45986.614583333336</v>
      </c>
      <c r="Y114" s="52">
        <v>6.1</v>
      </c>
      <c r="AA114" s="52" t="s">
        <v>469</v>
      </c>
      <c r="AC114" s="52" t="s">
        <v>41</v>
      </c>
      <c r="AE114" s="52">
        <v>1</v>
      </c>
      <c r="AF114" s="52" t="s">
        <v>41</v>
      </c>
      <c r="AK114" s="52">
        <v>377</v>
      </c>
    </row>
    <row r="115" spans="1:37" x14ac:dyDescent="0.2">
      <c r="A115" s="52" t="s">
        <v>987</v>
      </c>
      <c r="B115" s="52" t="s">
        <v>3208</v>
      </c>
      <c r="C115" s="52">
        <v>20</v>
      </c>
      <c r="D115" s="52" t="s">
        <v>1783</v>
      </c>
      <c r="E115" s="52" t="s">
        <v>1784</v>
      </c>
      <c r="F115" s="52" t="s">
        <v>444</v>
      </c>
      <c r="G115" s="52" t="s">
        <v>510</v>
      </c>
      <c r="H115" s="52" t="s">
        <v>3212</v>
      </c>
      <c r="I115" s="52" t="s">
        <v>888</v>
      </c>
      <c r="J115" s="52" t="s">
        <v>884</v>
      </c>
      <c r="K115" s="52" t="s">
        <v>884</v>
      </c>
      <c r="L115" s="52" t="s">
        <v>937</v>
      </c>
      <c r="M115" s="52" t="s">
        <v>886</v>
      </c>
      <c r="N115" s="52" t="s">
        <v>461</v>
      </c>
      <c r="O115" s="52" t="s">
        <v>469</v>
      </c>
      <c r="Q115" s="52">
        <v>941000031749578</v>
      </c>
      <c r="R115" s="52" t="s">
        <v>444</v>
      </c>
      <c r="S115" s="52" t="s">
        <v>885</v>
      </c>
      <c r="T115" s="53">
        <v>45877</v>
      </c>
      <c r="W115" s="52" t="s">
        <v>892</v>
      </c>
      <c r="X115" s="53">
        <v>45960.57916666667</v>
      </c>
      <c r="Y115" s="52">
        <v>32.1</v>
      </c>
      <c r="AA115" s="52" t="s">
        <v>469</v>
      </c>
      <c r="AB115" s="52" t="s">
        <v>3213</v>
      </c>
      <c r="AC115" s="52" t="s">
        <v>41</v>
      </c>
      <c r="AE115" s="52">
        <v>2</v>
      </c>
      <c r="AF115" s="52" t="s">
        <v>41</v>
      </c>
      <c r="AK115" s="52">
        <v>377</v>
      </c>
    </row>
    <row r="116" spans="1:37" x14ac:dyDescent="0.2">
      <c r="A116" s="52" t="s">
        <v>987</v>
      </c>
      <c r="B116" s="52" t="s">
        <v>3208</v>
      </c>
      <c r="C116" s="52">
        <v>20</v>
      </c>
      <c r="D116" s="52" t="s">
        <v>1781</v>
      </c>
      <c r="E116" s="52" t="s">
        <v>1782</v>
      </c>
      <c r="F116" s="52" t="s">
        <v>444</v>
      </c>
      <c r="G116" s="52" t="s">
        <v>510</v>
      </c>
      <c r="H116" s="52" t="s">
        <v>3212</v>
      </c>
      <c r="I116" s="52" t="s">
        <v>903</v>
      </c>
      <c r="J116" s="52" t="s">
        <v>884</v>
      </c>
      <c r="K116" s="52" t="s">
        <v>884</v>
      </c>
      <c r="L116" s="52" t="s">
        <v>937</v>
      </c>
      <c r="M116" s="52" t="s">
        <v>890</v>
      </c>
      <c r="N116" s="52" t="s">
        <v>461</v>
      </c>
      <c r="O116" s="52" t="s">
        <v>469</v>
      </c>
      <c r="Q116" s="52">
        <v>941000031749619</v>
      </c>
      <c r="R116" s="52" t="s">
        <v>444</v>
      </c>
      <c r="S116" s="52" t="s">
        <v>885</v>
      </c>
      <c r="T116" s="53">
        <v>45877</v>
      </c>
      <c r="W116" s="52" t="s">
        <v>892</v>
      </c>
      <c r="X116" s="53">
        <v>45960.57916666667</v>
      </c>
      <c r="Y116" s="52">
        <v>32.1</v>
      </c>
      <c r="AA116" s="52" t="s">
        <v>469</v>
      </c>
      <c r="AB116" s="52" t="s">
        <v>981</v>
      </c>
      <c r="AC116" s="52" t="s">
        <v>41</v>
      </c>
      <c r="AE116" s="52">
        <v>2</v>
      </c>
      <c r="AF116" s="52" t="s">
        <v>41</v>
      </c>
      <c r="AK116" s="52">
        <v>377</v>
      </c>
    </row>
    <row r="117" spans="1:37" x14ac:dyDescent="0.2">
      <c r="A117" s="52" t="s">
        <v>987</v>
      </c>
      <c r="B117" s="52" t="s">
        <v>3208</v>
      </c>
      <c r="C117" s="52">
        <v>20</v>
      </c>
      <c r="D117" s="52" t="s">
        <v>1779</v>
      </c>
      <c r="E117" s="52" t="s">
        <v>1780</v>
      </c>
      <c r="F117" s="52" t="s">
        <v>444</v>
      </c>
      <c r="G117" s="52" t="s">
        <v>510</v>
      </c>
      <c r="H117" s="52" t="s">
        <v>3212</v>
      </c>
      <c r="I117" s="52" t="s">
        <v>903</v>
      </c>
      <c r="J117" s="52" t="s">
        <v>884</v>
      </c>
      <c r="K117" s="52" t="s">
        <v>884</v>
      </c>
      <c r="L117" s="52" t="s">
        <v>937</v>
      </c>
      <c r="M117" s="52" t="s">
        <v>890</v>
      </c>
      <c r="N117" s="52" t="s">
        <v>461</v>
      </c>
      <c r="O117" s="52" t="s">
        <v>469</v>
      </c>
      <c r="Q117" s="52">
        <v>941000030972023</v>
      </c>
      <c r="R117" s="52" t="s">
        <v>444</v>
      </c>
      <c r="S117" s="52" t="s">
        <v>885</v>
      </c>
      <c r="T117" s="53">
        <v>45877</v>
      </c>
      <c r="W117" s="52" t="s">
        <v>892</v>
      </c>
      <c r="X117" s="53">
        <v>45960.57916666667</v>
      </c>
      <c r="Y117" s="52">
        <v>32.1</v>
      </c>
      <c r="AA117" s="52" t="s">
        <v>469</v>
      </c>
      <c r="AB117" s="52" t="s">
        <v>3214</v>
      </c>
      <c r="AC117" s="52" t="s">
        <v>41</v>
      </c>
      <c r="AE117" s="52">
        <v>2</v>
      </c>
      <c r="AF117" s="52" t="s">
        <v>41</v>
      </c>
      <c r="AK117" s="52">
        <v>377</v>
      </c>
    </row>
    <row r="118" spans="1:37" x14ac:dyDescent="0.2">
      <c r="A118" s="52" t="s">
        <v>987</v>
      </c>
      <c r="B118" s="52" t="s">
        <v>3208</v>
      </c>
      <c r="C118" s="52">
        <v>20</v>
      </c>
      <c r="D118" s="52" t="s">
        <v>3215</v>
      </c>
      <c r="F118" s="52" t="s">
        <v>444</v>
      </c>
      <c r="G118" s="52" t="s">
        <v>451</v>
      </c>
      <c r="H118" s="52" t="s">
        <v>3216</v>
      </c>
      <c r="I118" s="52" t="s">
        <v>917</v>
      </c>
      <c r="K118" s="52" t="s">
        <v>884</v>
      </c>
      <c r="L118" s="52" t="s">
        <v>939</v>
      </c>
      <c r="M118" s="52" t="s">
        <v>886</v>
      </c>
      <c r="N118" s="52" t="s">
        <v>749</v>
      </c>
      <c r="O118" s="52" t="s">
        <v>469</v>
      </c>
      <c r="R118" s="52" t="s">
        <v>444</v>
      </c>
      <c r="S118" s="52" t="s">
        <v>885</v>
      </c>
      <c r="T118" s="53">
        <v>44891</v>
      </c>
      <c r="U118" s="52" t="s">
        <v>950</v>
      </c>
      <c r="V118" s="53">
        <v>45992.756249999999</v>
      </c>
      <c r="W118" s="52" t="s">
        <v>884</v>
      </c>
      <c r="X118" s="53">
        <v>45987.756249999999</v>
      </c>
      <c r="Y118" s="52">
        <v>4.9000000000000004</v>
      </c>
      <c r="AA118" s="52" t="s">
        <v>469</v>
      </c>
      <c r="AC118" s="52" t="s">
        <v>41</v>
      </c>
      <c r="AE118" s="52">
        <v>1</v>
      </c>
      <c r="AF118" s="52" t="s">
        <v>41</v>
      </c>
      <c r="AK118" s="52">
        <v>377</v>
      </c>
    </row>
    <row r="119" spans="1:37" x14ac:dyDescent="0.2">
      <c r="A119" s="52" t="s">
        <v>987</v>
      </c>
      <c r="B119" s="52" t="s">
        <v>3208</v>
      </c>
      <c r="C119" s="52">
        <v>20</v>
      </c>
      <c r="D119" s="52" t="s">
        <v>3217</v>
      </c>
      <c r="F119" s="52" t="s">
        <v>444</v>
      </c>
      <c r="G119" s="52" t="s">
        <v>451</v>
      </c>
      <c r="H119" s="52" t="s">
        <v>3218</v>
      </c>
      <c r="I119" s="52" t="s">
        <v>1213</v>
      </c>
      <c r="K119" s="52" t="s">
        <v>884</v>
      </c>
      <c r="L119" s="52" t="s">
        <v>939</v>
      </c>
      <c r="M119" s="52" t="s">
        <v>886</v>
      </c>
      <c r="N119" s="52" t="s">
        <v>749</v>
      </c>
      <c r="O119" s="52" t="s">
        <v>469</v>
      </c>
      <c r="R119" s="52" t="s">
        <v>444</v>
      </c>
      <c r="S119" s="52" t="s">
        <v>885</v>
      </c>
      <c r="T119" s="53">
        <v>45945</v>
      </c>
      <c r="V119" s="53">
        <v>45992.756249999999</v>
      </c>
      <c r="W119" s="52" t="s">
        <v>884</v>
      </c>
      <c r="X119" s="53">
        <v>45987.756249999999</v>
      </c>
      <c r="Y119" s="52">
        <v>4.9000000000000004</v>
      </c>
      <c r="AA119" s="52" t="s">
        <v>469</v>
      </c>
      <c r="AC119" s="52" t="s">
        <v>41</v>
      </c>
      <c r="AE119" s="52">
        <v>2</v>
      </c>
      <c r="AF119" s="52" t="s">
        <v>41</v>
      </c>
      <c r="AK119" s="52">
        <v>377</v>
      </c>
    </row>
    <row r="120" spans="1:37" x14ac:dyDescent="0.2">
      <c r="A120" s="52" t="s">
        <v>987</v>
      </c>
      <c r="B120" s="52" t="s">
        <v>3208</v>
      </c>
      <c r="C120" s="52">
        <v>20</v>
      </c>
      <c r="D120" s="52" t="s">
        <v>3219</v>
      </c>
      <c r="F120" s="52" t="s">
        <v>444</v>
      </c>
      <c r="G120" s="52" t="s">
        <v>451</v>
      </c>
      <c r="H120" s="52" t="s">
        <v>3218</v>
      </c>
      <c r="I120" s="52" t="s">
        <v>932</v>
      </c>
      <c r="K120" s="52" t="s">
        <v>884</v>
      </c>
      <c r="L120" s="52" t="s">
        <v>939</v>
      </c>
      <c r="M120" s="52" t="s">
        <v>890</v>
      </c>
      <c r="N120" s="52" t="s">
        <v>749</v>
      </c>
      <c r="O120" s="52" t="s">
        <v>469</v>
      </c>
      <c r="R120" s="52" t="s">
        <v>444</v>
      </c>
      <c r="S120" s="52" t="s">
        <v>885</v>
      </c>
      <c r="T120" s="53">
        <v>45945</v>
      </c>
      <c r="V120" s="53">
        <v>45992.756249999999</v>
      </c>
      <c r="W120" s="52" t="s">
        <v>884</v>
      </c>
      <c r="X120" s="53">
        <v>45987.756249999999</v>
      </c>
      <c r="Y120" s="52">
        <v>4.9000000000000004</v>
      </c>
      <c r="AA120" s="52" t="s">
        <v>469</v>
      </c>
      <c r="AC120" s="52" t="s">
        <v>41</v>
      </c>
      <c r="AE120" s="52">
        <v>2</v>
      </c>
      <c r="AF120" s="52" t="s">
        <v>41</v>
      </c>
      <c r="AK120" s="52">
        <v>377</v>
      </c>
    </row>
    <row r="121" spans="1:37" x14ac:dyDescent="0.2">
      <c r="A121" s="52" t="s">
        <v>987</v>
      </c>
      <c r="B121" s="52" t="s">
        <v>3208</v>
      </c>
      <c r="C121" s="52">
        <v>20</v>
      </c>
      <c r="D121" s="52" t="s">
        <v>3220</v>
      </c>
      <c r="F121" s="52" t="s">
        <v>444</v>
      </c>
      <c r="G121" s="52" t="s">
        <v>451</v>
      </c>
      <c r="H121" s="52" t="s">
        <v>3218</v>
      </c>
      <c r="I121" s="52" t="s">
        <v>932</v>
      </c>
      <c r="K121" s="52" t="s">
        <v>884</v>
      </c>
      <c r="L121" s="52" t="s">
        <v>939</v>
      </c>
      <c r="M121" s="52" t="s">
        <v>890</v>
      </c>
      <c r="N121" s="52" t="s">
        <v>749</v>
      </c>
      <c r="O121" s="52" t="s">
        <v>469</v>
      </c>
      <c r="R121" s="52" t="s">
        <v>444</v>
      </c>
      <c r="S121" s="52" t="s">
        <v>885</v>
      </c>
      <c r="T121" s="53">
        <v>45945</v>
      </c>
      <c r="V121" s="53">
        <v>45992.756249999999</v>
      </c>
      <c r="W121" s="52" t="s">
        <v>884</v>
      </c>
      <c r="X121" s="53">
        <v>45987.756249999999</v>
      </c>
      <c r="Y121" s="52">
        <v>4.9000000000000004</v>
      </c>
      <c r="AA121" s="52" t="s">
        <v>469</v>
      </c>
      <c r="AC121" s="52" t="s">
        <v>41</v>
      </c>
      <c r="AE121" s="52">
        <v>2</v>
      </c>
      <c r="AF121" s="52" t="s">
        <v>41</v>
      </c>
      <c r="AK121" s="52">
        <v>377</v>
      </c>
    </row>
    <row r="122" spans="1:37" x14ac:dyDescent="0.2">
      <c r="A122" s="52" t="s">
        <v>987</v>
      </c>
      <c r="B122" s="52" t="s">
        <v>3208</v>
      </c>
      <c r="C122" s="52">
        <v>20</v>
      </c>
      <c r="D122" s="52" t="s">
        <v>3221</v>
      </c>
      <c r="F122" s="52" t="s">
        <v>444</v>
      </c>
      <c r="G122" s="52" t="s">
        <v>3222</v>
      </c>
      <c r="H122" s="52" t="s">
        <v>3218</v>
      </c>
      <c r="I122" s="52" t="s">
        <v>910</v>
      </c>
      <c r="K122" s="52" t="s">
        <v>884</v>
      </c>
      <c r="L122" s="52" t="s">
        <v>939</v>
      </c>
      <c r="M122" s="52" t="s">
        <v>890</v>
      </c>
      <c r="N122" s="52" t="s">
        <v>749</v>
      </c>
      <c r="O122" s="52" t="s">
        <v>469</v>
      </c>
      <c r="R122" s="52" t="s">
        <v>444</v>
      </c>
      <c r="S122" s="52" t="s">
        <v>885</v>
      </c>
      <c r="T122" s="53">
        <v>45945</v>
      </c>
      <c r="V122" s="53">
        <v>45992.756249999999</v>
      </c>
      <c r="W122" s="52" t="s">
        <v>884</v>
      </c>
      <c r="X122" s="53">
        <v>45987.756249999999</v>
      </c>
      <c r="Y122" s="52">
        <v>4.9000000000000004</v>
      </c>
      <c r="AA122" s="52" t="s">
        <v>469</v>
      </c>
      <c r="AC122" s="52" t="s">
        <v>41</v>
      </c>
      <c r="AE122" s="52">
        <v>2</v>
      </c>
      <c r="AF122" s="52" t="s">
        <v>41</v>
      </c>
      <c r="AK122" s="52">
        <v>377</v>
      </c>
    </row>
    <row r="123" spans="1:37" x14ac:dyDescent="0.2">
      <c r="A123" s="52" t="s">
        <v>987</v>
      </c>
      <c r="B123" s="52" t="s">
        <v>3208</v>
      </c>
      <c r="C123" s="52">
        <v>20</v>
      </c>
      <c r="D123" s="52" t="s">
        <v>3223</v>
      </c>
      <c r="F123" s="52" t="s">
        <v>444</v>
      </c>
      <c r="G123" s="52" t="s">
        <v>468</v>
      </c>
      <c r="H123" s="52" t="s">
        <v>3218</v>
      </c>
      <c r="I123" s="52" t="s">
        <v>932</v>
      </c>
      <c r="K123" s="52" t="s">
        <v>884</v>
      </c>
      <c r="L123" s="52" t="s">
        <v>939</v>
      </c>
      <c r="M123" s="52" t="s">
        <v>890</v>
      </c>
      <c r="N123" s="52" t="s">
        <v>749</v>
      </c>
      <c r="O123" s="52" t="s">
        <v>469</v>
      </c>
      <c r="R123" s="52" t="s">
        <v>444</v>
      </c>
      <c r="S123" s="52" t="s">
        <v>885</v>
      </c>
      <c r="T123" s="53">
        <v>45945</v>
      </c>
      <c r="V123" s="53">
        <v>45992.756249999999</v>
      </c>
      <c r="W123" s="52" t="s">
        <v>884</v>
      </c>
      <c r="X123" s="53">
        <v>45987.756249999999</v>
      </c>
      <c r="Y123" s="52">
        <v>4.9000000000000004</v>
      </c>
      <c r="AA123" s="52" t="s">
        <v>469</v>
      </c>
      <c r="AC123" s="52" t="s">
        <v>41</v>
      </c>
      <c r="AE123" s="52">
        <v>2</v>
      </c>
      <c r="AF123" s="52" t="s">
        <v>41</v>
      </c>
      <c r="AK123" s="52">
        <v>377</v>
      </c>
    </row>
    <row r="124" spans="1:37" x14ac:dyDescent="0.2">
      <c r="A124" s="52" t="s">
        <v>987</v>
      </c>
      <c r="B124" s="52" t="s">
        <v>3208</v>
      </c>
      <c r="C124" s="52">
        <v>20</v>
      </c>
      <c r="D124" s="52" t="s">
        <v>3224</v>
      </c>
      <c r="F124" s="52" t="s">
        <v>444</v>
      </c>
      <c r="G124" s="52" t="s">
        <v>451</v>
      </c>
      <c r="H124" s="52" t="s">
        <v>3218</v>
      </c>
      <c r="I124" s="52" t="s">
        <v>948</v>
      </c>
      <c r="K124" s="52" t="s">
        <v>884</v>
      </c>
      <c r="L124" s="52" t="s">
        <v>939</v>
      </c>
      <c r="M124" s="52" t="s">
        <v>886</v>
      </c>
      <c r="N124" s="52" t="s">
        <v>749</v>
      </c>
      <c r="O124" s="52" t="s">
        <v>469</v>
      </c>
      <c r="R124" s="52" t="s">
        <v>444</v>
      </c>
      <c r="S124" s="52" t="s">
        <v>885</v>
      </c>
      <c r="T124" s="53">
        <v>45945</v>
      </c>
      <c r="V124" s="53">
        <v>45992.756249999999</v>
      </c>
      <c r="W124" s="52" t="s">
        <v>884</v>
      </c>
      <c r="X124" s="53">
        <v>45987.756249999999</v>
      </c>
      <c r="Y124" s="52">
        <v>4.9000000000000004</v>
      </c>
      <c r="AA124" s="52" t="s">
        <v>469</v>
      </c>
      <c r="AC124" s="52" t="s">
        <v>41</v>
      </c>
      <c r="AE124" s="52">
        <v>2</v>
      </c>
      <c r="AF124" s="52" t="s">
        <v>41</v>
      </c>
      <c r="AK124" s="52">
        <v>377</v>
      </c>
    </row>
    <row r="125" spans="1:37" x14ac:dyDescent="0.2">
      <c r="A125" s="52" t="s">
        <v>987</v>
      </c>
      <c r="B125" s="52" t="s">
        <v>3208</v>
      </c>
      <c r="C125" s="52">
        <v>20</v>
      </c>
      <c r="D125" s="52" t="s">
        <v>3225</v>
      </c>
      <c r="E125" s="52" t="s">
        <v>3226</v>
      </c>
      <c r="F125" s="52" t="s">
        <v>444</v>
      </c>
      <c r="G125" s="52" t="s">
        <v>529</v>
      </c>
      <c r="H125" s="52" t="s">
        <v>2987</v>
      </c>
      <c r="I125" s="52" t="s">
        <v>2129</v>
      </c>
      <c r="J125" s="52" t="s">
        <v>884</v>
      </c>
      <c r="K125" s="52" t="s">
        <v>884</v>
      </c>
      <c r="L125" s="52" t="s">
        <v>887</v>
      </c>
      <c r="M125" s="52" t="s">
        <v>886</v>
      </c>
      <c r="N125" s="52" t="s">
        <v>749</v>
      </c>
      <c r="O125" s="52" t="s">
        <v>469</v>
      </c>
      <c r="P125" s="52" t="s">
        <v>456</v>
      </c>
      <c r="R125" s="52" t="s">
        <v>444</v>
      </c>
      <c r="S125" s="52" t="s">
        <v>885</v>
      </c>
      <c r="T125" s="53">
        <v>44896</v>
      </c>
      <c r="V125" s="53">
        <v>45992.729166666664</v>
      </c>
      <c r="W125" s="52" t="s">
        <v>884</v>
      </c>
      <c r="X125" s="53">
        <v>45987.729166666664</v>
      </c>
      <c r="Y125" s="52">
        <v>5</v>
      </c>
      <c r="AA125" s="52" t="s">
        <v>469</v>
      </c>
      <c r="AB125" s="52" t="s">
        <v>1218</v>
      </c>
      <c r="AC125" s="52" t="s">
        <v>41</v>
      </c>
      <c r="AE125" s="52">
        <v>1</v>
      </c>
      <c r="AF125" s="52" t="s">
        <v>41</v>
      </c>
      <c r="AK125" s="52">
        <v>377</v>
      </c>
    </row>
    <row r="126" spans="1:37" x14ac:dyDescent="0.2">
      <c r="A126" s="52" t="s">
        <v>987</v>
      </c>
      <c r="B126" s="52" t="s">
        <v>3208</v>
      </c>
      <c r="C126" s="52">
        <v>20</v>
      </c>
      <c r="D126" s="52" t="s">
        <v>3227</v>
      </c>
      <c r="E126" s="52" t="s">
        <v>3228</v>
      </c>
      <c r="F126" s="52" t="s">
        <v>444</v>
      </c>
      <c r="G126" s="52" t="s">
        <v>1444</v>
      </c>
      <c r="H126" s="52" t="s">
        <v>3229</v>
      </c>
      <c r="I126" s="52" t="s">
        <v>964</v>
      </c>
      <c r="J126" s="52" t="s">
        <v>884</v>
      </c>
      <c r="K126" s="52" t="s">
        <v>884</v>
      </c>
      <c r="L126" s="52" t="s">
        <v>887</v>
      </c>
      <c r="M126" s="52" t="s">
        <v>890</v>
      </c>
      <c r="N126" s="52" t="s">
        <v>852</v>
      </c>
      <c r="O126" s="52" t="s">
        <v>469</v>
      </c>
      <c r="P126" s="52" t="s">
        <v>511</v>
      </c>
      <c r="R126" s="52" t="s">
        <v>444</v>
      </c>
      <c r="S126" s="52" t="s">
        <v>885</v>
      </c>
      <c r="T126" s="53">
        <v>44530</v>
      </c>
      <c r="U126" s="52" t="s">
        <v>932</v>
      </c>
      <c r="V126" s="53">
        <v>45996.518055555556</v>
      </c>
      <c r="W126" s="52" t="s">
        <v>884</v>
      </c>
      <c r="X126" s="53">
        <v>45991.518055555556</v>
      </c>
      <c r="Y126" s="52">
        <v>1.2</v>
      </c>
      <c r="AA126" s="52" t="s">
        <v>469</v>
      </c>
      <c r="AB126" s="52" t="s">
        <v>936</v>
      </c>
      <c r="AC126" s="52" t="s">
        <v>41</v>
      </c>
      <c r="AE126" s="52">
        <v>1</v>
      </c>
      <c r="AF126" s="52" t="s">
        <v>41</v>
      </c>
      <c r="AK126" s="52">
        <v>377</v>
      </c>
    </row>
    <row r="127" spans="1:37" x14ac:dyDescent="0.2">
      <c r="A127" s="52" t="s">
        <v>987</v>
      </c>
      <c r="B127" s="52" t="s">
        <v>3208</v>
      </c>
      <c r="C127" s="52">
        <v>20</v>
      </c>
      <c r="D127" s="52" t="s">
        <v>3230</v>
      </c>
      <c r="F127" s="52" t="s">
        <v>444</v>
      </c>
      <c r="G127" s="52" t="s">
        <v>451</v>
      </c>
      <c r="H127" s="52" t="s">
        <v>3034</v>
      </c>
      <c r="I127" s="52" t="s">
        <v>910</v>
      </c>
      <c r="K127" s="52" t="s">
        <v>884</v>
      </c>
      <c r="L127" s="52" t="s">
        <v>887</v>
      </c>
      <c r="M127" s="52" t="s">
        <v>890</v>
      </c>
      <c r="N127" s="52" t="s">
        <v>749</v>
      </c>
      <c r="O127" s="52" t="s">
        <v>469</v>
      </c>
      <c r="R127" s="52" t="s">
        <v>444</v>
      </c>
      <c r="S127" s="52" t="s">
        <v>885</v>
      </c>
      <c r="T127" s="53">
        <v>45950</v>
      </c>
      <c r="V127" s="53">
        <v>45994.453472222223</v>
      </c>
      <c r="W127" s="52" t="s">
        <v>884</v>
      </c>
      <c r="X127" s="53">
        <v>45989.453472222223</v>
      </c>
      <c r="Y127" s="52">
        <v>3.3</v>
      </c>
      <c r="AA127" s="52" t="s">
        <v>469</v>
      </c>
      <c r="AC127" s="52" t="s">
        <v>41</v>
      </c>
      <c r="AE127" s="52">
        <v>1</v>
      </c>
      <c r="AF127" s="52" t="s">
        <v>41</v>
      </c>
      <c r="AK127" s="52">
        <v>377</v>
      </c>
    </row>
    <row r="128" spans="1:37" x14ac:dyDescent="0.2">
      <c r="A128" s="52" t="s">
        <v>987</v>
      </c>
      <c r="B128" s="52" t="s">
        <v>3208</v>
      </c>
      <c r="C128" s="52">
        <v>20</v>
      </c>
      <c r="D128" s="52" t="s">
        <v>3231</v>
      </c>
      <c r="E128" s="52" t="s">
        <v>3232</v>
      </c>
      <c r="F128" s="52" t="s">
        <v>444</v>
      </c>
      <c r="G128" s="52" t="s">
        <v>535</v>
      </c>
      <c r="H128" s="52" t="s">
        <v>2987</v>
      </c>
      <c r="I128" s="52" t="s">
        <v>3233</v>
      </c>
      <c r="K128" s="52" t="s">
        <v>884</v>
      </c>
      <c r="L128" s="52" t="s">
        <v>887</v>
      </c>
      <c r="M128" s="52" t="s">
        <v>886</v>
      </c>
      <c r="N128" s="52" t="s">
        <v>749</v>
      </c>
      <c r="O128" s="52" t="s">
        <v>469</v>
      </c>
      <c r="P128" s="52" t="s">
        <v>456</v>
      </c>
      <c r="R128" s="52" t="s">
        <v>444</v>
      </c>
      <c r="S128" s="52" t="s">
        <v>885</v>
      </c>
      <c r="T128" s="53">
        <v>44896</v>
      </c>
      <c r="U128" s="52" t="s">
        <v>969</v>
      </c>
      <c r="V128" s="53">
        <v>45994.455555555556</v>
      </c>
      <c r="W128" s="52" t="s">
        <v>884</v>
      </c>
      <c r="X128" s="53">
        <v>45989.455555555556</v>
      </c>
      <c r="Y128" s="52">
        <v>3.3</v>
      </c>
      <c r="AA128" s="52" t="s">
        <v>469</v>
      </c>
      <c r="AB128" s="52" t="s">
        <v>931</v>
      </c>
      <c r="AC128" s="52" t="s">
        <v>41</v>
      </c>
      <c r="AE128" s="52">
        <v>1</v>
      </c>
      <c r="AF128" s="52" t="s">
        <v>41</v>
      </c>
      <c r="AK128" s="52">
        <v>377</v>
      </c>
    </row>
    <row r="129" spans="1:37" x14ac:dyDescent="0.2">
      <c r="A129" s="52" t="s">
        <v>987</v>
      </c>
      <c r="B129" s="52" t="s">
        <v>3208</v>
      </c>
      <c r="C129" s="52">
        <v>20</v>
      </c>
      <c r="D129" s="52" t="s">
        <v>3234</v>
      </c>
      <c r="E129" s="52" t="s">
        <v>3235</v>
      </c>
      <c r="F129" s="52" t="s">
        <v>444</v>
      </c>
      <c r="G129" s="52" t="s">
        <v>535</v>
      </c>
      <c r="H129" s="52" t="s">
        <v>2987</v>
      </c>
      <c r="I129" s="52" t="s">
        <v>3233</v>
      </c>
      <c r="K129" s="52" t="s">
        <v>884</v>
      </c>
      <c r="L129" s="52" t="s">
        <v>887</v>
      </c>
      <c r="M129" s="52" t="s">
        <v>890</v>
      </c>
      <c r="N129" s="52" t="s">
        <v>749</v>
      </c>
      <c r="O129" s="52" t="s">
        <v>469</v>
      </c>
      <c r="P129" s="52" t="s">
        <v>456</v>
      </c>
      <c r="R129" s="52" t="s">
        <v>444</v>
      </c>
      <c r="S129" s="52" t="s">
        <v>885</v>
      </c>
      <c r="T129" s="53">
        <v>44896</v>
      </c>
      <c r="U129" s="52" t="s">
        <v>969</v>
      </c>
      <c r="V129" s="53">
        <v>45994.455555555556</v>
      </c>
      <c r="W129" s="52" t="s">
        <v>884</v>
      </c>
      <c r="X129" s="53">
        <v>45989.455555555556</v>
      </c>
      <c r="Y129" s="52">
        <v>3.3</v>
      </c>
      <c r="AA129" s="52" t="s">
        <v>469</v>
      </c>
      <c r="AB129" s="52" t="s">
        <v>925</v>
      </c>
      <c r="AC129" s="52" t="s">
        <v>41</v>
      </c>
      <c r="AE129" s="52">
        <v>1</v>
      </c>
      <c r="AF129" s="52" t="s">
        <v>41</v>
      </c>
      <c r="AK129" s="52">
        <v>377</v>
      </c>
    </row>
    <row r="130" spans="1:37" x14ac:dyDescent="0.2">
      <c r="A130" s="52" t="s">
        <v>987</v>
      </c>
      <c r="B130" s="52" t="s">
        <v>3208</v>
      </c>
      <c r="C130" s="52">
        <v>20</v>
      </c>
      <c r="D130" s="52" t="s">
        <v>3236</v>
      </c>
      <c r="E130" s="52" t="s">
        <v>3237</v>
      </c>
      <c r="F130" s="52" t="s">
        <v>444</v>
      </c>
      <c r="G130" s="52" t="s">
        <v>535</v>
      </c>
      <c r="H130" s="52" t="s">
        <v>3238</v>
      </c>
      <c r="I130" s="52" t="s">
        <v>917</v>
      </c>
      <c r="K130" s="52" t="s">
        <v>884</v>
      </c>
      <c r="L130" s="52" t="s">
        <v>922</v>
      </c>
      <c r="M130" s="52" t="s">
        <v>890</v>
      </c>
      <c r="N130" s="52" t="s">
        <v>749</v>
      </c>
      <c r="O130" s="52" t="s">
        <v>469</v>
      </c>
      <c r="P130" s="52" t="s">
        <v>511</v>
      </c>
      <c r="R130" s="52" t="s">
        <v>444</v>
      </c>
      <c r="S130" s="52" t="s">
        <v>885</v>
      </c>
      <c r="T130" s="53">
        <v>45261</v>
      </c>
      <c r="V130" s="53">
        <v>45997.597222222219</v>
      </c>
      <c r="W130" s="52" t="s">
        <v>884</v>
      </c>
      <c r="X130" s="53">
        <v>45992.597222222219</v>
      </c>
      <c r="Y130" s="52">
        <v>0.1</v>
      </c>
      <c r="AA130" s="52" t="s">
        <v>469</v>
      </c>
      <c r="AC130" s="52" t="s">
        <v>41</v>
      </c>
      <c r="AE130" s="52">
        <v>1</v>
      </c>
      <c r="AF130" s="52" t="s">
        <v>41</v>
      </c>
      <c r="AK130" s="52">
        <v>377</v>
      </c>
    </row>
    <row r="131" spans="1:37" x14ac:dyDescent="0.2">
      <c r="A131" s="52" t="s">
        <v>987</v>
      </c>
      <c r="B131" s="52" t="s">
        <v>3208</v>
      </c>
      <c r="C131" s="52">
        <v>20</v>
      </c>
      <c r="D131" s="52" t="s">
        <v>3239</v>
      </c>
      <c r="F131" s="52" t="s">
        <v>444</v>
      </c>
      <c r="G131" s="52" t="s">
        <v>468</v>
      </c>
      <c r="H131" s="52" t="s">
        <v>913</v>
      </c>
      <c r="I131" s="52" t="s">
        <v>3240</v>
      </c>
      <c r="K131" s="52" t="s">
        <v>884</v>
      </c>
      <c r="L131" s="52" t="s">
        <v>887</v>
      </c>
      <c r="M131" s="52" t="s">
        <v>886</v>
      </c>
      <c r="N131" s="52" t="s">
        <v>749</v>
      </c>
      <c r="O131" s="52" t="s">
        <v>469</v>
      </c>
      <c r="R131" s="52" t="s">
        <v>444</v>
      </c>
      <c r="S131" s="52" t="s">
        <v>885</v>
      </c>
      <c r="V131" s="53">
        <v>45997.667361111111</v>
      </c>
      <c r="W131" s="52" t="s">
        <v>884</v>
      </c>
      <c r="X131" s="53">
        <v>45992.667361111111</v>
      </c>
      <c r="Y131" s="52">
        <v>0</v>
      </c>
      <c r="AA131" s="52" t="s">
        <v>469</v>
      </c>
      <c r="AC131" s="52" t="s">
        <v>41</v>
      </c>
      <c r="AE131" s="52">
        <v>1</v>
      </c>
      <c r="AF131" s="52" t="s">
        <v>41</v>
      </c>
      <c r="AK131" s="52">
        <v>377</v>
      </c>
    </row>
    <row r="132" spans="1:37" x14ac:dyDescent="0.2">
      <c r="A132" s="52" t="s">
        <v>987</v>
      </c>
      <c r="B132" s="52" t="s">
        <v>3208</v>
      </c>
      <c r="C132" s="52">
        <v>20</v>
      </c>
      <c r="D132" s="52" t="s">
        <v>3241</v>
      </c>
      <c r="F132" s="52" t="s">
        <v>444</v>
      </c>
      <c r="G132" s="52" t="s">
        <v>489</v>
      </c>
      <c r="H132" s="52" t="s">
        <v>3242</v>
      </c>
      <c r="I132" s="52" t="s">
        <v>894</v>
      </c>
      <c r="K132" s="52" t="s">
        <v>884</v>
      </c>
      <c r="L132" s="52" t="s">
        <v>887</v>
      </c>
      <c r="M132" s="52" t="s">
        <v>890</v>
      </c>
      <c r="N132" s="52" t="s">
        <v>749</v>
      </c>
      <c r="O132" s="52" t="s">
        <v>469</v>
      </c>
      <c r="R132" s="52" t="s">
        <v>444</v>
      </c>
      <c r="S132" s="52" t="s">
        <v>885</v>
      </c>
      <c r="T132" s="53">
        <v>43800</v>
      </c>
      <c r="V132" s="53">
        <v>45997.669444444444</v>
      </c>
      <c r="W132" s="52" t="s">
        <v>884</v>
      </c>
      <c r="X132" s="53">
        <v>45992.669444444444</v>
      </c>
      <c r="Y132" s="52">
        <v>0</v>
      </c>
      <c r="AA132" s="52" t="s">
        <v>469</v>
      </c>
      <c r="AC132" s="52" t="s">
        <v>41</v>
      </c>
      <c r="AE132" s="52">
        <v>1</v>
      </c>
      <c r="AF132" s="52" t="s">
        <v>41</v>
      </c>
      <c r="AK132" s="52">
        <v>377</v>
      </c>
    </row>
    <row r="133" spans="1:37" x14ac:dyDescent="0.2">
      <c r="A133" s="52" t="s">
        <v>987</v>
      </c>
      <c r="B133" s="52" t="s">
        <v>3208</v>
      </c>
      <c r="C133" s="52">
        <v>20</v>
      </c>
      <c r="D133" s="52" t="s">
        <v>3243</v>
      </c>
      <c r="F133" s="52" t="s">
        <v>444</v>
      </c>
      <c r="G133" s="52" t="s">
        <v>489</v>
      </c>
      <c r="H133" s="52" t="s">
        <v>3238</v>
      </c>
      <c r="I133" s="52" t="s">
        <v>1220</v>
      </c>
      <c r="K133" s="52" t="s">
        <v>884</v>
      </c>
      <c r="L133" s="52" t="s">
        <v>887</v>
      </c>
      <c r="M133" s="52" t="s">
        <v>890</v>
      </c>
      <c r="N133" s="52" t="s">
        <v>749</v>
      </c>
      <c r="O133" s="52" t="s">
        <v>469</v>
      </c>
      <c r="R133" s="52" t="s">
        <v>444</v>
      </c>
      <c r="S133" s="52" t="s">
        <v>885</v>
      </c>
      <c r="T133" s="53">
        <v>45261</v>
      </c>
      <c r="U133" s="52" t="s">
        <v>3244</v>
      </c>
      <c r="V133" s="53">
        <v>45997.669444444444</v>
      </c>
      <c r="W133" s="52" t="s">
        <v>884</v>
      </c>
      <c r="X133" s="53">
        <v>45992.669444444444</v>
      </c>
      <c r="Y133" s="52">
        <v>0</v>
      </c>
      <c r="AA133" s="52" t="s">
        <v>469</v>
      </c>
      <c r="AC133" s="52" t="s">
        <v>41</v>
      </c>
      <c r="AE133" s="52">
        <v>1</v>
      </c>
      <c r="AF133" s="52" t="s">
        <v>41</v>
      </c>
      <c r="AK133" s="52">
        <v>377</v>
      </c>
    </row>
    <row r="134" spans="1:37" x14ac:dyDescent="0.2">
      <c r="A134" s="52" t="s">
        <v>2060</v>
      </c>
      <c r="B134" s="52" t="s">
        <v>2976</v>
      </c>
      <c r="C134" s="52">
        <v>8</v>
      </c>
      <c r="D134" s="52" t="s">
        <v>838</v>
      </c>
      <c r="E134" s="52" t="s">
        <v>1171</v>
      </c>
      <c r="F134" s="52" t="s">
        <v>443</v>
      </c>
      <c r="G134" s="52" t="s">
        <v>34</v>
      </c>
      <c r="H134" s="52" t="s">
        <v>2805</v>
      </c>
      <c r="I134" s="52" t="s">
        <v>964</v>
      </c>
      <c r="K134" s="52" t="s">
        <v>892</v>
      </c>
      <c r="L134" s="52" t="s">
        <v>902</v>
      </c>
      <c r="M134" s="52" t="s">
        <v>890</v>
      </c>
      <c r="N134" s="52" t="s">
        <v>461</v>
      </c>
      <c r="O134" s="52" t="s">
        <v>671</v>
      </c>
      <c r="Q134" s="52">
        <v>941000031784874</v>
      </c>
      <c r="R134" s="52" t="s">
        <v>443</v>
      </c>
      <c r="S134" s="52" t="s">
        <v>885</v>
      </c>
      <c r="T134" s="53">
        <v>45144</v>
      </c>
      <c r="U134" s="52" t="s">
        <v>2004</v>
      </c>
      <c r="W134" s="52" t="s">
        <v>892</v>
      </c>
      <c r="X134" s="53">
        <v>45922.666666666664</v>
      </c>
      <c r="Y134" s="52">
        <v>70</v>
      </c>
      <c r="AA134" s="52" t="s">
        <v>1172</v>
      </c>
      <c r="AB134" s="52" t="s">
        <v>2061</v>
      </c>
      <c r="AC134" s="52" t="s">
        <v>41</v>
      </c>
      <c r="AE134" s="52">
        <v>1</v>
      </c>
      <c r="AF134" s="52" t="s">
        <v>41</v>
      </c>
      <c r="AK134" s="52">
        <v>377</v>
      </c>
    </row>
    <row r="135" spans="1:37" x14ac:dyDescent="0.2">
      <c r="A135" s="52" t="s">
        <v>2060</v>
      </c>
      <c r="B135" s="52" t="s">
        <v>2976</v>
      </c>
      <c r="C135" s="52">
        <v>8</v>
      </c>
      <c r="D135" s="52" t="s">
        <v>2395</v>
      </c>
      <c r="E135" s="52" t="s">
        <v>3245</v>
      </c>
      <c r="F135" s="52" t="s">
        <v>443</v>
      </c>
      <c r="G135" s="52" t="s">
        <v>34</v>
      </c>
      <c r="H135" s="52" t="s">
        <v>3065</v>
      </c>
      <c r="I135" s="52" t="s">
        <v>935</v>
      </c>
      <c r="K135" s="52" t="s">
        <v>884</v>
      </c>
      <c r="L135" s="52" t="s">
        <v>922</v>
      </c>
      <c r="M135" s="52" t="s">
        <v>886</v>
      </c>
      <c r="N135" s="52" t="s">
        <v>494</v>
      </c>
      <c r="O135" s="52" t="s">
        <v>671</v>
      </c>
      <c r="R135" s="52" t="s">
        <v>443</v>
      </c>
      <c r="S135" s="52" t="s">
        <v>885</v>
      </c>
      <c r="T135" s="53">
        <v>45236</v>
      </c>
      <c r="U135" s="52" t="s">
        <v>2013</v>
      </c>
      <c r="V135" s="53">
        <v>45972.520138888889</v>
      </c>
      <c r="W135" s="52" t="s">
        <v>884</v>
      </c>
      <c r="X135" s="53">
        <v>45967.520138888889</v>
      </c>
      <c r="Y135" s="52">
        <v>25.2</v>
      </c>
      <c r="AA135" s="52" t="s">
        <v>700</v>
      </c>
      <c r="AC135" s="52" t="s">
        <v>41</v>
      </c>
      <c r="AE135" s="52">
        <v>1</v>
      </c>
      <c r="AF135" s="52" t="s">
        <v>41</v>
      </c>
      <c r="AK135" s="52">
        <v>377</v>
      </c>
    </row>
    <row r="136" spans="1:37" x14ac:dyDescent="0.2">
      <c r="A136" s="52" t="s">
        <v>2060</v>
      </c>
      <c r="B136" s="52" t="s">
        <v>2976</v>
      </c>
      <c r="C136" s="52">
        <v>8</v>
      </c>
      <c r="D136" s="52" t="s">
        <v>2437</v>
      </c>
      <c r="E136" s="52" t="s">
        <v>3245</v>
      </c>
      <c r="F136" s="52" t="s">
        <v>443</v>
      </c>
      <c r="G136" s="52" t="s">
        <v>34</v>
      </c>
      <c r="H136" s="52" t="s">
        <v>2999</v>
      </c>
      <c r="I136" s="52" t="s">
        <v>894</v>
      </c>
      <c r="K136" s="52" t="s">
        <v>884</v>
      </c>
      <c r="L136" s="52" t="s">
        <v>922</v>
      </c>
      <c r="M136" s="52" t="s">
        <v>911</v>
      </c>
      <c r="N136" s="52" t="s">
        <v>494</v>
      </c>
      <c r="O136" s="52" t="s">
        <v>671</v>
      </c>
      <c r="R136" s="52" t="s">
        <v>443</v>
      </c>
      <c r="S136" s="52" t="s">
        <v>885</v>
      </c>
      <c r="T136" s="53">
        <v>45600</v>
      </c>
      <c r="V136" s="53">
        <v>45970.554166666669</v>
      </c>
      <c r="W136" s="52" t="s">
        <v>884</v>
      </c>
      <c r="X136" s="53">
        <v>45965.554166666669</v>
      </c>
      <c r="Y136" s="52">
        <v>27.1</v>
      </c>
      <c r="AA136" s="52" t="s">
        <v>2438</v>
      </c>
      <c r="AC136" s="52" t="s">
        <v>41</v>
      </c>
      <c r="AE136" s="52">
        <v>1</v>
      </c>
      <c r="AF136" s="52" t="s">
        <v>41</v>
      </c>
      <c r="AK136" s="52">
        <v>377</v>
      </c>
    </row>
    <row r="137" spans="1:37" x14ac:dyDescent="0.2">
      <c r="A137" s="52" t="s">
        <v>2060</v>
      </c>
      <c r="B137" s="52" t="s">
        <v>2976</v>
      </c>
      <c r="C137" s="52">
        <v>8</v>
      </c>
      <c r="D137" s="52" t="s">
        <v>1817</v>
      </c>
      <c r="E137" s="52" t="s">
        <v>2506</v>
      </c>
      <c r="F137" s="52" t="s">
        <v>443</v>
      </c>
      <c r="G137" s="52" t="s">
        <v>34</v>
      </c>
      <c r="H137" s="52" t="s">
        <v>3246</v>
      </c>
      <c r="I137" s="52" t="s">
        <v>2077</v>
      </c>
      <c r="K137" s="52" t="s">
        <v>884</v>
      </c>
      <c r="L137" s="52" t="s">
        <v>922</v>
      </c>
      <c r="M137" s="52" t="s">
        <v>886</v>
      </c>
      <c r="N137" s="52" t="s">
        <v>494</v>
      </c>
      <c r="O137" s="52" t="s">
        <v>671</v>
      </c>
      <c r="R137" s="52" t="s">
        <v>443</v>
      </c>
      <c r="S137" s="52" t="s">
        <v>885</v>
      </c>
      <c r="T137" s="53">
        <v>45711</v>
      </c>
      <c r="V137" s="53">
        <v>45958.537499999999</v>
      </c>
      <c r="W137" s="52" t="s">
        <v>884</v>
      </c>
      <c r="X137" s="53">
        <v>45953.537499999999</v>
      </c>
      <c r="Y137" s="52">
        <v>39.200000000000003</v>
      </c>
      <c r="AA137" s="52" t="s">
        <v>2508</v>
      </c>
      <c r="AC137" s="52" t="s">
        <v>41</v>
      </c>
      <c r="AE137" s="52">
        <v>1</v>
      </c>
      <c r="AF137" s="52" t="s">
        <v>41</v>
      </c>
      <c r="AK137" s="52">
        <v>377</v>
      </c>
    </row>
    <row r="138" spans="1:37" x14ac:dyDescent="0.2">
      <c r="A138" s="52" t="s">
        <v>2060</v>
      </c>
      <c r="B138" s="52" t="s">
        <v>2976</v>
      </c>
      <c r="C138" s="52">
        <v>8</v>
      </c>
      <c r="D138" s="52" t="s">
        <v>1820</v>
      </c>
      <c r="E138" s="52" t="s">
        <v>1821</v>
      </c>
      <c r="F138" s="52" t="s">
        <v>443</v>
      </c>
      <c r="G138" s="52" t="s">
        <v>34</v>
      </c>
      <c r="H138" s="52" t="s">
        <v>3247</v>
      </c>
      <c r="I138" s="52" t="s">
        <v>2019</v>
      </c>
      <c r="K138" s="52" t="s">
        <v>884</v>
      </c>
      <c r="L138" s="52" t="s">
        <v>922</v>
      </c>
      <c r="M138" s="52" t="s">
        <v>886</v>
      </c>
      <c r="N138" s="52" t="s">
        <v>470</v>
      </c>
      <c r="O138" s="52" t="s">
        <v>671</v>
      </c>
      <c r="R138" s="52" t="s">
        <v>443</v>
      </c>
      <c r="S138" s="52" t="s">
        <v>885</v>
      </c>
      <c r="T138" s="53">
        <v>45222</v>
      </c>
      <c r="V138" s="53">
        <v>45958.52847222222</v>
      </c>
      <c r="W138" s="52" t="s">
        <v>892</v>
      </c>
      <c r="X138" s="53">
        <v>45953.52847222222</v>
      </c>
      <c r="Y138" s="52">
        <v>39.200000000000003</v>
      </c>
      <c r="AA138" s="52" t="s">
        <v>1194</v>
      </c>
      <c r="AC138" s="52" t="s">
        <v>41</v>
      </c>
      <c r="AE138" s="52">
        <v>1</v>
      </c>
      <c r="AF138" s="52" t="s">
        <v>41</v>
      </c>
      <c r="AK138" s="52">
        <v>377</v>
      </c>
    </row>
    <row r="139" spans="1:37" x14ac:dyDescent="0.2">
      <c r="A139" s="52" t="s">
        <v>2060</v>
      </c>
      <c r="B139" s="52" t="s">
        <v>2976</v>
      </c>
      <c r="C139" s="52">
        <v>8</v>
      </c>
      <c r="D139" s="52" t="s">
        <v>1818</v>
      </c>
      <c r="E139" s="52" t="s">
        <v>1819</v>
      </c>
      <c r="F139" s="52" t="s">
        <v>443</v>
      </c>
      <c r="G139" s="52" t="s">
        <v>34</v>
      </c>
      <c r="H139" s="52" t="s">
        <v>3248</v>
      </c>
      <c r="I139" s="52" t="s">
        <v>2039</v>
      </c>
      <c r="K139" s="52" t="s">
        <v>884</v>
      </c>
      <c r="L139" s="52" t="s">
        <v>922</v>
      </c>
      <c r="M139" s="52" t="s">
        <v>890</v>
      </c>
      <c r="N139" s="52" t="s">
        <v>470</v>
      </c>
      <c r="O139" s="52" t="s">
        <v>671</v>
      </c>
      <c r="R139" s="52" t="s">
        <v>443</v>
      </c>
      <c r="S139" s="52" t="s">
        <v>885</v>
      </c>
      <c r="T139" s="53">
        <v>44865</v>
      </c>
      <c r="V139" s="53">
        <v>45958.52847222222</v>
      </c>
      <c r="W139" s="52" t="s">
        <v>892</v>
      </c>
      <c r="X139" s="53">
        <v>45953.52847222222</v>
      </c>
      <c r="Y139" s="52">
        <v>39.200000000000003</v>
      </c>
      <c r="AA139" s="52" t="s">
        <v>1194</v>
      </c>
      <c r="AB139" s="52" t="s">
        <v>2149</v>
      </c>
      <c r="AC139" s="52" t="s">
        <v>41</v>
      </c>
      <c r="AE139" s="52">
        <v>1</v>
      </c>
      <c r="AF139" s="52" t="s">
        <v>41</v>
      </c>
      <c r="AK139" s="52">
        <v>377</v>
      </c>
    </row>
    <row r="140" spans="1:37" x14ac:dyDescent="0.2">
      <c r="A140" s="52" t="s">
        <v>2060</v>
      </c>
      <c r="B140" s="52" t="s">
        <v>2976</v>
      </c>
      <c r="C140" s="52">
        <v>8</v>
      </c>
      <c r="D140" s="52" t="s">
        <v>3249</v>
      </c>
      <c r="F140" s="52" t="s">
        <v>443</v>
      </c>
      <c r="G140" s="52" t="s">
        <v>34</v>
      </c>
      <c r="H140" s="52" t="s">
        <v>3250</v>
      </c>
      <c r="I140" s="52" t="s">
        <v>897</v>
      </c>
      <c r="K140" s="52" t="s">
        <v>884</v>
      </c>
      <c r="L140" s="52" t="s">
        <v>922</v>
      </c>
      <c r="M140" s="52" t="s">
        <v>886</v>
      </c>
      <c r="N140" s="52" t="s">
        <v>494</v>
      </c>
      <c r="O140" s="52" t="s">
        <v>671</v>
      </c>
      <c r="R140" s="52" t="s">
        <v>443</v>
      </c>
      <c r="S140" s="52" t="s">
        <v>885</v>
      </c>
      <c r="T140" s="53">
        <v>45249</v>
      </c>
      <c r="V140" s="53">
        <v>45985.628472222219</v>
      </c>
      <c r="W140" s="52" t="s">
        <v>884</v>
      </c>
      <c r="X140" s="53">
        <v>45980.628472222219</v>
      </c>
      <c r="Y140" s="52">
        <v>12</v>
      </c>
      <c r="AA140" s="52" t="s">
        <v>1169</v>
      </c>
      <c r="AC140" s="52" t="s">
        <v>41</v>
      </c>
      <c r="AE140" s="52">
        <v>0</v>
      </c>
      <c r="AF140" s="52" t="s">
        <v>41</v>
      </c>
      <c r="AK140" s="52">
        <v>377</v>
      </c>
    </row>
    <row r="141" spans="1:37" x14ac:dyDescent="0.2">
      <c r="A141" s="52" t="s">
        <v>2060</v>
      </c>
      <c r="B141" s="52" t="s">
        <v>2976</v>
      </c>
      <c r="C141" s="52">
        <v>8</v>
      </c>
      <c r="D141" s="52" t="s">
        <v>1845</v>
      </c>
      <c r="E141" s="52" t="s">
        <v>2543</v>
      </c>
      <c r="F141" s="52" t="s">
        <v>443</v>
      </c>
      <c r="G141" s="52" t="s">
        <v>34</v>
      </c>
      <c r="H141" s="52" t="s">
        <v>3251</v>
      </c>
      <c r="I141" s="52" t="s">
        <v>2065</v>
      </c>
      <c r="K141" s="52" t="s">
        <v>892</v>
      </c>
      <c r="L141" s="52" t="s">
        <v>922</v>
      </c>
      <c r="M141" s="52" t="s">
        <v>886</v>
      </c>
      <c r="N141" s="52" t="s">
        <v>470</v>
      </c>
      <c r="O141" s="52" t="s">
        <v>671</v>
      </c>
      <c r="R141" s="52" t="s">
        <v>443</v>
      </c>
      <c r="S141" s="52" t="s">
        <v>885</v>
      </c>
      <c r="T141" s="53">
        <v>45586</v>
      </c>
      <c r="V141" s="53">
        <v>45956.646527777775</v>
      </c>
      <c r="W141" s="52" t="s">
        <v>892</v>
      </c>
      <c r="X141" s="53">
        <v>45951.646527777775</v>
      </c>
      <c r="Y141" s="52">
        <v>41</v>
      </c>
      <c r="AA141" s="52" t="s">
        <v>2544</v>
      </c>
      <c r="AB141" s="52" t="s">
        <v>2058</v>
      </c>
      <c r="AC141" s="52" t="s">
        <v>41</v>
      </c>
      <c r="AE141" s="52">
        <v>1</v>
      </c>
      <c r="AF141" s="52" t="s">
        <v>41</v>
      </c>
      <c r="AK141" s="52">
        <v>377</v>
      </c>
    </row>
    <row r="142" spans="1:37" x14ac:dyDescent="0.2">
      <c r="A142" s="52" t="s">
        <v>967</v>
      </c>
      <c r="B142" s="52" t="s">
        <v>3252</v>
      </c>
      <c r="C142" s="52">
        <v>121</v>
      </c>
      <c r="D142" s="52" t="s">
        <v>43</v>
      </c>
      <c r="E142" s="52" t="s">
        <v>485</v>
      </c>
      <c r="F142" s="52" t="s">
        <v>444</v>
      </c>
      <c r="G142" s="52" t="s">
        <v>468</v>
      </c>
      <c r="H142" s="52" t="s">
        <v>2429</v>
      </c>
      <c r="I142" s="52" t="s">
        <v>985</v>
      </c>
      <c r="J142" s="52" t="s">
        <v>884</v>
      </c>
      <c r="K142" s="52" t="s">
        <v>884</v>
      </c>
      <c r="L142" s="52" t="s">
        <v>887</v>
      </c>
      <c r="M142" s="52" t="s">
        <v>890</v>
      </c>
      <c r="N142" s="52" t="s">
        <v>461</v>
      </c>
      <c r="O142" s="52" t="s">
        <v>446</v>
      </c>
      <c r="P142" s="52" t="s">
        <v>481</v>
      </c>
      <c r="Q142" s="52">
        <v>941000028853270</v>
      </c>
      <c r="R142" s="52" t="s">
        <v>444</v>
      </c>
      <c r="S142" s="52" t="s">
        <v>885</v>
      </c>
      <c r="T142" s="53">
        <v>44702</v>
      </c>
      <c r="V142" s="53">
        <v>45369.333333333336</v>
      </c>
      <c r="W142" s="52" t="s">
        <v>892</v>
      </c>
      <c r="X142" s="53">
        <v>45364.333333333336</v>
      </c>
      <c r="Y142" s="52">
        <v>628.29999999999995</v>
      </c>
      <c r="AA142" s="52" t="s">
        <v>482</v>
      </c>
      <c r="AB142" s="52" t="s">
        <v>936</v>
      </c>
      <c r="AC142" s="52" t="s">
        <v>41</v>
      </c>
      <c r="AE142" s="52">
        <v>3</v>
      </c>
      <c r="AF142" s="52" t="s">
        <v>41</v>
      </c>
      <c r="AK142" s="52">
        <v>377</v>
      </c>
    </row>
    <row r="143" spans="1:37" x14ac:dyDescent="0.2">
      <c r="A143" s="52" t="s">
        <v>967</v>
      </c>
      <c r="B143" s="52" t="s">
        <v>3252</v>
      </c>
      <c r="C143" s="52">
        <v>121</v>
      </c>
      <c r="D143" s="52" t="s">
        <v>51</v>
      </c>
      <c r="E143" s="52" t="s">
        <v>1952</v>
      </c>
      <c r="F143" s="52" t="s">
        <v>444</v>
      </c>
      <c r="G143" s="52" t="s">
        <v>451</v>
      </c>
      <c r="H143" s="52" t="s">
        <v>2935</v>
      </c>
      <c r="I143" s="52" t="s">
        <v>951</v>
      </c>
      <c r="J143" s="52" t="s">
        <v>884</v>
      </c>
      <c r="K143" s="52" t="s">
        <v>892</v>
      </c>
      <c r="L143" s="52" t="s">
        <v>887</v>
      </c>
      <c r="M143" s="52" t="s">
        <v>890</v>
      </c>
      <c r="N143" s="52" t="s">
        <v>461</v>
      </c>
      <c r="O143" s="52" t="s">
        <v>446</v>
      </c>
      <c r="P143" s="52" t="s">
        <v>629</v>
      </c>
      <c r="Q143" s="52">
        <v>982091074516862</v>
      </c>
      <c r="R143" s="52" t="s">
        <v>444</v>
      </c>
      <c r="S143" s="52" t="s">
        <v>885</v>
      </c>
      <c r="T143" s="53">
        <v>44708</v>
      </c>
      <c r="U143" s="52" t="s">
        <v>950</v>
      </c>
      <c r="V143" s="53">
        <v>45860.586805555555</v>
      </c>
      <c r="W143" s="52" t="s">
        <v>892</v>
      </c>
      <c r="X143" s="53">
        <v>45855.586805555555</v>
      </c>
      <c r="Y143" s="52">
        <v>137.1</v>
      </c>
      <c r="AA143" s="52" t="s">
        <v>482</v>
      </c>
      <c r="AB143" s="52" t="s">
        <v>2066</v>
      </c>
      <c r="AC143" s="52" t="s">
        <v>41</v>
      </c>
      <c r="AE143" s="52">
        <v>3</v>
      </c>
      <c r="AF143" s="52" t="s">
        <v>41</v>
      </c>
      <c r="AK143" s="52">
        <v>377</v>
      </c>
    </row>
    <row r="144" spans="1:37" x14ac:dyDescent="0.2">
      <c r="A144" s="52" t="s">
        <v>967</v>
      </c>
      <c r="B144" s="52" t="s">
        <v>3252</v>
      </c>
      <c r="C144" s="52">
        <v>121</v>
      </c>
      <c r="D144" s="52" t="s">
        <v>505</v>
      </c>
      <c r="E144" s="52" t="s">
        <v>2929</v>
      </c>
      <c r="F144" s="52" t="s">
        <v>443</v>
      </c>
      <c r="G144" s="52" t="s">
        <v>34</v>
      </c>
      <c r="H144" s="52" t="s">
        <v>3253</v>
      </c>
      <c r="I144" s="52" t="s">
        <v>2039</v>
      </c>
      <c r="J144" s="52" t="s">
        <v>884</v>
      </c>
      <c r="K144" s="52" t="s">
        <v>884</v>
      </c>
      <c r="L144" s="52" t="s">
        <v>922</v>
      </c>
      <c r="M144" s="52" t="s">
        <v>886</v>
      </c>
      <c r="N144" s="52" t="s">
        <v>461</v>
      </c>
      <c r="O144" s="52" t="s">
        <v>446</v>
      </c>
      <c r="Q144" s="52">
        <v>941000031683466</v>
      </c>
      <c r="R144" s="52" t="s">
        <v>443</v>
      </c>
      <c r="S144" s="52" t="s">
        <v>885</v>
      </c>
      <c r="T144" s="53">
        <v>45476</v>
      </c>
      <c r="V144" s="53">
        <v>45509.534722222219</v>
      </c>
      <c r="W144" s="52" t="s">
        <v>892</v>
      </c>
      <c r="X144" s="53">
        <v>45504.534722222219</v>
      </c>
      <c r="Y144" s="52">
        <v>488.2</v>
      </c>
      <c r="AA144" s="52" t="s">
        <v>482</v>
      </c>
      <c r="AB144" s="52" t="s">
        <v>2067</v>
      </c>
      <c r="AC144" s="52" t="s">
        <v>41</v>
      </c>
      <c r="AE144" s="52">
        <v>1</v>
      </c>
      <c r="AF144" s="52" t="s">
        <v>41</v>
      </c>
      <c r="AK144" s="52">
        <v>377</v>
      </c>
    </row>
    <row r="145" spans="1:37" x14ac:dyDescent="0.2">
      <c r="A145" s="52" t="s">
        <v>967</v>
      </c>
      <c r="B145" s="52" t="s">
        <v>3252</v>
      </c>
      <c r="C145" s="52">
        <v>121</v>
      </c>
      <c r="D145" s="52" t="s">
        <v>57</v>
      </c>
      <c r="E145" s="52" t="s">
        <v>507</v>
      </c>
      <c r="F145" s="52" t="s">
        <v>444</v>
      </c>
      <c r="G145" s="52" t="s">
        <v>451</v>
      </c>
      <c r="H145" s="52" t="s">
        <v>3254</v>
      </c>
      <c r="I145" s="52" t="s">
        <v>917</v>
      </c>
      <c r="J145" s="52" t="s">
        <v>884</v>
      </c>
      <c r="K145" s="52" t="s">
        <v>884</v>
      </c>
      <c r="L145" s="52" t="s">
        <v>887</v>
      </c>
      <c r="M145" s="52" t="s">
        <v>890</v>
      </c>
      <c r="N145" s="52" t="s">
        <v>461</v>
      </c>
      <c r="O145" s="52" t="s">
        <v>446</v>
      </c>
      <c r="P145" s="52" t="s">
        <v>456</v>
      </c>
      <c r="Q145" s="52">
        <v>941000029787399</v>
      </c>
      <c r="R145" s="52" t="s">
        <v>444</v>
      </c>
      <c r="S145" s="52" t="s">
        <v>885</v>
      </c>
      <c r="T145" s="53">
        <v>44442</v>
      </c>
      <c r="V145" s="53">
        <v>45539.418749999997</v>
      </c>
      <c r="W145" s="52" t="s">
        <v>892</v>
      </c>
      <c r="X145" s="53">
        <v>45534.418749999997</v>
      </c>
      <c r="Y145" s="52">
        <v>458.3</v>
      </c>
      <c r="AA145" s="52" t="s">
        <v>482</v>
      </c>
      <c r="AB145" s="52" t="s">
        <v>960</v>
      </c>
      <c r="AC145" s="52" t="s">
        <v>41</v>
      </c>
      <c r="AE145" s="52">
        <v>3</v>
      </c>
      <c r="AF145" s="52" t="s">
        <v>41</v>
      </c>
      <c r="AK145" s="52">
        <v>377</v>
      </c>
    </row>
    <row r="146" spans="1:37" x14ac:dyDescent="0.2">
      <c r="A146" s="52" t="s">
        <v>967</v>
      </c>
      <c r="B146" s="52" t="s">
        <v>3252</v>
      </c>
      <c r="C146" s="52">
        <v>121</v>
      </c>
      <c r="D146" s="52" t="s">
        <v>70</v>
      </c>
      <c r="E146" s="52" t="s">
        <v>1948</v>
      </c>
      <c r="F146" s="52" t="s">
        <v>444</v>
      </c>
      <c r="G146" s="52" t="s">
        <v>72</v>
      </c>
      <c r="H146" s="52" t="s">
        <v>3255</v>
      </c>
      <c r="I146" s="52" t="s">
        <v>907</v>
      </c>
      <c r="J146" s="52" t="s">
        <v>884</v>
      </c>
      <c r="K146" s="52" t="s">
        <v>884</v>
      </c>
      <c r="L146" s="52" t="s">
        <v>887</v>
      </c>
      <c r="M146" s="52" t="s">
        <v>890</v>
      </c>
      <c r="N146" s="52" t="s">
        <v>461</v>
      </c>
      <c r="O146" s="52" t="s">
        <v>446</v>
      </c>
      <c r="P146" s="52" t="s">
        <v>511</v>
      </c>
      <c r="Q146" s="52">
        <v>941000031749603</v>
      </c>
      <c r="R146" s="52" t="s">
        <v>444</v>
      </c>
      <c r="S146" s="52" t="s">
        <v>885</v>
      </c>
      <c r="T146" s="53">
        <v>44128</v>
      </c>
      <c r="V146" s="53">
        <v>45593.788194444445</v>
      </c>
      <c r="W146" s="52" t="s">
        <v>892</v>
      </c>
      <c r="X146" s="53">
        <v>45588.788194444445</v>
      </c>
      <c r="Y146" s="52">
        <v>403.9</v>
      </c>
      <c r="AA146" s="52" t="s">
        <v>482</v>
      </c>
      <c r="AB146" s="52" t="s">
        <v>955</v>
      </c>
      <c r="AC146" s="52" t="s">
        <v>41</v>
      </c>
      <c r="AE146" s="52">
        <v>3</v>
      </c>
      <c r="AF146" s="52" t="s">
        <v>41</v>
      </c>
      <c r="AK146" s="52">
        <v>377</v>
      </c>
    </row>
    <row r="147" spans="1:37" x14ac:dyDescent="0.2">
      <c r="A147" s="52" t="s">
        <v>967</v>
      </c>
      <c r="B147" s="52" t="s">
        <v>3252</v>
      </c>
      <c r="C147" s="52">
        <v>121</v>
      </c>
      <c r="D147" s="52" t="s">
        <v>78</v>
      </c>
      <c r="E147" s="52" t="s">
        <v>516</v>
      </c>
      <c r="F147" s="52" t="s">
        <v>444</v>
      </c>
      <c r="G147" s="52" t="s">
        <v>451</v>
      </c>
      <c r="H147" s="52" t="s">
        <v>3256</v>
      </c>
      <c r="I147" s="52" t="s">
        <v>903</v>
      </c>
      <c r="J147" s="52" t="s">
        <v>884</v>
      </c>
      <c r="K147" s="52" t="s">
        <v>884</v>
      </c>
      <c r="L147" s="52" t="s">
        <v>887</v>
      </c>
      <c r="M147" s="52" t="s">
        <v>890</v>
      </c>
      <c r="N147" s="52" t="s">
        <v>461</v>
      </c>
      <c r="O147" s="52" t="s">
        <v>446</v>
      </c>
      <c r="P147" s="52" t="s">
        <v>514</v>
      </c>
      <c r="Q147" s="52">
        <v>982091074517107</v>
      </c>
      <c r="R147" s="52" t="s">
        <v>444</v>
      </c>
      <c r="S147" s="52" t="s">
        <v>885</v>
      </c>
      <c r="T147" s="53">
        <v>43807</v>
      </c>
      <c r="U147" s="52" t="s">
        <v>950</v>
      </c>
      <c r="V147" s="53">
        <v>45623.710416666669</v>
      </c>
      <c r="W147" s="52" t="s">
        <v>892</v>
      </c>
      <c r="X147" s="53">
        <v>45618.710416666669</v>
      </c>
      <c r="Y147" s="52">
        <v>374</v>
      </c>
      <c r="AA147" s="52" t="s">
        <v>482</v>
      </c>
      <c r="AB147" s="52" t="s">
        <v>984</v>
      </c>
      <c r="AC147" s="52" t="s">
        <v>41</v>
      </c>
      <c r="AE147" s="52">
        <v>3</v>
      </c>
      <c r="AF147" s="52" t="s">
        <v>41</v>
      </c>
      <c r="AK147" s="52">
        <v>377</v>
      </c>
    </row>
    <row r="148" spans="1:37" x14ac:dyDescent="0.2">
      <c r="A148" s="52" t="s">
        <v>967</v>
      </c>
      <c r="B148" s="52" t="s">
        <v>3252</v>
      </c>
      <c r="C148" s="52">
        <v>121</v>
      </c>
      <c r="D148" s="52" t="s">
        <v>156</v>
      </c>
      <c r="E148" s="52" t="s">
        <v>528</v>
      </c>
      <c r="F148" s="52" t="s">
        <v>444</v>
      </c>
      <c r="G148" s="52" t="s">
        <v>510</v>
      </c>
      <c r="H148" s="52" t="s">
        <v>3257</v>
      </c>
      <c r="I148" s="52" t="s">
        <v>903</v>
      </c>
      <c r="J148" s="52" t="s">
        <v>884</v>
      </c>
      <c r="K148" s="52" t="s">
        <v>884</v>
      </c>
      <c r="L148" s="52" t="s">
        <v>922</v>
      </c>
      <c r="M148" s="52" t="s">
        <v>886</v>
      </c>
      <c r="N148" s="52" t="s">
        <v>461</v>
      </c>
      <c r="O148" s="52" t="s">
        <v>446</v>
      </c>
      <c r="P148" s="52" t="s">
        <v>508</v>
      </c>
      <c r="Q148" s="52">
        <v>941000031749716</v>
      </c>
      <c r="R148" s="52" t="s">
        <v>444</v>
      </c>
      <c r="S148" s="52" t="s">
        <v>885</v>
      </c>
      <c r="T148" s="53">
        <v>44999</v>
      </c>
      <c r="V148" s="53">
        <v>45735.629861111112</v>
      </c>
      <c r="W148" s="52" t="s">
        <v>892</v>
      </c>
      <c r="X148" s="53">
        <v>45730.629861111112</v>
      </c>
      <c r="Y148" s="52">
        <v>262</v>
      </c>
      <c r="AA148" s="52" t="s">
        <v>482</v>
      </c>
      <c r="AB148" s="52" t="s">
        <v>960</v>
      </c>
      <c r="AC148" s="52" t="s">
        <v>41</v>
      </c>
      <c r="AE148" s="52">
        <v>3</v>
      </c>
      <c r="AF148" s="52" t="s">
        <v>41</v>
      </c>
      <c r="AK148" s="52">
        <v>377</v>
      </c>
    </row>
    <row r="149" spans="1:37" x14ac:dyDescent="0.2">
      <c r="A149" s="52" t="s">
        <v>967</v>
      </c>
      <c r="B149" s="52" t="s">
        <v>3252</v>
      </c>
      <c r="C149" s="52">
        <v>121</v>
      </c>
      <c r="D149" s="52" t="s">
        <v>104</v>
      </c>
      <c r="E149" s="52" t="s">
        <v>1202</v>
      </c>
      <c r="F149" s="52" t="s">
        <v>444</v>
      </c>
      <c r="G149" s="52" t="s">
        <v>451</v>
      </c>
      <c r="H149" s="52" t="s">
        <v>3258</v>
      </c>
      <c r="I149" s="52" t="s">
        <v>964</v>
      </c>
      <c r="J149" s="52" t="s">
        <v>884</v>
      </c>
      <c r="K149" s="52" t="s">
        <v>884</v>
      </c>
      <c r="L149" s="52" t="s">
        <v>887</v>
      </c>
      <c r="M149" s="52" t="s">
        <v>890</v>
      </c>
      <c r="N149" s="52" t="s">
        <v>461</v>
      </c>
      <c r="O149" s="52" t="s">
        <v>446</v>
      </c>
      <c r="P149" s="52" t="s">
        <v>508</v>
      </c>
      <c r="Q149" s="52">
        <v>941000030971791</v>
      </c>
      <c r="R149" s="52" t="s">
        <v>444</v>
      </c>
      <c r="S149" s="52" t="s">
        <v>885</v>
      </c>
      <c r="T149" s="53">
        <v>45018</v>
      </c>
      <c r="V149" s="53">
        <v>45754.594444444447</v>
      </c>
      <c r="W149" s="52" t="s">
        <v>892</v>
      </c>
      <c r="X149" s="53">
        <v>45749.594444444447</v>
      </c>
      <c r="Y149" s="52">
        <v>243.1</v>
      </c>
      <c r="AA149" s="52" t="s">
        <v>482</v>
      </c>
      <c r="AB149" s="52" t="s">
        <v>940</v>
      </c>
      <c r="AC149" s="52" t="s">
        <v>41</v>
      </c>
      <c r="AE149" s="52">
        <v>3</v>
      </c>
      <c r="AF149" s="52" t="s">
        <v>41</v>
      </c>
      <c r="AK149" s="52">
        <v>377</v>
      </c>
    </row>
    <row r="150" spans="1:37" x14ac:dyDescent="0.2">
      <c r="A150" s="52" t="s">
        <v>967</v>
      </c>
      <c r="B150" s="52" t="s">
        <v>3252</v>
      </c>
      <c r="C150" s="52">
        <v>121</v>
      </c>
      <c r="D150" s="52" t="s">
        <v>201</v>
      </c>
      <c r="E150" s="52" t="s">
        <v>538</v>
      </c>
      <c r="F150" s="52" t="s">
        <v>444</v>
      </c>
      <c r="G150" s="52" t="s">
        <v>535</v>
      </c>
      <c r="H150" s="52" t="s">
        <v>3152</v>
      </c>
      <c r="I150" s="52" t="s">
        <v>888</v>
      </c>
      <c r="J150" s="52" t="s">
        <v>884</v>
      </c>
      <c r="K150" s="52" t="s">
        <v>884</v>
      </c>
      <c r="L150" s="52" t="s">
        <v>887</v>
      </c>
      <c r="M150" s="52" t="s">
        <v>890</v>
      </c>
      <c r="N150" s="52" t="s">
        <v>461</v>
      </c>
      <c r="O150" s="52" t="s">
        <v>446</v>
      </c>
      <c r="P150" s="52" t="s">
        <v>466</v>
      </c>
      <c r="Q150" s="52">
        <v>941000030972568</v>
      </c>
      <c r="R150" s="52" t="s">
        <v>444</v>
      </c>
      <c r="S150" s="52" t="s">
        <v>885</v>
      </c>
      <c r="T150" s="53">
        <v>45209</v>
      </c>
      <c r="V150" s="53">
        <v>45762.424305555556</v>
      </c>
      <c r="W150" s="52" t="s">
        <v>892</v>
      </c>
      <c r="X150" s="53">
        <v>45757.424305555556</v>
      </c>
      <c r="Y150" s="52">
        <v>235.3</v>
      </c>
      <c r="AA150" s="52" t="s">
        <v>482</v>
      </c>
      <c r="AB150" s="52" t="s">
        <v>904</v>
      </c>
      <c r="AC150" s="52" t="s">
        <v>41</v>
      </c>
      <c r="AE150" s="52">
        <v>2</v>
      </c>
      <c r="AF150" s="52" t="s">
        <v>41</v>
      </c>
      <c r="AK150" s="52">
        <v>377</v>
      </c>
    </row>
    <row r="151" spans="1:37" x14ac:dyDescent="0.2">
      <c r="A151" s="52" t="s">
        <v>967</v>
      </c>
      <c r="B151" s="52" t="s">
        <v>3252</v>
      </c>
      <c r="C151" s="52">
        <v>121</v>
      </c>
      <c r="D151" s="52" t="s">
        <v>131</v>
      </c>
      <c r="E151" s="52" t="s">
        <v>1201</v>
      </c>
      <c r="F151" s="52" t="s">
        <v>444</v>
      </c>
      <c r="G151" s="52" t="s">
        <v>451</v>
      </c>
      <c r="H151" s="52" t="s">
        <v>3259</v>
      </c>
      <c r="I151" s="52" t="s">
        <v>917</v>
      </c>
      <c r="J151" s="52" t="s">
        <v>884</v>
      </c>
      <c r="K151" s="52" t="s">
        <v>884</v>
      </c>
      <c r="L151" s="52" t="s">
        <v>887</v>
      </c>
      <c r="M151" s="52" t="s">
        <v>890</v>
      </c>
      <c r="N151" s="52" t="s">
        <v>461</v>
      </c>
      <c r="O151" s="52" t="s">
        <v>446</v>
      </c>
      <c r="P151" s="52" t="s">
        <v>540</v>
      </c>
      <c r="Q151" s="52">
        <v>941000031684008</v>
      </c>
      <c r="R151" s="52" t="s">
        <v>444</v>
      </c>
      <c r="S151" s="52" t="s">
        <v>885</v>
      </c>
      <c r="T151" s="53">
        <v>44307</v>
      </c>
      <c r="V151" s="53">
        <v>45764.78125</v>
      </c>
      <c r="W151" s="52" t="s">
        <v>892</v>
      </c>
      <c r="X151" s="53">
        <v>45759.78125</v>
      </c>
      <c r="Y151" s="52">
        <v>232.9</v>
      </c>
      <c r="AA151" s="52" t="s">
        <v>482</v>
      </c>
      <c r="AB151" s="52" t="s">
        <v>997</v>
      </c>
      <c r="AC151" s="52" t="s">
        <v>41</v>
      </c>
      <c r="AE151" s="52">
        <v>3</v>
      </c>
      <c r="AF151" s="52" t="s">
        <v>41</v>
      </c>
      <c r="AK151" s="52">
        <v>377</v>
      </c>
    </row>
    <row r="152" spans="1:37" x14ac:dyDescent="0.2">
      <c r="A152" s="52" t="s">
        <v>967</v>
      </c>
      <c r="B152" s="52" t="s">
        <v>3252</v>
      </c>
      <c r="C152" s="52">
        <v>121</v>
      </c>
      <c r="D152" s="52" t="s">
        <v>162</v>
      </c>
      <c r="E152" s="52" t="s">
        <v>543</v>
      </c>
      <c r="F152" s="52" t="s">
        <v>443</v>
      </c>
      <c r="G152" s="52" t="s">
        <v>34</v>
      </c>
      <c r="H152" s="52" t="s">
        <v>3260</v>
      </c>
      <c r="I152" s="52" t="s">
        <v>2012</v>
      </c>
      <c r="J152" s="52" t="s">
        <v>884</v>
      </c>
      <c r="K152" s="52" t="s">
        <v>884</v>
      </c>
      <c r="L152" s="52" t="s">
        <v>922</v>
      </c>
      <c r="M152" s="52" t="s">
        <v>886</v>
      </c>
      <c r="N152" s="52" t="s">
        <v>461</v>
      </c>
      <c r="O152" s="52" t="s">
        <v>446</v>
      </c>
      <c r="Q152" s="52">
        <v>941000030951091</v>
      </c>
      <c r="R152" s="52" t="s">
        <v>443</v>
      </c>
      <c r="S152" s="52" t="s">
        <v>885</v>
      </c>
      <c r="T152" s="53">
        <v>45744</v>
      </c>
      <c r="V152" s="53">
        <v>45773.591666666667</v>
      </c>
      <c r="W152" s="52" t="s">
        <v>892</v>
      </c>
      <c r="X152" s="53">
        <v>45768.591666666667</v>
      </c>
      <c r="Y152" s="52">
        <v>224.1</v>
      </c>
      <c r="AA152" s="52" t="s">
        <v>482</v>
      </c>
      <c r="AB152" s="52" t="s">
        <v>2006</v>
      </c>
      <c r="AC152" s="52" t="s">
        <v>41</v>
      </c>
      <c r="AE152" s="52">
        <v>2</v>
      </c>
      <c r="AF152" s="52" t="s">
        <v>41</v>
      </c>
      <c r="AK152" s="52">
        <v>377</v>
      </c>
    </row>
    <row r="153" spans="1:37" x14ac:dyDescent="0.2">
      <c r="A153" s="52" t="s">
        <v>967</v>
      </c>
      <c r="B153" s="52" t="s">
        <v>3252</v>
      </c>
      <c r="C153" s="52">
        <v>121</v>
      </c>
      <c r="D153" s="52" t="s">
        <v>167</v>
      </c>
      <c r="E153" s="52" t="s">
        <v>545</v>
      </c>
      <c r="F153" s="52" t="s">
        <v>443</v>
      </c>
      <c r="G153" s="52" t="s">
        <v>34</v>
      </c>
      <c r="H153" s="52" t="s">
        <v>3260</v>
      </c>
      <c r="I153" s="52" t="s">
        <v>903</v>
      </c>
      <c r="J153" s="52" t="s">
        <v>884</v>
      </c>
      <c r="K153" s="52" t="s">
        <v>884</v>
      </c>
      <c r="L153" s="52" t="s">
        <v>922</v>
      </c>
      <c r="M153" s="52" t="s">
        <v>890</v>
      </c>
      <c r="N153" s="52" t="s">
        <v>461</v>
      </c>
      <c r="O153" s="52" t="s">
        <v>446</v>
      </c>
      <c r="Q153" s="52">
        <v>941000030976414</v>
      </c>
      <c r="R153" s="52" t="s">
        <v>443</v>
      </c>
      <c r="S153" s="52" t="s">
        <v>885</v>
      </c>
      <c r="T153" s="53">
        <v>45744</v>
      </c>
      <c r="V153" s="53">
        <v>45773.591666666667</v>
      </c>
      <c r="W153" s="52" t="s">
        <v>892</v>
      </c>
      <c r="X153" s="53">
        <v>45768.591666666667</v>
      </c>
      <c r="Y153" s="52">
        <v>224.1</v>
      </c>
      <c r="AA153" s="52" t="s">
        <v>482</v>
      </c>
      <c r="AB153" s="52" t="s">
        <v>2029</v>
      </c>
      <c r="AC153" s="52" t="s">
        <v>41</v>
      </c>
      <c r="AE153" s="52">
        <v>1</v>
      </c>
      <c r="AF153" s="52" t="s">
        <v>41</v>
      </c>
      <c r="AK153" s="52">
        <v>377</v>
      </c>
    </row>
    <row r="154" spans="1:37" x14ac:dyDescent="0.2">
      <c r="A154" s="52" t="s">
        <v>967</v>
      </c>
      <c r="B154" s="52" t="s">
        <v>3252</v>
      </c>
      <c r="C154" s="52">
        <v>121</v>
      </c>
      <c r="D154" s="52" t="s">
        <v>115</v>
      </c>
      <c r="E154" s="52" t="s">
        <v>551</v>
      </c>
      <c r="F154" s="52" t="s">
        <v>444</v>
      </c>
      <c r="G154" s="52" t="s">
        <v>451</v>
      </c>
      <c r="H154" s="52" t="s">
        <v>3261</v>
      </c>
      <c r="I154" s="52" t="s">
        <v>983</v>
      </c>
      <c r="J154" s="52" t="s">
        <v>884</v>
      </c>
      <c r="K154" s="52" t="s">
        <v>884</v>
      </c>
      <c r="L154" s="52" t="s">
        <v>887</v>
      </c>
      <c r="M154" s="52" t="s">
        <v>890</v>
      </c>
      <c r="N154" s="52" t="s">
        <v>461</v>
      </c>
      <c r="O154" s="52" t="s">
        <v>446</v>
      </c>
      <c r="P154" s="52" t="s">
        <v>466</v>
      </c>
      <c r="Q154" s="52">
        <v>941000030951402</v>
      </c>
      <c r="R154" s="52" t="s">
        <v>444</v>
      </c>
      <c r="S154" s="52" t="s">
        <v>885</v>
      </c>
      <c r="T154" s="53">
        <v>45037</v>
      </c>
      <c r="V154" s="53">
        <v>45773.615972222222</v>
      </c>
      <c r="W154" s="52" t="s">
        <v>892</v>
      </c>
      <c r="X154" s="53">
        <v>45768.615972222222</v>
      </c>
      <c r="Y154" s="52">
        <v>224.1</v>
      </c>
      <c r="AA154" s="52" t="s">
        <v>482</v>
      </c>
      <c r="AB154" s="52" t="s">
        <v>905</v>
      </c>
      <c r="AC154" s="52" t="s">
        <v>41</v>
      </c>
      <c r="AE154" s="52">
        <v>2</v>
      </c>
      <c r="AF154" s="52" t="s">
        <v>41</v>
      </c>
      <c r="AK154" s="52">
        <v>377</v>
      </c>
    </row>
    <row r="155" spans="1:37" x14ac:dyDescent="0.2">
      <c r="A155" s="52" t="s">
        <v>967</v>
      </c>
      <c r="B155" s="52" t="s">
        <v>3252</v>
      </c>
      <c r="C155" s="52">
        <v>121</v>
      </c>
      <c r="D155" s="52" t="s">
        <v>594</v>
      </c>
      <c r="E155" s="52" t="s">
        <v>593</v>
      </c>
      <c r="F155" s="52" t="s">
        <v>443</v>
      </c>
      <c r="G155" s="52" t="s">
        <v>34</v>
      </c>
      <c r="H155" s="52" t="s">
        <v>3131</v>
      </c>
      <c r="I155" s="52" t="s">
        <v>897</v>
      </c>
      <c r="K155" s="52" t="s">
        <v>884</v>
      </c>
      <c r="L155" s="52" t="s">
        <v>922</v>
      </c>
      <c r="M155" s="52" t="s">
        <v>890</v>
      </c>
      <c r="N155" s="52" t="s">
        <v>494</v>
      </c>
      <c r="O155" s="52" t="s">
        <v>446</v>
      </c>
      <c r="R155" s="52" t="s">
        <v>443</v>
      </c>
      <c r="S155" s="52" t="s">
        <v>885</v>
      </c>
      <c r="T155" s="53">
        <v>45771</v>
      </c>
      <c r="V155" s="53">
        <v>45801.65</v>
      </c>
      <c r="W155" s="52" t="s">
        <v>884</v>
      </c>
      <c r="X155" s="53">
        <v>45796.65</v>
      </c>
      <c r="Y155" s="52">
        <v>196</v>
      </c>
      <c r="AA155" s="52" t="s">
        <v>482</v>
      </c>
      <c r="AB155" s="52" t="s">
        <v>2070</v>
      </c>
      <c r="AC155" s="52" t="s">
        <v>41</v>
      </c>
      <c r="AE155" s="52">
        <v>1</v>
      </c>
      <c r="AF155" s="52" t="s">
        <v>41</v>
      </c>
      <c r="AK155" s="52">
        <v>377</v>
      </c>
    </row>
    <row r="156" spans="1:37" x14ac:dyDescent="0.2">
      <c r="A156" s="52" t="s">
        <v>967</v>
      </c>
      <c r="B156" s="52" t="s">
        <v>3252</v>
      </c>
      <c r="C156" s="52">
        <v>121</v>
      </c>
      <c r="D156" s="52" t="s">
        <v>139</v>
      </c>
      <c r="E156" s="52" t="s">
        <v>2853</v>
      </c>
      <c r="F156" s="52" t="s">
        <v>444</v>
      </c>
      <c r="G156" s="52" t="s">
        <v>529</v>
      </c>
      <c r="H156" s="52" t="s">
        <v>3262</v>
      </c>
      <c r="I156" s="52" t="s">
        <v>935</v>
      </c>
      <c r="J156" s="52" t="s">
        <v>884</v>
      </c>
      <c r="K156" s="52" t="s">
        <v>884</v>
      </c>
      <c r="L156" s="52" t="s">
        <v>887</v>
      </c>
      <c r="M156" s="52" t="s">
        <v>886</v>
      </c>
      <c r="N156" s="52" t="s">
        <v>461</v>
      </c>
      <c r="O156" s="52" t="s">
        <v>446</v>
      </c>
      <c r="P156" s="52" t="s">
        <v>520</v>
      </c>
      <c r="Q156" s="52">
        <v>941000031749636</v>
      </c>
      <c r="R156" s="52" t="s">
        <v>444</v>
      </c>
      <c r="S156" s="52" t="s">
        <v>885</v>
      </c>
      <c r="T156" s="53">
        <v>45434</v>
      </c>
      <c r="V156" s="53">
        <v>45804.612500000003</v>
      </c>
      <c r="W156" s="52" t="s">
        <v>892</v>
      </c>
      <c r="X156" s="53">
        <v>45799.612500000003</v>
      </c>
      <c r="Y156" s="52">
        <v>193.1</v>
      </c>
      <c r="AA156" s="52" t="s">
        <v>482</v>
      </c>
      <c r="AB156" s="52" t="s">
        <v>936</v>
      </c>
      <c r="AC156" s="52" t="s">
        <v>41</v>
      </c>
      <c r="AE156" s="52">
        <v>3</v>
      </c>
      <c r="AF156" s="52" t="s">
        <v>41</v>
      </c>
      <c r="AK156" s="52">
        <v>377</v>
      </c>
    </row>
    <row r="157" spans="1:37" x14ac:dyDescent="0.2">
      <c r="A157" s="52" t="s">
        <v>967</v>
      </c>
      <c r="B157" s="52" t="s">
        <v>3252</v>
      </c>
      <c r="C157" s="52">
        <v>121</v>
      </c>
      <c r="D157" s="52" t="s">
        <v>623</v>
      </c>
      <c r="E157" s="52" t="s">
        <v>622</v>
      </c>
      <c r="F157" s="52" t="s">
        <v>443</v>
      </c>
      <c r="G157" s="52" t="s">
        <v>34</v>
      </c>
      <c r="H157" s="52" t="s">
        <v>3263</v>
      </c>
      <c r="I157" s="52" t="s">
        <v>894</v>
      </c>
      <c r="J157" s="52" t="s">
        <v>884</v>
      </c>
      <c r="K157" s="52" t="s">
        <v>884</v>
      </c>
      <c r="L157" s="52" t="s">
        <v>887</v>
      </c>
      <c r="M157" s="52" t="s">
        <v>886</v>
      </c>
      <c r="N157" s="52" t="s">
        <v>461</v>
      </c>
      <c r="O157" s="52" t="s">
        <v>446</v>
      </c>
      <c r="Q157" s="52">
        <v>941000031684313</v>
      </c>
      <c r="R157" s="52" t="s">
        <v>443</v>
      </c>
      <c r="S157" s="52" t="s">
        <v>885</v>
      </c>
      <c r="T157" s="53">
        <v>45086</v>
      </c>
      <c r="U157" s="52" t="s">
        <v>2004</v>
      </c>
      <c r="V157" s="53">
        <v>45822.515277777777</v>
      </c>
      <c r="W157" s="52" t="s">
        <v>892</v>
      </c>
      <c r="X157" s="53">
        <v>45817.515277777777</v>
      </c>
      <c r="Y157" s="52">
        <v>175.2</v>
      </c>
      <c r="AA157" s="52" t="s">
        <v>482</v>
      </c>
      <c r="AB157" s="52" t="s">
        <v>2072</v>
      </c>
      <c r="AC157" s="52" t="s">
        <v>41</v>
      </c>
      <c r="AE157" s="52">
        <v>1</v>
      </c>
      <c r="AF157" s="52" t="s">
        <v>41</v>
      </c>
      <c r="AK157" s="52">
        <v>377</v>
      </c>
    </row>
    <row r="158" spans="1:37" x14ac:dyDescent="0.2">
      <c r="A158" s="52" t="s">
        <v>967</v>
      </c>
      <c r="B158" s="52" t="s">
        <v>3252</v>
      </c>
      <c r="C158" s="52">
        <v>121</v>
      </c>
      <c r="D158" s="52" t="s">
        <v>625</v>
      </c>
      <c r="E158" s="52" t="s">
        <v>2835</v>
      </c>
      <c r="F158" s="52" t="s">
        <v>444</v>
      </c>
      <c r="G158" s="52" t="s">
        <v>529</v>
      </c>
      <c r="H158" s="52" t="s">
        <v>3264</v>
      </c>
      <c r="I158" s="52" t="s">
        <v>910</v>
      </c>
      <c r="J158" s="52" t="s">
        <v>884</v>
      </c>
      <c r="K158" s="52" t="s">
        <v>884</v>
      </c>
      <c r="L158" s="52" t="s">
        <v>939</v>
      </c>
      <c r="M158" s="52" t="s">
        <v>886</v>
      </c>
      <c r="N158" s="52" t="s">
        <v>494</v>
      </c>
      <c r="O158" s="52" t="s">
        <v>446</v>
      </c>
      <c r="P158" s="52" t="s">
        <v>520</v>
      </c>
      <c r="Q158" s="52">
        <v>941000031683990</v>
      </c>
      <c r="R158" s="52" t="s">
        <v>444</v>
      </c>
      <c r="S158" s="52" t="s">
        <v>885</v>
      </c>
      <c r="T158" s="53">
        <v>45088</v>
      </c>
      <c r="V158" s="53">
        <v>45822.669444444444</v>
      </c>
      <c r="W158" s="52" t="s">
        <v>884</v>
      </c>
      <c r="X158" s="53">
        <v>45817.669444444444</v>
      </c>
      <c r="Y158" s="52">
        <v>175</v>
      </c>
      <c r="AA158" s="52" t="s">
        <v>482</v>
      </c>
      <c r="AB158" s="52" t="s">
        <v>953</v>
      </c>
      <c r="AC158" s="52" t="s">
        <v>41</v>
      </c>
      <c r="AE158" s="52">
        <v>3</v>
      </c>
      <c r="AF158" s="52" t="s">
        <v>41</v>
      </c>
      <c r="AK158" s="52">
        <v>377</v>
      </c>
    </row>
    <row r="159" spans="1:37" x14ac:dyDescent="0.2">
      <c r="A159" s="52" t="s">
        <v>967</v>
      </c>
      <c r="B159" s="52" t="s">
        <v>3252</v>
      </c>
      <c r="C159" s="52">
        <v>121</v>
      </c>
      <c r="D159" s="52" t="s">
        <v>178</v>
      </c>
      <c r="E159" s="52" t="s">
        <v>635</v>
      </c>
      <c r="F159" s="52" t="s">
        <v>444</v>
      </c>
      <c r="G159" s="52" t="s">
        <v>460</v>
      </c>
      <c r="H159" s="52" t="s">
        <v>3265</v>
      </c>
      <c r="I159" s="52" t="s">
        <v>903</v>
      </c>
      <c r="J159" s="52" t="s">
        <v>884</v>
      </c>
      <c r="K159" s="52" t="s">
        <v>884</v>
      </c>
      <c r="L159" s="52" t="s">
        <v>922</v>
      </c>
      <c r="M159" s="52" t="s">
        <v>890</v>
      </c>
      <c r="N159" s="52" t="s">
        <v>461</v>
      </c>
      <c r="O159" s="52" t="s">
        <v>446</v>
      </c>
      <c r="P159" s="52" t="s">
        <v>456</v>
      </c>
      <c r="Q159" s="52">
        <v>941000031683783</v>
      </c>
      <c r="R159" s="52" t="s">
        <v>444</v>
      </c>
      <c r="S159" s="52" t="s">
        <v>885</v>
      </c>
      <c r="T159" s="53">
        <v>45456</v>
      </c>
      <c r="V159" s="53">
        <v>45826.588194444441</v>
      </c>
      <c r="W159" s="52" t="s">
        <v>892</v>
      </c>
      <c r="X159" s="53">
        <v>45821.588194444441</v>
      </c>
      <c r="Y159" s="52">
        <v>171.1</v>
      </c>
      <c r="AA159" s="52" t="s">
        <v>482</v>
      </c>
      <c r="AB159" s="52" t="s">
        <v>982</v>
      </c>
      <c r="AC159" s="52" t="s">
        <v>41</v>
      </c>
      <c r="AE159" s="52">
        <v>3</v>
      </c>
      <c r="AF159" s="52" t="s">
        <v>41</v>
      </c>
      <c r="AK159" s="52">
        <v>377</v>
      </c>
    </row>
    <row r="160" spans="1:37" x14ac:dyDescent="0.2">
      <c r="A160" s="52" t="s">
        <v>967</v>
      </c>
      <c r="B160" s="52" t="s">
        <v>3252</v>
      </c>
      <c r="C160" s="52">
        <v>121</v>
      </c>
      <c r="D160" s="52" t="s">
        <v>258</v>
      </c>
      <c r="E160" s="52" t="s">
        <v>3266</v>
      </c>
      <c r="F160" s="52" t="s">
        <v>444</v>
      </c>
      <c r="G160" s="52" t="s">
        <v>535</v>
      </c>
      <c r="H160" s="52" t="s">
        <v>3267</v>
      </c>
      <c r="I160" s="52" t="s">
        <v>906</v>
      </c>
      <c r="J160" s="52" t="s">
        <v>884</v>
      </c>
      <c r="K160" s="52" t="s">
        <v>884</v>
      </c>
      <c r="L160" s="52" t="s">
        <v>896</v>
      </c>
      <c r="M160" s="52" t="s">
        <v>890</v>
      </c>
      <c r="N160" s="52" t="s">
        <v>461</v>
      </c>
      <c r="O160" s="52" t="s">
        <v>446</v>
      </c>
      <c r="P160" s="52" t="s">
        <v>643</v>
      </c>
      <c r="Q160" s="52">
        <v>941000031750068</v>
      </c>
      <c r="R160" s="52" t="s">
        <v>444</v>
      </c>
      <c r="S160" s="52" t="s">
        <v>460</v>
      </c>
      <c r="T160" s="53">
        <v>44735</v>
      </c>
      <c r="W160" s="52" t="s">
        <v>892</v>
      </c>
      <c r="X160" s="53">
        <v>45830.546527777777</v>
      </c>
      <c r="Y160" s="52">
        <v>162.1</v>
      </c>
      <c r="AA160" s="52" t="s">
        <v>482</v>
      </c>
      <c r="AB160" s="52" t="s">
        <v>998</v>
      </c>
      <c r="AC160" s="52" t="s">
        <v>41</v>
      </c>
      <c r="AE160" s="52">
        <v>3</v>
      </c>
      <c r="AF160" s="52" t="s">
        <v>41</v>
      </c>
      <c r="AK160" s="52">
        <v>377</v>
      </c>
    </row>
    <row r="161" spans="1:37" x14ac:dyDescent="0.2">
      <c r="A161" s="52" t="s">
        <v>967</v>
      </c>
      <c r="B161" s="52" t="s">
        <v>3252</v>
      </c>
      <c r="C161" s="52">
        <v>121</v>
      </c>
      <c r="D161" s="52" t="s">
        <v>213</v>
      </c>
      <c r="E161" s="52" t="s">
        <v>655</v>
      </c>
      <c r="F161" s="52" t="s">
        <v>444</v>
      </c>
      <c r="G161" s="52" t="s">
        <v>460</v>
      </c>
      <c r="H161" s="52" t="s">
        <v>3133</v>
      </c>
      <c r="I161" s="52" t="s">
        <v>917</v>
      </c>
      <c r="J161" s="52" t="s">
        <v>884</v>
      </c>
      <c r="K161" s="52" t="s">
        <v>884</v>
      </c>
      <c r="L161" s="52" t="s">
        <v>887</v>
      </c>
      <c r="M161" s="52" t="s">
        <v>886</v>
      </c>
      <c r="N161" s="52" t="s">
        <v>461</v>
      </c>
      <c r="O161" s="52" t="s">
        <v>446</v>
      </c>
      <c r="Q161" s="52">
        <v>941000031683595</v>
      </c>
      <c r="R161" s="52" t="s">
        <v>444</v>
      </c>
      <c r="S161" s="52" t="s">
        <v>885</v>
      </c>
      <c r="T161" s="53">
        <v>45746</v>
      </c>
      <c r="V161" s="53">
        <v>45843.615277777775</v>
      </c>
      <c r="W161" s="52" t="s">
        <v>892</v>
      </c>
      <c r="X161" s="53">
        <v>45838.615277777775</v>
      </c>
      <c r="Y161" s="52">
        <v>154.1</v>
      </c>
      <c r="AA161" s="52" t="s">
        <v>482</v>
      </c>
      <c r="AB161" s="52" t="s">
        <v>981</v>
      </c>
      <c r="AC161" s="52" t="s">
        <v>41</v>
      </c>
      <c r="AE161" s="52">
        <v>3</v>
      </c>
      <c r="AF161" s="52" t="s">
        <v>41</v>
      </c>
      <c r="AK161" s="52">
        <v>377</v>
      </c>
    </row>
    <row r="162" spans="1:37" x14ac:dyDescent="0.2">
      <c r="A162" s="52" t="s">
        <v>967</v>
      </c>
      <c r="B162" s="52" t="s">
        <v>3252</v>
      </c>
      <c r="C162" s="52">
        <v>121</v>
      </c>
      <c r="D162" s="52" t="s">
        <v>395</v>
      </c>
      <c r="E162" s="52" t="s">
        <v>663</v>
      </c>
      <c r="F162" s="52" t="s">
        <v>444</v>
      </c>
      <c r="G162" s="52" t="s">
        <v>664</v>
      </c>
      <c r="H162" s="52" t="s">
        <v>3268</v>
      </c>
      <c r="I162" s="52" t="s">
        <v>980</v>
      </c>
      <c r="J162" s="52" t="s">
        <v>884</v>
      </c>
      <c r="K162" s="52" t="s">
        <v>892</v>
      </c>
      <c r="L162" s="52" t="s">
        <v>902</v>
      </c>
      <c r="M162" s="52" t="s">
        <v>890</v>
      </c>
      <c r="N162" s="52" t="s">
        <v>461</v>
      </c>
      <c r="O162" s="52" t="s">
        <v>446</v>
      </c>
      <c r="P162" s="52" t="s">
        <v>456</v>
      </c>
      <c r="Q162" s="52">
        <v>941000030972197</v>
      </c>
      <c r="R162" s="52" t="s">
        <v>444</v>
      </c>
      <c r="S162" s="52" t="s">
        <v>885</v>
      </c>
      <c r="T162" s="53">
        <v>44021</v>
      </c>
      <c r="U162" s="52" t="s">
        <v>950</v>
      </c>
      <c r="W162" s="52" t="s">
        <v>892</v>
      </c>
      <c r="X162" s="53">
        <v>45923.441666666666</v>
      </c>
      <c r="Y162" s="52">
        <v>69.3</v>
      </c>
      <c r="AA162" s="52" t="s">
        <v>482</v>
      </c>
      <c r="AB162" s="52" t="s">
        <v>933</v>
      </c>
      <c r="AC162" s="52" t="s">
        <v>41</v>
      </c>
      <c r="AE162" s="52">
        <v>2</v>
      </c>
      <c r="AF162" s="52" t="s">
        <v>41</v>
      </c>
      <c r="AK162" s="52">
        <v>377</v>
      </c>
    </row>
    <row r="163" spans="1:37" x14ac:dyDescent="0.2">
      <c r="A163" s="52" t="s">
        <v>967</v>
      </c>
      <c r="B163" s="52" t="s">
        <v>3252</v>
      </c>
      <c r="C163" s="52">
        <v>121</v>
      </c>
      <c r="D163" s="52" t="s">
        <v>250</v>
      </c>
      <c r="E163" s="52" t="s">
        <v>670</v>
      </c>
      <c r="F163" s="52" t="s">
        <v>444</v>
      </c>
      <c r="G163" s="52" t="s">
        <v>535</v>
      </c>
      <c r="H163" s="52" t="s">
        <v>3269</v>
      </c>
      <c r="I163" s="52" t="s">
        <v>958</v>
      </c>
      <c r="J163" s="52" t="s">
        <v>884</v>
      </c>
      <c r="K163" s="52" t="s">
        <v>884</v>
      </c>
      <c r="L163" s="52" t="s">
        <v>922</v>
      </c>
      <c r="M163" s="52" t="s">
        <v>890</v>
      </c>
      <c r="N163" s="52" t="s">
        <v>461</v>
      </c>
      <c r="O163" s="52" t="s">
        <v>446</v>
      </c>
      <c r="P163" s="52" t="s">
        <v>629</v>
      </c>
      <c r="Q163" s="52">
        <v>941000031683518</v>
      </c>
      <c r="R163" s="52" t="s">
        <v>444</v>
      </c>
      <c r="S163" s="52" t="s">
        <v>885</v>
      </c>
      <c r="T163" s="53">
        <v>43380</v>
      </c>
      <c r="U163" s="52" t="s">
        <v>969</v>
      </c>
      <c r="V163" s="53">
        <v>45853.550694444442</v>
      </c>
      <c r="W163" s="52" t="s">
        <v>892</v>
      </c>
      <c r="X163" s="53">
        <v>45848.550694444442</v>
      </c>
      <c r="Y163" s="52">
        <v>144.1</v>
      </c>
      <c r="AA163" s="52" t="s">
        <v>482</v>
      </c>
      <c r="AB163" s="52" t="s">
        <v>979</v>
      </c>
      <c r="AC163" s="52" t="s">
        <v>41</v>
      </c>
      <c r="AE163" s="52">
        <v>1</v>
      </c>
      <c r="AF163" s="52" t="s">
        <v>41</v>
      </c>
      <c r="AK163" s="52">
        <v>377</v>
      </c>
    </row>
    <row r="164" spans="1:37" x14ac:dyDescent="0.2">
      <c r="A164" s="52" t="s">
        <v>967</v>
      </c>
      <c r="B164" s="52" t="s">
        <v>3252</v>
      </c>
      <c r="C164" s="52">
        <v>121</v>
      </c>
      <c r="D164" s="52" t="s">
        <v>278</v>
      </c>
      <c r="E164" s="52" t="s">
        <v>675</v>
      </c>
      <c r="F164" s="52" t="s">
        <v>444</v>
      </c>
      <c r="G164" s="52" t="s">
        <v>72</v>
      </c>
      <c r="H164" s="52" t="s">
        <v>3270</v>
      </c>
      <c r="I164" s="52" t="s">
        <v>920</v>
      </c>
      <c r="J164" s="52" t="s">
        <v>884</v>
      </c>
      <c r="K164" s="52" t="s">
        <v>884</v>
      </c>
      <c r="L164" s="52" t="s">
        <v>887</v>
      </c>
      <c r="M164" s="52" t="s">
        <v>886</v>
      </c>
      <c r="N164" s="52" t="s">
        <v>461</v>
      </c>
      <c r="O164" s="52" t="s">
        <v>446</v>
      </c>
      <c r="P164" s="52" t="s">
        <v>511</v>
      </c>
      <c r="Q164" s="52">
        <v>941000031683973</v>
      </c>
      <c r="R164" s="52" t="s">
        <v>444</v>
      </c>
      <c r="S164" s="52" t="s">
        <v>885</v>
      </c>
      <c r="T164" s="53">
        <v>45121</v>
      </c>
      <c r="V164" s="53">
        <v>45857.543749999997</v>
      </c>
      <c r="W164" s="52" t="s">
        <v>892</v>
      </c>
      <c r="X164" s="53">
        <v>45852.543749999997</v>
      </c>
      <c r="Y164" s="52">
        <v>140.1</v>
      </c>
      <c r="AA164" s="52" t="s">
        <v>482</v>
      </c>
      <c r="AB164" s="52" t="s">
        <v>915</v>
      </c>
      <c r="AC164" s="52" t="s">
        <v>41</v>
      </c>
      <c r="AE164" s="52">
        <v>1</v>
      </c>
      <c r="AF164" s="52" t="s">
        <v>41</v>
      </c>
      <c r="AK164" s="52">
        <v>377</v>
      </c>
    </row>
    <row r="165" spans="1:37" x14ac:dyDescent="0.2">
      <c r="A165" s="52" t="s">
        <v>967</v>
      </c>
      <c r="B165" s="52" t="s">
        <v>3252</v>
      </c>
      <c r="C165" s="52">
        <v>121</v>
      </c>
      <c r="D165" s="52" t="s">
        <v>686</v>
      </c>
      <c r="E165" s="52" t="s">
        <v>685</v>
      </c>
      <c r="F165" s="52" t="s">
        <v>443</v>
      </c>
      <c r="G165" s="52" t="s">
        <v>34</v>
      </c>
      <c r="H165" s="52" t="s">
        <v>3271</v>
      </c>
      <c r="I165" s="52" t="s">
        <v>910</v>
      </c>
      <c r="K165" s="52" t="s">
        <v>884</v>
      </c>
      <c r="L165" s="52" t="s">
        <v>922</v>
      </c>
      <c r="M165" s="52" t="s">
        <v>890</v>
      </c>
      <c r="N165" s="52" t="s">
        <v>494</v>
      </c>
      <c r="O165" s="52" t="s">
        <v>446</v>
      </c>
      <c r="Q165" s="52">
        <v>941000031735724</v>
      </c>
      <c r="R165" s="52" t="s">
        <v>443</v>
      </c>
      <c r="S165" s="52" t="s">
        <v>885</v>
      </c>
      <c r="T165" s="53">
        <v>45842</v>
      </c>
      <c r="U165" s="52" t="s">
        <v>2004</v>
      </c>
      <c r="V165" s="53">
        <v>45867.584027777775</v>
      </c>
      <c r="W165" s="52" t="s">
        <v>884</v>
      </c>
      <c r="X165" s="53">
        <v>45862.584027777775</v>
      </c>
      <c r="Y165" s="52">
        <v>130.1</v>
      </c>
      <c r="AA165" s="52" t="s">
        <v>482</v>
      </c>
      <c r="AB165" s="52" t="s">
        <v>2074</v>
      </c>
      <c r="AC165" s="52" t="s">
        <v>41</v>
      </c>
      <c r="AE165" s="52">
        <v>1</v>
      </c>
      <c r="AF165" s="52" t="s">
        <v>41</v>
      </c>
      <c r="AK165" s="52">
        <v>377</v>
      </c>
    </row>
    <row r="166" spans="1:37" x14ac:dyDescent="0.2">
      <c r="A166" s="52" t="s">
        <v>967</v>
      </c>
      <c r="B166" s="52" t="s">
        <v>3252</v>
      </c>
      <c r="C166" s="52">
        <v>121</v>
      </c>
      <c r="D166" s="52" t="s">
        <v>688</v>
      </c>
      <c r="E166" s="52" t="s">
        <v>687</v>
      </c>
      <c r="F166" s="52" t="s">
        <v>443</v>
      </c>
      <c r="G166" s="52" t="s">
        <v>34</v>
      </c>
      <c r="H166" s="52" t="s">
        <v>3271</v>
      </c>
      <c r="I166" s="52" t="s">
        <v>894</v>
      </c>
      <c r="K166" s="52" t="s">
        <v>884</v>
      </c>
      <c r="L166" s="52" t="s">
        <v>922</v>
      </c>
      <c r="M166" s="52" t="s">
        <v>890</v>
      </c>
      <c r="N166" s="52" t="s">
        <v>494</v>
      </c>
      <c r="O166" s="52" t="s">
        <v>446</v>
      </c>
      <c r="Q166" s="52">
        <v>941000031735587</v>
      </c>
      <c r="R166" s="52" t="s">
        <v>443</v>
      </c>
      <c r="S166" s="52" t="s">
        <v>885</v>
      </c>
      <c r="T166" s="53">
        <v>45842</v>
      </c>
      <c r="U166" s="52" t="s">
        <v>2004</v>
      </c>
      <c r="V166" s="53">
        <v>45867.584027777775</v>
      </c>
      <c r="W166" s="52" t="s">
        <v>884</v>
      </c>
      <c r="X166" s="53">
        <v>45862.584027777775</v>
      </c>
      <c r="Y166" s="52">
        <v>130.1</v>
      </c>
      <c r="AA166" s="52" t="s">
        <v>482</v>
      </c>
      <c r="AB166" s="52" t="s">
        <v>2074</v>
      </c>
      <c r="AC166" s="52" t="s">
        <v>41</v>
      </c>
      <c r="AE166" s="52">
        <v>1</v>
      </c>
      <c r="AF166" s="52" t="s">
        <v>41</v>
      </c>
      <c r="AK166" s="52">
        <v>377</v>
      </c>
    </row>
    <row r="167" spans="1:37" x14ac:dyDescent="0.2">
      <c r="A167" s="52" t="s">
        <v>967</v>
      </c>
      <c r="B167" s="52" t="s">
        <v>3252</v>
      </c>
      <c r="C167" s="52">
        <v>121</v>
      </c>
      <c r="D167" s="52" t="s">
        <v>311</v>
      </c>
      <c r="E167" s="52" t="s">
        <v>3272</v>
      </c>
      <c r="F167" s="52" t="s">
        <v>444</v>
      </c>
      <c r="G167" s="52" t="s">
        <v>68</v>
      </c>
      <c r="H167" s="52" t="s">
        <v>3273</v>
      </c>
      <c r="I167" s="52" t="s">
        <v>897</v>
      </c>
      <c r="J167" s="52" t="s">
        <v>884</v>
      </c>
      <c r="K167" s="52" t="s">
        <v>884</v>
      </c>
      <c r="L167" s="52" t="s">
        <v>887</v>
      </c>
      <c r="M167" s="52" t="s">
        <v>890</v>
      </c>
      <c r="N167" s="52" t="s">
        <v>461</v>
      </c>
      <c r="O167" s="52" t="s">
        <v>446</v>
      </c>
      <c r="P167" s="52" t="s">
        <v>511</v>
      </c>
      <c r="Q167" s="52">
        <v>941000031684331</v>
      </c>
      <c r="R167" s="52" t="s">
        <v>444</v>
      </c>
      <c r="S167" s="52" t="s">
        <v>885</v>
      </c>
      <c r="T167" s="53">
        <v>44408</v>
      </c>
      <c r="V167" s="53">
        <v>45874.686805555553</v>
      </c>
      <c r="W167" s="52" t="s">
        <v>892</v>
      </c>
      <c r="X167" s="53">
        <v>45869.686805555553</v>
      </c>
      <c r="Y167" s="52">
        <v>123</v>
      </c>
      <c r="AA167" s="52" t="s">
        <v>482</v>
      </c>
      <c r="AB167" s="52" t="s">
        <v>959</v>
      </c>
      <c r="AC167" s="52" t="s">
        <v>41</v>
      </c>
      <c r="AE167" s="52">
        <v>3</v>
      </c>
      <c r="AF167" s="52" t="s">
        <v>41</v>
      </c>
      <c r="AK167" s="52">
        <v>377</v>
      </c>
    </row>
    <row r="168" spans="1:37" x14ac:dyDescent="0.2">
      <c r="A168" s="52" t="s">
        <v>967</v>
      </c>
      <c r="B168" s="52" t="s">
        <v>3252</v>
      </c>
      <c r="C168" s="52">
        <v>121</v>
      </c>
      <c r="D168" s="52" t="s">
        <v>292</v>
      </c>
      <c r="E168" s="52" t="s">
        <v>703</v>
      </c>
      <c r="F168" s="52" t="s">
        <v>444</v>
      </c>
      <c r="G168" s="52" t="s">
        <v>460</v>
      </c>
      <c r="H168" s="52" t="s">
        <v>3203</v>
      </c>
      <c r="I168" s="52" t="s">
        <v>917</v>
      </c>
      <c r="J168" s="52" t="s">
        <v>884</v>
      </c>
      <c r="K168" s="52" t="s">
        <v>884</v>
      </c>
      <c r="L168" s="52" t="s">
        <v>922</v>
      </c>
      <c r="M168" s="52" t="s">
        <v>886</v>
      </c>
      <c r="N168" s="52" t="s">
        <v>461</v>
      </c>
      <c r="O168" s="52" t="s">
        <v>446</v>
      </c>
      <c r="P168" s="52" t="s">
        <v>471</v>
      </c>
      <c r="Q168" s="52">
        <v>941000031684004</v>
      </c>
      <c r="R168" s="52" t="s">
        <v>444</v>
      </c>
      <c r="S168" s="52" t="s">
        <v>510</v>
      </c>
      <c r="T168" s="53">
        <v>45505</v>
      </c>
      <c r="V168" s="53">
        <v>45875.531944444447</v>
      </c>
      <c r="W168" s="52" t="s">
        <v>892</v>
      </c>
      <c r="X168" s="53">
        <v>45870.531944444447</v>
      </c>
      <c r="Y168" s="52">
        <v>122.2</v>
      </c>
      <c r="AA168" s="52" t="s">
        <v>482</v>
      </c>
      <c r="AB168" s="52" t="s">
        <v>978</v>
      </c>
      <c r="AC168" s="52" t="s">
        <v>41</v>
      </c>
      <c r="AE168" s="52">
        <v>3</v>
      </c>
      <c r="AF168" s="52" t="s">
        <v>41</v>
      </c>
      <c r="AK168" s="52">
        <v>377</v>
      </c>
    </row>
    <row r="169" spans="1:37" x14ac:dyDescent="0.2">
      <c r="A169" s="52" t="s">
        <v>967</v>
      </c>
      <c r="B169" s="52" t="s">
        <v>3252</v>
      </c>
      <c r="C169" s="52">
        <v>121</v>
      </c>
      <c r="D169" s="52" t="s">
        <v>708</v>
      </c>
      <c r="E169" s="52" t="s">
        <v>707</v>
      </c>
      <c r="F169" s="52" t="s">
        <v>443</v>
      </c>
      <c r="G169" s="52" t="s">
        <v>34</v>
      </c>
      <c r="H169" s="52" t="s">
        <v>2115</v>
      </c>
      <c r="I169" s="52" t="s">
        <v>897</v>
      </c>
      <c r="K169" s="52" t="s">
        <v>884</v>
      </c>
      <c r="L169" s="52" t="s">
        <v>922</v>
      </c>
      <c r="M169" s="52" t="s">
        <v>890</v>
      </c>
      <c r="N169" s="52" t="s">
        <v>461</v>
      </c>
      <c r="O169" s="52" t="s">
        <v>446</v>
      </c>
      <c r="Q169" s="52">
        <v>941000031683492</v>
      </c>
      <c r="R169" s="52" t="s">
        <v>443</v>
      </c>
      <c r="S169" s="52" t="s">
        <v>885</v>
      </c>
      <c r="T169" s="53">
        <v>45839</v>
      </c>
      <c r="V169" s="53">
        <v>45878.59375</v>
      </c>
      <c r="W169" s="52" t="s">
        <v>892</v>
      </c>
      <c r="X169" s="53">
        <v>45873.59375</v>
      </c>
      <c r="Y169" s="52">
        <v>119.1</v>
      </c>
      <c r="AA169" s="52" t="s">
        <v>482</v>
      </c>
      <c r="AB169" s="52" t="s">
        <v>2076</v>
      </c>
      <c r="AC169" s="52" t="s">
        <v>41</v>
      </c>
      <c r="AE169" s="52">
        <v>1</v>
      </c>
      <c r="AF169" s="52" t="s">
        <v>41</v>
      </c>
      <c r="AK169" s="52">
        <v>377</v>
      </c>
    </row>
    <row r="170" spans="1:37" x14ac:dyDescent="0.2">
      <c r="A170" s="52" t="s">
        <v>967</v>
      </c>
      <c r="B170" s="52" t="s">
        <v>3252</v>
      </c>
      <c r="C170" s="52">
        <v>121</v>
      </c>
      <c r="D170" s="52" t="s">
        <v>711</v>
      </c>
      <c r="E170" s="52" t="s">
        <v>710</v>
      </c>
      <c r="F170" s="52" t="s">
        <v>444</v>
      </c>
      <c r="G170" s="52" t="s">
        <v>529</v>
      </c>
      <c r="H170" s="52" t="s">
        <v>3274</v>
      </c>
      <c r="I170" s="52" t="s">
        <v>958</v>
      </c>
      <c r="J170" s="52" t="s">
        <v>884</v>
      </c>
      <c r="K170" s="52" t="s">
        <v>884</v>
      </c>
      <c r="L170" s="52" t="s">
        <v>922</v>
      </c>
      <c r="M170" s="52" t="s">
        <v>886</v>
      </c>
      <c r="N170" s="52" t="s">
        <v>494</v>
      </c>
      <c r="O170" s="52" t="s">
        <v>446</v>
      </c>
      <c r="P170" s="52" t="s">
        <v>520</v>
      </c>
      <c r="Q170" s="52">
        <v>941000031735652</v>
      </c>
      <c r="R170" s="52" t="s">
        <v>444</v>
      </c>
      <c r="S170" s="52" t="s">
        <v>885</v>
      </c>
      <c r="T170" s="53">
        <v>42221</v>
      </c>
      <c r="V170" s="53">
        <v>45879.563194444447</v>
      </c>
      <c r="W170" s="52" t="s">
        <v>884</v>
      </c>
      <c r="X170" s="53">
        <v>45874.563194444447</v>
      </c>
      <c r="Y170" s="52">
        <v>118.1</v>
      </c>
      <c r="AA170" s="52" t="s">
        <v>482</v>
      </c>
      <c r="AB170" s="52" t="s">
        <v>3275</v>
      </c>
      <c r="AC170" s="52" t="s">
        <v>41</v>
      </c>
      <c r="AE170" s="52">
        <v>3</v>
      </c>
      <c r="AF170" s="52" t="s">
        <v>41</v>
      </c>
      <c r="AK170" s="52">
        <v>377</v>
      </c>
    </row>
    <row r="171" spans="1:37" x14ac:dyDescent="0.2">
      <c r="A171" s="52" t="s">
        <v>967</v>
      </c>
      <c r="B171" s="52" t="s">
        <v>3252</v>
      </c>
      <c r="C171" s="52">
        <v>121</v>
      </c>
      <c r="D171" s="52" t="s">
        <v>732</v>
      </c>
      <c r="E171" s="52" t="s">
        <v>1921</v>
      </c>
      <c r="F171" s="52" t="s">
        <v>443</v>
      </c>
      <c r="G171" s="52" t="s">
        <v>34</v>
      </c>
      <c r="H171" s="52" t="s">
        <v>3016</v>
      </c>
      <c r="I171" s="52" t="s">
        <v>2077</v>
      </c>
      <c r="K171" s="52" t="s">
        <v>884</v>
      </c>
      <c r="L171" s="52" t="s">
        <v>922</v>
      </c>
      <c r="M171" s="52" t="s">
        <v>886</v>
      </c>
      <c r="N171" s="52" t="s">
        <v>494</v>
      </c>
      <c r="O171" s="52" t="s">
        <v>446</v>
      </c>
      <c r="R171" s="52" t="s">
        <v>443</v>
      </c>
      <c r="S171" s="52" t="s">
        <v>885</v>
      </c>
      <c r="T171" s="53">
        <v>45876</v>
      </c>
      <c r="U171" s="52" t="s">
        <v>2028</v>
      </c>
      <c r="V171" s="53">
        <v>45892.573611111111</v>
      </c>
      <c r="W171" s="52" t="s">
        <v>884</v>
      </c>
      <c r="X171" s="53">
        <v>45887.573611111111</v>
      </c>
      <c r="Y171" s="52">
        <v>105.1</v>
      </c>
      <c r="AA171" s="52" t="s">
        <v>482</v>
      </c>
      <c r="AB171" s="52" t="s">
        <v>2078</v>
      </c>
      <c r="AC171" s="52" t="s">
        <v>41</v>
      </c>
      <c r="AE171" s="52">
        <v>1</v>
      </c>
      <c r="AF171" s="52" t="s">
        <v>41</v>
      </c>
      <c r="AK171" s="52">
        <v>377</v>
      </c>
    </row>
    <row r="172" spans="1:37" x14ac:dyDescent="0.2">
      <c r="A172" s="52" t="s">
        <v>967</v>
      </c>
      <c r="B172" s="52" t="s">
        <v>3252</v>
      </c>
      <c r="C172" s="52">
        <v>121</v>
      </c>
      <c r="D172" s="52" t="s">
        <v>327</v>
      </c>
      <c r="E172" s="52" t="s">
        <v>2747</v>
      </c>
      <c r="F172" s="52" t="s">
        <v>444</v>
      </c>
      <c r="G172" s="52" t="s">
        <v>535</v>
      </c>
      <c r="H172" s="52" t="s">
        <v>3276</v>
      </c>
      <c r="I172" s="52" t="s">
        <v>958</v>
      </c>
      <c r="J172" s="52" t="s">
        <v>884</v>
      </c>
      <c r="K172" s="52" t="s">
        <v>884</v>
      </c>
      <c r="L172" s="52" t="s">
        <v>887</v>
      </c>
      <c r="M172" s="52" t="s">
        <v>890</v>
      </c>
      <c r="N172" s="52" t="s">
        <v>461</v>
      </c>
      <c r="O172" s="52" t="s">
        <v>446</v>
      </c>
      <c r="P172" s="52" t="s">
        <v>735</v>
      </c>
      <c r="Q172" s="52">
        <v>941000031684296</v>
      </c>
      <c r="R172" s="52" t="s">
        <v>444</v>
      </c>
      <c r="S172" s="52" t="s">
        <v>885</v>
      </c>
      <c r="T172" s="53">
        <v>44063</v>
      </c>
      <c r="V172" s="53">
        <v>45893.589583333334</v>
      </c>
      <c r="W172" s="52" t="s">
        <v>892</v>
      </c>
      <c r="X172" s="53">
        <v>45888.589583333334</v>
      </c>
      <c r="Y172" s="52">
        <v>104.1</v>
      </c>
      <c r="AA172" s="52" t="s">
        <v>482</v>
      </c>
      <c r="AB172" s="52" t="s">
        <v>957</v>
      </c>
      <c r="AC172" s="52" t="s">
        <v>41</v>
      </c>
      <c r="AE172" s="52">
        <v>3</v>
      </c>
      <c r="AF172" s="52" t="s">
        <v>41</v>
      </c>
      <c r="AK172" s="52">
        <v>377</v>
      </c>
    </row>
    <row r="173" spans="1:37" x14ac:dyDescent="0.2">
      <c r="A173" s="52" t="s">
        <v>967</v>
      </c>
      <c r="B173" s="52" t="s">
        <v>3252</v>
      </c>
      <c r="C173" s="52">
        <v>121</v>
      </c>
      <c r="D173" s="52" t="s">
        <v>370</v>
      </c>
      <c r="E173" s="52" t="s">
        <v>1919</v>
      </c>
      <c r="F173" s="52" t="s">
        <v>444</v>
      </c>
      <c r="G173" s="52" t="s">
        <v>529</v>
      </c>
      <c r="H173" s="52" t="s">
        <v>3277</v>
      </c>
      <c r="I173" s="52" t="s">
        <v>899</v>
      </c>
      <c r="J173" s="52" t="s">
        <v>884</v>
      </c>
      <c r="K173" s="52" t="s">
        <v>884</v>
      </c>
      <c r="L173" s="52" t="s">
        <v>887</v>
      </c>
      <c r="M173" s="52" t="s">
        <v>890</v>
      </c>
      <c r="N173" s="52" t="s">
        <v>461</v>
      </c>
      <c r="O173" s="52" t="s">
        <v>446</v>
      </c>
      <c r="P173" s="52" t="s">
        <v>456</v>
      </c>
      <c r="Q173" s="52">
        <v>941000031684407</v>
      </c>
      <c r="R173" s="52" t="s">
        <v>444</v>
      </c>
      <c r="S173" s="52" t="s">
        <v>885</v>
      </c>
      <c r="T173" s="53">
        <v>45166</v>
      </c>
      <c r="V173" s="53">
        <v>45900.475694444445</v>
      </c>
      <c r="W173" s="52" t="s">
        <v>892</v>
      </c>
      <c r="X173" s="53">
        <v>45895.475694444445</v>
      </c>
      <c r="Y173" s="52">
        <v>97.2</v>
      </c>
      <c r="AA173" s="52" t="s">
        <v>482</v>
      </c>
      <c r="AB173" s="52" t="s">
        <v>919</v>
      </c>
      <c r="AC173" s="52" t="s">
        <v>41</v>
      </c>
      <c r="AE173" s="52">
        <v>3</v>
      </c>
      <c r="AF173" s="52" t="s">
        <v>41</v>
      </c>
      <c r="AK173" s="52">
        <v>377</v>
      </c>
    </row>
    <row r="174" spans="1:37" x14ac:dyDescent="0.2">
      <c r="A174" s="52" t="s">
        <v>967</v>
      </c>
      <c r="B174" s="52" t="s">
        <v>3252</v>
      </c>
      <c r="C174" s="52">
        <v>121</v>
      </c>
      <c r="D174" s="52" t="s">
        <v>403</v>
      </c>
      <c r="E174" s="52" t="s">
        <v>1186</v>
      </c>
      <c r="F174" s="52" t="s">
        <v>444</v>
      </c>
      <c r="G174" s="52" t="s">
        <v>529</v>
      </c>
      <c r="H174" s="52" t="s">
        <v>3278</v>
      </c>
      <c r="I174" s="52" t="s">
        <v>935</v>
      </c>
      <c r="J174" s="52" t="s">
        <v>884</v>
      </c>
      <c r="K174" s="52" t="s">
        <v>884</v>
      </c>
      <c r="L174" s="52" t="s">
        <v>887</v>
      </c>
      <c r="M174" s="52" t="s">
        <v>886</v>
      </c>
      <c r="N174" s="52" t="s">
        <v>461</v>
      </c>
      <c r="O174" s="52" t="s">
        <v>446</v>
      </c>
      <c r="P174" s="52" t="s">
        <v>456</v>
      </c>
      <c r="Q174" s="52">
        <v>941000031684155</v>
      </c>
      <c r="R174" s="52" t="s">
        <v>444</v>
      </c>
      <c r="S174" s="52" t="s">
        <v>885</v>
      </c>
      <c r="T174" s="53">
        <v>45532</v>
      </c>
      <c r="V174" s="53">
        <v>45901.598611111112</v>
      </c>
      <c r="W174" s="52" t="s">
        <v>892</v>
      </c>
      <c r="X174" s="53">
        <v>45896.598611111112</v>
      </c>
      <c r="Y174" s="52">
        <v>96.1</v>
      </c>
      <c r="AA174" s="52" t="s">
        <v>482</v>
      </c>
      <c r="AB174" s="52" t="s">
        <v>909</v>
      </c>
      <c r="AC174" s="52" t="s">
        <v>41</v>
      </c>
      <c r="AE174" s="52">
        <v>3</v>
      </c>
      <c r="AF174" s="52" t="s">
        <v>41</v>
      </c>
      <c r="AK174" s="52">
        <v>377</v>
      </c>
    </row>
    <row r="175" spans="1:37" x14ac:dyDescent="0.2">
      <c r="A175" s="52" t="s">
        <v>967</v>
      </c>
      <c r="B175" s="52" t="s">
        <v>3252</v>
      </c>
      <c r="C175" s="52">
        <v>121</v>
      </c>
      <c r="D175" s="52" t="s">
        <v>422</v>
      </c>
      <c r="E175" s="52" t="s">
        <v>762</v>
      </c>
      <c r="F175" s="52" t="s">
        <v>444</v>
      </c>
      <c r="G175" s="52" t="s">
        <v>489</v>
      </c>
      <c r="H175" s="52" t="s">
        <v>3277</v>
      </c>
      <c r="I175" s="52" t="s">
        <v>910</v>
      </c>
      <c r="J175" s="52" t="s">
        <v>884</v>
      </c>
      <c r="K175" s="52" t="s">
        <v>884</v>
      </c>
      <c r="L175" s="52" t="s">
        <v>922</v>
      </c>
      <c r="M175" s="52" t="s">
        <v>886</v>
      </c>
      <c r="N175" s="52" t="s">
        <v>461</v>
      </c>
      <c r="O175" s="52" t="s">
        <v>446</v>
      </c>
      <c r="P175" s="52" t="s">
        <v>761</v>
      </c>
      <c r="Q175" s="52">
        <v>941000031684341</v>
      </c>
      <c r="R175" s="52" t="s">
        <v>444</v>
      </c>
      <c r="S175" s="52" t="s">
        <v>885</v>
      </c>
      <c r="T175" s="53">
        <v>45166</v>
      </c>
      <c r="V175" s="53">
        <v>45902.581250000003</v>
      </c>
      <c r="W175" s="52" t="s">
        <v>892</v>
      </c>
      <c r="X175" s="53">
        <v>45897.581250000003</v>
      </c>
      <c r="Y175" s="52">
        <v>95.1</v>
      </c>
      <c r="AA175" s="52" t="s">
        <v>482</v>
      </c>
      <c r="AB175" s="52" t="s">
        <v>975</v>
      </c>
      <c r="AC175" s="52" t="s">
        <v>41</v>
      </c>
      <c r="AE175" s="52">
        <v>3</v>
      </c>
      <c r="AF175" s="52" t="s">
        <v>41</v>
      </c>
      <c r="AK175" s="52">
        <v>377</v>
      </c>
    </row>
    <row r="176" spans="1:37" x14ac:dyDescent="0.2">
      <c r="A176" s="52" t="s">
        <v>967</v>
      </c>
      <c r="B176" s="52" t="s">
        <v>3252</v>
      </c>
      <c r="C176" s="52">
        <v>121</v>
      </c>
      <c r="D176" s="52" t="s">
        <v>765</v>
      </c>
      <c r="E176" s="52" t="s">
        <v>764</v>
      </c>
      <c r="F176" s="52" t="s">
        <v>444</v>
      </c>
      <c r="G176" s="52" t="s">
        <v>460</v>
      </c>
      <c r="H176" s="52" t="s">
        <v>2975</v>
      </c>
      <c r="I176" s="52" t="s">
        <v>897</v>
      </c>
      <c r="J176" s="52" t="s">
        <v>884</v>
      </c>
      <c r="K176" s="52" t="s">
        <v>884</v>
      </c>
      <c r="L176" s="52" t="s">
        <v>922</v>
      </c>
      <c r="M176" s="52" t="s">
        <v>890</v>
      </c>
      <c r="N176" s="52" t="s">
        <v>461</v>
      </c>
      <c r="O176" s="52" t="s">
        <v>446</v>
      </c>
      <c r="Q176" s="52">
        <v>941000031683861</v>
      </c>
      <c r="R176" s="52" t="s">
        <v>444</v>
      </c>
      <c r="S176" s="52" t="s">
        <v>885</v>
      </c>
      <c r="T176" s="53">
        <v>45775</v>
      </c>
      <c r="V176" s="53">
        <v>45902.651388888888</v>
      </c>
      <c r="W176" s="52" t="s">
        <v>892</v>
      </c>
      <c r="X176" s="53">
        <v>45897.651388888888</v>
      </c>
      <c r="Y176" s="52">
        <v>95</v>
      </c>
      <c r="AA176" s="52" t="s">
        <v>482</v>
      </c>
      <c r="AB176" s="52" t="s">
        <v>974</v>
      </c>
      <c r="AC176" s="52" t="s">
        <v>41</v>
      </c>
      <c r="AE176" s="52">
        <v>1</v>
      </c>
      <c r="AF176" s="52" t="s">
        <v>41</v>
      </c>
      <c r="AK176" s="52">
        <v>377</v>
      </c>
    </row>
    <row r="177" spans="1:37" x14ac:dyDescent="0.2">
      <c r="A177" s="52" t="s">
        <v>967</v>
      </c>
      <c r="B177" s="52" t="s">
        <v>3252</v>
      </c>
      <c r="C177" s="52">
        <v>121</v>
      </c>
      <c r="D177" s="52" t="s">
        <v>770</v>
      </c>
      <c r="E177" s="52" t="s">
        <v>769</v>
      </c>
      <c r="F177" s="52" t="s">
        <v>443</v>
      </c>
      <c r="G177" s="52" t="s">
        <v>34</v>
      </c>
      <c r="H177" s="52" t="s">
        <v>3016</v>
      </c>
      <c r="I177" s="52" t="s">
        <v>894</v>
      </c>
      <c r="K177" s="52" t="s">
        <v>884</v>
      </c>
      <c r="L177" s="52" t="s">
        <v>922</v>
      </c>
      <c r="M177" s="52" t="s">
        <v>890</v>
      </c>
      <c r="N177" s="52" t="s">
        <v>494</v>
      </c>
      <c r="O177" s="52" t="s">
        <v>446</v>
      </c>
      <c r="R177" s="52" t="s">
        <v>443</v>
      </c>
      <c r="S177" s="52" t="s">
        <v>885</v>
      </c>
      <c r="T177" s="53">
        <v>45876</v>
      </c>
      <c r="V177" s="53">
        <v>45909.45</v>
      </c>
      <c r="W177" s="52" t="s">
        <v>884</v>
      </c>
      <c r="X177" s="53">
        <v>45904.45</v>
      </c>
      <c r="Y177" s="52">
        <v>88.3</v>
      </c>
      <c r="AA177" s="52" t="s">
        <v>482</v>
      </c>
      <c r="AB177" s="52" t="s">
        <v>2054</v>
      </c>
      <c r="AC177" s="52" t="s">
        <v>41</v>
      </c>
      <c r="AE177" s="52">
        <v>1</v>
      </c>
      <c r="AF177" s="52" t="s">
        <v>41</v>
      </c>
      <c r="AK177" s="52">
        <v>377</v>
      </c>
    </row>
    <row r="178" spans="1:37" x14ac:dyDescent="0.2">
      <c r="A178" s="52" t="s">
        <v>967</v>
      </c>
      <c r="B178" s="52" t="s">
        <v>3252</v>
      </c>
      <c r="C178" s="52">
        <v>121</v>
      </c>
      <c r="D178" s="52" t="s">
        <v>776</v>
      </c>
      <c r="E178" s="52" t="s">
        <v>1185</v>
      </c>
      <c r="F178" s="52" t="s">
        <v>443</v>
      </c>
      <c r="G178" s="52" t="s">
        <v>34</v>
      </c>
      <c r="H178" s="52" t="s">
        <v>3144</v>
      </c>
      <c r="I178" s="52" t="s">
        <v>2079</v>
      </c>
      <c r="J178" s="52" t="s">
        <v>884</v>
      </c>
      <c r="K178" s="52" t="s">
        <v>884</v>
      </c>
      <c r="L178" s="52" t="s">
        <v>922</v>
      </c>
      <c r="M178" s="52" t="s">
        <v>886</v>
      </c>
      <c r="N178" s="52" t="s">
        <v>461</v>
      </c>
      <c r="O178" s="52" t="s">
        <v>446</v>
      </c>
      <c r="Q178" s="52">
        <v>941000031684161</v>
      </c>
      <c r="R178" s="52" t="s">
        <v>443</v>
      </c>
      <c r="S178" s="52" t="s">
        <v>885</v>
      </c>
      <c r="T178" s="53">
        <v>45881</v>
      </c>
      <c r="V178" s="53">
        <v>45913.482638888891</v>
      </c>
      <c r="W178" s="52" t="s">
        <v>892</v>
      </c>
      <c r="X178" s="53">
        <v>45908.482638888891</v>
      </c>
      <c r="Y178" s="52">
        <v>84.2</v>
      </c>
      <c r="AA178" s="52" t="s">
        <v>482</v>
      </c>
      <c r="AB178" s="52" t="s">
        <v>2080</v>
      </c>
      <c r="AC178" s="52" t="s">
        <v>41</v>
      </c>
      <c r="AE178" s="52">
        <v>2</v>
      </c>
      <c r="AF178" s="52" t="s">
        <v>41</v>
      </c>
      <c r="AK178" s="52">
        <v>377</v>
      </c>
    </row>
    <row r="179" spans="1:37" x14ac:dyDescent="0.2">
      <c r="A179" s="52" t="s">
        <v>967</v>
      </c>
      <c r="B179" s="52" t="s">
        <v>3252</v>
      </c>
      <c r="C179" s="52">
        <v>121</v>
      </c>
      <c r="D179" s="52" t="s">
        <v>777</v>
      </c>
      <c r="E179" s="52" t="s">
        <v>1184</v>
      </c>
      <c r="F179" s="52" t="s">
        <v>443</v>
      </c>
      <c r="G179" s="52" t="s">
        <v>34</v>
      </c>
      <c r="H179" s="52" t="s">
        <v>3144</v>
      </c>
      <c r="I179" s="52" t="s">
        <v>2039</v>
      </c>
      <c r="K179" s="52" t="s">
        <v>884</v>
      </c>
      <c r="L179" s="52" t="s">
        <v>922</v>
      </c>
      <c r="M179" s="52" t="s">
        <v>890</v>
      </c>
      <c r="N179" s="52" t="s">
        <v>461</v>
      </c>
      <c r="O179" s="52" t="s">
        <v>446</v>
      </c>
      <c r="Q179" s="52">
        <v>941000031683507</v>
      </c>
      <c r="R179" s="52" t="s">
        <v>443</v>
      </c>
      <c r="S179" s="52" t="s">
        <v>885</v>
      </c>
      <c r="T179" s="53">
        <v>45881</v>
      </c>
      <c r="V179" s="53">
        <v>45913.482638888891</v>
      </c>
      <c r="W179" s="52" t="s">
        <v>892</v>
      </c>
      <c r="X179" s="53">
        <v>45908.482638888891</v>
      </c>
      <c r="Y179" s="52">
        <v>84.2</v>
      </c>
      <c r="AA179" s="52" t="s">
        <v>482</v>
      </c>
      <c r="AB179" s="52" t="s">
        <v>2081</v>
      </c>
      <c r="AC179" s="52" t="s">
        <v>41</v>
      </c>
      <c r="AE179" s="52">
        <v>2</v>
      </c>
      <c r="AF179" s="52" t="s">
        <v>41</v>
      </c>
      <c r="AK179" s="52">
        <v>377</v>
      </c>
    </row>
    <row r="180" spans="1:37" x14ac:dyDescent="0.2">
      <c r="A180" s="52" t="s">
        <v>967</v>
      </c>
      <c r="B180" s="52" t="s">
        <v>3252</v>
      </c>
      <c r="C180" s="52">
        <v>121</v>
      </c>
      <c r="D180" s="52" t="s">
        <v>414</v>
      </c>
      <c r="E180" s="52" t="s">
        <v>1915</v>
      </c>
      <c r="F180" s="52" t="s">
        <v>444</v>
      </c>
      <c r="G180" s="52" t="s">
        <v>535</v>
      </c>
      <c r="H180" s="52" t="s">
        <v>3279</v>
      </c>
      <c r="I180" s="52" t="s">
        <v>907</v>
      </c>
      <c r="K180" s="52" t="s">
        <v>884</v>
      </c>
      <c r="L180" s="52" t="s">
        <v>922</v>
      </c>
      <c r="M180" s="52" t="s">
        <v>890</v>
      </c>
      <c r="N180" s="52" t="s">
        <v>461</v>
      </c>
      <c r="O180" s="52" t="s">
        <v>446</v>
      </c>
      <c r="P180" s="52" t="s">
        <v>511</v>
      </c>
      <c r="Q180" s="52">
        <v>941000031683727</v>
      </c>
      <c r="R180" s="52" t="s">
        <v>444</v>
      </c>
      <c r="S180" s="52" t="s">
        <v>885</v>
      </c>
      <c r="T180" s="53">
        <v>45543</v>
      </c>
      <c r="V180" s="53">
        <v>45913.538888888892</v>
      </c>
      <c r="W180" s="52" t="s">
        <v>892</v>
      </c>
      <c r="X180" s="53">
        <v>45908.538888888892</v>
      </c>
      <c r="Y180" s="52">
        <v>84.2</v>
      </c>
      <c r="AA180" s="52" t="s">
        <v>482</v>
      </c>
      <c r="AB180" s="52" t="s">
        <v>919</v>
      </c>
      <c r="AC180" s="52" t="s">
        <v>41</v>
      </c>
      <c r="AE180" s="52">
        <v>2</v>
      </c>
      <c r="AF180" s="52" t="s">
        <v>41</v>
      </c>
      <c r="AK180" s="52">
        <v>377</v>
      </c>
    </row>
    <row r="181" spans="1:37" x14ac:dyDescent="0.2">
      <c r="A181" s="52" t="s">
        <v>967</v>
      </c>
      <c r="B181" s="52" t="s">
        <v>3252</v>
      </c>
      <c r="C181" s="52">
        <v>121</v>
      </c>
      <c r="D181" s="52" t="s">
        <v>786</v>
      </c>
      <c r="E181" s="52" t="s">
        <v>785</v>
      </c>
      <c r="F181" s="52" t="s">
        <v>443</v>
      </c>
      <c r="G181" s="52" t="s">
        <v>34</v>
      </c>
      <c r="H181" s="52" t="s">
        <v>3280</v>
      </c>
      <c r="I181" s="52" t="s">
        <v>899</v>
      </c>
      <c r="J181" s="52" t="s">
        <v>884</v>
      </c>
      <c r="K181" s="52" t="s">
        <v>884</v>
      </c>
      <c r="L181" s="52" t="s">
        <v>887</v>
      </c>
      <c r="M181" s="52" t="s">
        <v>890</v>
      </c>
      <c r="N181" s="52" t="s">
        <v>494</v>
      </c>
      <c r="O181" s="52" t="s">
        <v>446</v>
      </c>
      <c r="Q181" s="52">
        <v>941000031683740</v>
      </c>
      <c r="R181" s="52" t="s">
        <v>443</v>
      </c>
      <c r="S181" s="52" t="s">
        <v>885</v>
      </c>
      <c r="T181" s="53">
        <v>45874</v>
      </c>
      <c r="U181" s="52" t="s">
        <v>2004</v>
      </c>
      <c r="V181" s="53">
        <v>45913.609722222223</v>
      </c>
      <c r="W181" s="52" t="s">
        <v>892</v>
      </c>
      <c r="X181" s="53">
        <v>45908.609722222223</v>
      </c>
      <c r="Y181" s="52">
        <v>84.1</v>
      </c>
      <c r="AA181" s="52" t="s">
        <v>482</v>
      </c>
      <c r="AB181" s="52" t="s">
        <v>2082</v>
      </c>
      <c r="AC181" s="52" t="s">
        <v>41</v>
      </c>
      <c r="AE181" s="52">
        <v>3</v>
      </c>
      <c r="AF181" s="52" t="s">
        <v>41</v>
      </c>
      <c r="AK181" s="52">
        <v>377</v>
      </c>
    </row>
    <row r="182" spans="1:37" x14ac:dyDescent="0.2">
      <c r="A182" s="52" t="s">
        <v>967</v>
      </c>
      <c r="B182" s="52" t="s">
        <v>3252</v>
      </c>
      <c r="C182" s="52">
        <v>121</v>
      </c>
      <c r="D182" s="52" t="s">
        <v>788</v>
      </c>
      <c r="E182" s="52" t="s">
        <v>787</v>
      </c>
      <c r="F182" s="52" t="s">
        <v>443</v>
      </c>
      <c r="G182" s="52" t="s">
        <v>34</v>
      </c>
      <c r="H182" s="52" t="s">
        <v>3280</v>
      </c>
      <c r="I182" s="52" t="s">
        <v>964</v>
      </c>
      <c r="J182" s="52" t="s">
        <v>884</v>
      </c>
      <c r="K182" s="52" t="s">
        <v>884</v>
      </c>
      <c r="L182" s="52" t="s">
        <v>887</v>
      </c>
      <c r="M182" s="52" t="s">
        <v>886</v>
      </c>
      <c r="N182" s="52" t="s">
        <v>461</v>
      </c>
      <c r="O182" s="52" t="s">
        <v>446</v>
      </c>
      <c r="Q182" s="52">
        <v>941000031683683</v>
      </c>
      <c r="R182" s="52" t="s">
        <v>443</v>
      </c>
      <c r="S182" s="52" t="s">
        <v>885</v>
      </c>
      <c r="T182" s="53">
        <v>45874</v>
      </c>
      <c r="U182" s="52" t="s">
        <v>969</v>
      </c>
      <c r="V182" s="53">
        <v>45913.609722222223</v>
      </c>
      <c r="W182" s="52" t="s">
        <v>892</v>
      </c>
      <c r="X182" s="53">
        <v>45908.609722222223</v>
      </c>
      <c r="Y182" s="52">
        <v>84.1</v>
      </c>
      <c r="AA182" s="52" t="s">
        <v>482</v>
      </c>
      <c r="AB182" s="52" t="s">
        <v>2083</v>
      </c>
      <c r="AC182" s="52" t="s">
        <v>41</v>
      </c>
      <c r="AE182" s="52">
        <v>3</v>
      </c>
      <c r="AF182" s="52" t="s">
        <v>41</v>
      </c>
      <c r="AK182" s="52">
        <v>377</v>
      </c>
    </row>
    <row r="183" spans="1:37" x14ac:dyDescent="0.2">
      <c r="A183" s="52" t="s">
        <v>967</v>
      </c>
      <c r="B183" s="52" t="s">
        <v>3252</v>
      </c>
      <c r="C183" s="52">
        <v>121</v>
      </c>
      <c r="D183" s="52" t="s">
        <v>795</v>
      </c>
      <c r="E183" s="52" t="s">
        <v>794</v>
      </c>
      <c r="F183" s="52" t="s">
        <v>443</v>
      </c>
      <c r="G183" s="52" t="s">
        <v>34</v>
      </c>
      <c r="H183" s="52" t="s">
        <v>2961</v>
      </c>
      <c r="I183" s="52" t="s">
        <v>2019</v>
      </c>
      <c r="K183" s="52" t="s">
        <v>884</v>
      </c>
      <c r="L183" s="52" t="s">
        <v>922</v>
      </c>
      <c r="M183" s="52" t="s">
        <v>890</v>
      </c>
      <c r="N183" s="52" t="s">
        <v>494</v>
      </c>
      <c r="O183" s="52" t="s">
        <v>446</v>
      </c>
      <c r="R183" s="52" t="s">
        <v>443</v>
      </c>
      <c r="S183" s="52" t="s">
        <v>885</v>
      </c>
      <c r="T183" s="53">
        <v>45889</v>
      </c>
      <c r="V183" s="53">
        <v>45916.543055555558</v>
      </c>
      <c r="W183" s="52" t="s">
        <v>884</v>
      </c>
      <c r="X183" s="53">
        <v>45911.543055555558</v>
      </c>
      <c r="Y183" s="52">
        <v>81.099999999999994</v>
      </c>
      <c r="AA183" s="52" t="s">
        <v>482</v>
      </c>
      <c r="AB183" s="52" t="s">
        <v>2044</v>
      </c>
      <c r="AC183" s="52" t="s">
        <v>41</v>
      </c>
      <c r="AE183" s="52">
        <v>2</v>
      </c>
      <c r="AF183" s="52" t="s">
        <v>41</v>
      </c>
      <c r="AK183" s="52">
        <v>377</v>
      </c>
    </row>
    <row r="184" spans="1:37" x14ac:dyDescent="0.2">
      <c r="A184" s="52" t="s">
        <v>967</v>
      </c>
      <c r="B184" s="52" t="s">
        <v>3252</v>
      </c>
      <c r="C184" s="52">
        <v>121</v>
      </c>
      <c r="D184" s="52" t="s">
        <v>803</v>
      </c>
      <c r="E184" s="52" t="s">
        <v>1175</v>
      </c>
      <c r="F184" s="52" t="s">
        <v>443</v>
      </c>
      <c r="G184" s="52" t="s">
        <v>34</v>
      </c>
      <c r="H184" s="52" t="s">
        <v>913</v>
      </c>
      <c r="I184" s="52" t="s">
        <v>2023</v>
      </c>
      <c r="K184" s="52" t="s">
        <v>884</v>
      </c>
      <c r="L184" s="52" t="s">
        <v>922</v>
      </c>
      <c r="M184" s="52" t="s">
        <v>886</v>
      </c>
      <c r="N184" s="52" t="s">
        <v>494</v>
      </c>
      <c r="O184" s="52" t="s">
        <v>446</v>
      </c>
      <c r="R184" s="52" t="s">
        <v>443</v>
      </c>
      <c r="S184" s="52" t="s">
        <v>885</v>
      </c>
      <c r="U184" s="52" t="s">
        <v>2013</v>
      </c>
      <c r="V184" s="53">
        <v>45920.597916666666</v>
      </c>
      <c r="W184" s="52" t="s">
        <v>884</v>
      </c>
      <c r="X184" s="53">
        <v>45915.597916666666</v>
      </c>
      <c r="Y184" s="52">
        <v>77.099999999999994</v>
      </c>
      <c r="AA184" s="52" t="s">
        <v>482</v>
      </c>
      <c r="AC184" s="52" t="s">
        <v>41</v>
      </c>
      <c r="AE184" s="52">
        <v>2</v>
      </c>
      <c r="AF184" s="52" t="s">
        <v>41</v>
      </c>
      <c r="AK184" s="52">
        <v>377</v>
      </c>
    </row>
    <row r="185" spans="1:37" x14ac:dyDescent="0.2">
      <c r="A185" s="52" t="s">
        <v>967</v>
      </c>
      <c r="B185" s="52" t="s">
        <v>3252</v>
      </c>
      <c r="C185" s="52">
        <v>121</v>
      </c>
      <c r="D185" s="52" t="s">
        <v>820</v>
      </c>
      <c r="E185" s="52" t="s">
        <v>819</v>
      </c>
      <c r="F185" s="52" t="s">
        <v>443</v>
      </c>
      <c r="G185" s="52" t="s">
        <v>34</v>
      </c>
      <c r="H185" s="52" t="s">
        <v>3148</v>
      </c>
      <c r="I185" s="52" t="s">
        <v>897</v>
      </c>
      <c r="K185" s="52" t="s">
        <v>884</v>
      </c>
      <c r="L185" s="52" t="s">
        <v>922</v>
      </c>
      <c r="M185" s="52" t="s">
        <v>886</v>
      </c>
      <c r="N185" s="52" t="s">
        <v>494</v>
      </c>
      <c r="O185" s="52" t="s">
        <v>446</v>
      </c>
      <c r="R185" s="52" t="s">
        <v>443</v>
      </c>
      <c r="S185" s="52" t="s">
        <v>885</v>
      </c>
      <c r="T185" s="53">
        <v>45869</v>
      </c>
      <c r="V185" s="53">
        <v>45921.601388888892</v>
      </c>
      <c r="W185" s="52" t="s">
        <v>884</v>
      </c>
      <c r="X185" s="53">
        <v>45916.601388888892</v>
      </c>
      <c r="Y185" s="52">
        <v>76.099999999999994</v>
      </c>
      <c r="AA185" s="52" t="s">
        <v>482</v>
      </c>
      <c r="AB185" s="52" t="s">
        <v>2084</v>
      </c>
      <c r="AC185" s="52" t="s">
        <v>41</v>
      </c>
      <c r="AE185" s="52">
        <v>2</v>
      </c>
      <c r="AF185" s="52" t="s">
        <v>41</v>
      </c>
      <c r="AK185" s="52">
        <v>377</v>
      </c>
    </row>
    <row r="186" spans="1:37" x14ac:dyDescent="0.2">
      <c r="A186" s="52" t="s">
        <v>967</v>
      </c>
      <c r="B186" s="52" t="s">
        <v>3252</v>
      </c>
      <c r="C186" s="52">
        <v>121</v>
      </c>
      <c r="D186" s="52" t="s">
        <v>847</v>
      </c>
      <c r="E186" s="52" t="s">
        <v>846</v>
      </c>
      <c r="F186" s="52" t="s">
        <v>443</v>
      </c>
      <c r="G186" s="52" t="s">
        <v>34</v>
      </c>
      <c r="H186" s="52" t="s">
        <v>3281</v>
      </c>
      <c r="I186" s="52" t="s">
        <v>903</v>
      </c>
      <c r="K186" s="52" t="s">
        <v>884</v>
      </c>
      <c r="L186" s="52" t="s">
        <v>922</v>
      </c>
      <c r="M186" s="52" t="s">
        <v>890</v>
      </c>
      <c r="N186" s="52" t="s">
        <v>494</v>
      </c>
      <c r="O186" s="52" t="s">
        <v>446</v>
      </c>
      <c r="R186" s="52" t="s">
        <v>443</v>
      </c>
      <c r="S186" s="52" t="s">
        <v>885</v>
      </c>
      <c r="T186" s="53">
        <v>45870</v>
      </c>
      <c r="U186" s="52" t="s">
        <v>2000</v>
      </c>
      <c r="V186" s="53">
        <v>45931.586111111108</v>
      </c>
      <c r="W186" s="52" t="s">
        <v>884</v>
      </c>
      <c r="X186" s="53">
        <v>45926.586111111108</v>
      </c>
      <c r="Y186" s="52">
        <v>66.099999999999994</v>
      </c>
      <c r="AA186" s="52" t="s">
        <v>482</v>
      </c>
      <c r="AB186" s="52" t="s">
        <v>2085</v>
      </c>
      <c r="AC186" s="52" t="s">
        <v>41</v>
      </c>
      <c r="AE186" s="52">
        <v>1</v>
      </c>
      <c r="AF186" s="52" t="s">
        <v>41</v>
      </c>
      <c r="AK186" s="52">
        <v>377</v>
      </c>
    </row>
    <row r="187" spans="1:37" x14ac:dyDescent="0.2">
      <c r="A187" s="52" t="s">
        <v>967</v>
      </c>
      <c r="B187" s="52" t="s">
        <v>3252</v>
      </c>
      <c r="C187" s="52">
        <v>121</v>
      </c>
      <c r="D187" s="52" t="s">
        <v>860</v>
      </c>
      <c r="E187" s="52" t="s">
        <v>859</v>
      </c>
      <c r="F187" s="52" t="s">
        <v>443</v>
      </c>
      <c r="G187" s="52" t="s">
        <v>34</v>
      </c>
      <c r="H187" s="52" t="s">
        <v>3282</v>
      </c>
      <c r="I187" s="52" t="s">
        <v>897</v>
      </c>
      <c r="K187" s="52" t="s">
        <v>884</v>
      </c>
      <c r="L187" s="52" t="s">
        <v>922</v>
      </c>
      <c r="M187" s="52" t="s">
        <v>886</v>
      </c>
      <c r="N187" s="52" t="s">
        <v>682</v>
      </c>
      <c r="O187" s="52" t="s">
        <v>446</v>
      </c>
      <c r="R187" s="52" t="s">
        <v>443</v>
      </c>
      <c r="S187" s="52" t="s">
        <v>885</v>
      </c>
      <c r="T187" s="53">
        <v>45901</v>
      </c>
      <c r="V187" s="53">
        <v>45936.469444444447</v>
      </c>
      <c r="W187" s="52" t="s">
        <v>884</v>
      </c>
      <c r="X187" s="53">
        <v>45931.469444444447</v>
      </c>
      <c r="Y187" s="52">
        <v>61.2</v>
      </c>
      <c r="AA187" s="52" t="s">
        <v>482</v>
      </c>
      <c r="AB187" s="52" t="s">
        <v>2087</v>
      </c>
      <c r="AC187" s="52" t="s">
        <v>41</v>
      </c>
      <c r="AE187" s="52">
        <v>1</v>
      </c>
      <c r="AF187" s="52" t="s">
        <v>41</v>
      </c>
      <c r="AK187" s="52">
        <v>377</v>
      </c>
    </row>
    <row r="188" spans="1:37" x14ac:dyDescent="0.2">
      <c r="A188" s="52" t="s">
        <v>967</v>
      </c>
      <c r="B188" s="52" t="s">
        <v>3252</v>
      </c>
      <c r="C188" s="52">
        <v>121</v>
      </c>
      <c r="D188" s="52" t="s">
        <v>1091</v>
      </c>
      <c r="E188" s="52" t="s">
        <v>1164</v>
      </c>
      <c r="F188" s="52" t="s">
        <v>444</v>
      </c>
      <c r="G188" s="52" t="s">
        <v>1092</v>
      </c>
      <c r="H188" s="52" t="s">
        <v>2966</v>
      </c>
      <c r="I188" s="52" t="s">
        <v>973</v>
      </c>
      <c r="K188" s="52" t="s">
        <v>884</v>
      </c>
      <c r="L188" s="52" t="s">
        <v>922</v>
      </c>
      <c r="M188" s="52" t="s">
        <v>890</v>
      </c>
      <c r="N188" s="52" t="s">
        <v>461</v>
      </c>
      <c r="O188" s="52" t="s">
        <v>446</v>
      </c>
      <c r="Q188" s="52">
        <v>985113010196005</v>
      </c>
      <c r="R188" s="52" t="s">
        <v>444</v>
      </c>
      <c r="S188" s="52" t="s">
        <v>885</v>
      </c>
      <c r="T188" s="53">
        <v>45784</v>
      </c>
      <c r="V188" s="53">
        <v>45941.494444444441</v>
      </c>
      <c r="W188" s="52" t="s">
        <v>892</v>
      </c>
      <c r="X188" s="53">
        <v>45936.494444444441</v>
      </c>
      <c r="Y188" s="52">
        <v>56.2</v>
      </c>
      <c r="AA188" s="52" t="s">
        <v>482</v>
      </c>
      <c r="AB188" s="52" t="s">
        <v>1097</v>
      </c>
      <c r="AC188" s="52" t="s">
        <v>41</v>
      </c>
      <c r="AE188" s="52">
        <v>1</v>
      </c>
      <c r="AF188" s="52" t="s">
        <v>41</v>
      </c>
      <c r="AK188" s="52">
        <v>377</v>
      </c>
    </row>
    <row r="189" spans="1:37" x14ac:dyDescent="0.2">
      <c r="A189" s="52" t="s">
        <v>967</v>
      </c>
      <c r="B189" s="52" t="s">
        <v>3252</v>
      </c>
      <c r="C189" s="52">
        <v>121</v>
      </c>
      <c r="D189" s="52" t="s">
        <v>1087</v>
      </c>
      <c r="E189" s="52" t="s">
        <v>1162</v>
      </c>
      <c r="F189" s="52" t="s">
        <v>443</v>
      </c>
      <c r="G189" s="52" t="s">
        <v>34</v>
      </c>
      <c r="H189" s="52" t="s">
        <v>2974</v>
      </c>
      <c r="I189" s="52" t="s">
        <v>935</v>
      </c>
      <c r="K189" s="52" t="s">
        <v>884</v>
      </c>
      <c r="L189" s="52" t="s">
        <v>922</v>
      </c>
      <c r="M189" s="52" t="s">
        <v>886</v>
      </c>
      <c r="N189" s="52" t="s">
        <v>494</v>
      </c>
      <c r="O189" s="52" t="s">
        <v>446</v>
      </c>
      <c r="R189" s="52" t="s">
        <v>443</v>
      </c>
      <c r="S189" s="52" t="s">
        <v>885</v>
      </c>
      <c r="T189" s="53">
        <v>45895</v>
      </c>
      <c r="U189" s="52" t="s">
        <v>2013</v>
      </c>
      <c r="V189" s="53">
        <v>45942.493750000001</v>
      </c>
      <c r="W189" s="52" t="s">
        <v>884</v>
      </c>
      <c r="X189" s="53">
        <v>45937.493750000001</v>
      </c>
      <c r="Y189" s="52">
        <v>55.2</v>
      </c>
      <c r="AA189" s="52" t="s">
        <v>482</v>
      </c>
      <c r="AB189" s="52" t="s">
        <v>2101</v>
      </c>
      <c r="AC189" s="52" t="s">
        <v>41</v>
      </c>
      <c r="AE189" s="52">
        <v>1</v>
      </c>
      <c r="AF189" s="52" t="s">
        <v>41</v>
      </c>
      <c r="AK189" s="52">
        <v>377</v>
      </c>
    </row>
    <row r="190" spans="1:37" x14ac:dyDescent="0.2">
      <c r="A190" s="52" t="s">
        <v>967</v>
      </c>
      <c r="B190" s="52" t="s">
        <v>3252</v>
      </c>
      <c r="C190" s="52">
        <v>121</v>
      </c>
      <c r="D190" s="52" t="s">
        <v>1157</v>
      </c>
      <c r="E190" s="52" t="s">
        <v>1892</v>
      </c>
      <c r="F190" s="52" t="s">
        <v>443</v>
      </c>
      <c r="G190" s="52" t="s">
        <v>34</v>
      </c>
      <c r="H190" s="52" t="s">
        <v>1483</v>
      </c>
      <c r="I190" s="52" t="s">
        <v>903</v>
      </c>
      <c r="K190" s="52" t="s">
        <v>884</v>
      </c>
      <c r="L190" s="52" t="s">
        <v>922</v>
      </c>
      <c r="M190" s="52" t="s">
        <v>890</v>
      </c>
      <c r="N190" s="52" t="s">
        <v>731</v>
      </c>
      <c r="O190" s="52" t="s">
        <v>446</v>
      </c>
      <c r="R190" s="52" t="s">
        <v>443</v>
      </c>
      <c r="S190" s="52" t="s">
        <v>885</v>
      </c>
      <c r="T190" s="53">
        <v>45924</v>
      </c>
      <c r="U190" s="52" t="s">
        <v>2000</v>
      </c>
      <c r="V190" s="53">
        <v>45943.501388888886</v>
      </c>
      <c r="W190" s="52" t="s">
        <v>884</v>
      </c>
      <c r="X190" s="53">
        <v>45938.501388888886</v>
      </c>
      <c r="Y190" s="52">
        <v>54.2</v>
      </c>
      <c r="AA190" s="52" t="s">
        <v>482</v>
      </c>
      <c r="AB190" s="52" t="s">
        <v>2089</v>
      </c>
      <c r="AC190" s="52" t="s">
        <v>41</v>
      </c>
      <c r="AE190" s="52">
        <v>2</v>
      </c>
      <c r="AF190" s="52" t="s">
        <v>41</v>
      </c>
      <c r="AK190" s="52">
        <v>377</v>
      </c>
    </row>
    <row r="191" spans="1:37" x14ac:dyDescent="0.2">
      <c r="A191" s="52" t="s">
        <v>967</v>
      </c>
      <c r="B191" s="52" t="s">
        <v>3252</v>
      </c>
      <c r="C191" s="52">
        <v>121</v>
      </c>
      <c r="D191" s="52" t="s">
        <v>1156</v>
      </c>
      <c r="E191" s="52" t="s">
        <v>1891</v>
      </c>
      <c r="F191" s="52" t="s">
        <v>443</v>
      </c>
      <c r="G191" s="52" t="s">
        <v>34</v>
      </c>
      <c r="H191" s="52" t="s">
        <v>1483</v>
      </c>
      <c r="I191" s="52" t="s">
        <v>2039</v>
      </c>
      <c r="K191" s="52" t="s">
        <v>884</v>
      </c>
      <c r="L191" s="52" t="s">
        <v>922</v>
      </c>
      <c r="M191" s="52" t="s">
        <v>890</v>
      </c>
      <c r="N191" s="52" t="s">
        <v>731</v>
      </c>
      <c r="O191" s="52" t="s">
        <v>446</v>
      </c>
      <c r="R191" s="52" t="s">
        <v>443</v>
      </c>
      <c r="S191" s="52" t="s">
        <v>885</v>
      </c>
      <c r="T191" s="53">
        <v>45924</v>
      </c>
      <c r="V191" s="53">
        <v>45943.501388888886</v>
      </c>
      <c r="W191" s="52" t="s">
        <v>884</v>
      </c>
      <c r="X191" s="53">
        <v>45938.501388888886</v>
      </c>
      <c r="Y191" s="52">
        <v>54.2</v>
      </c>
      <c r="AA191" s="52" t="s">
        <v>482</v>
      </c>
      <c r="AB191" s="52" t="s">
        <v>2090</v>
      </c>
      <c r="AC191" s="52" t="s">
        <v>41</v>
      </c>
      <c r="AE191" s="52">
        <v>2</v>
      </c>
      <c r="AF191" s="52" t="s">
        <v>41</v>
      </c>
      <c r="AK191" s="52">
        <v>377</v>
      </c>
    </row>
    <row r="192" spans="1:37" x14ac:dyDescent="0.2">
      <c r="A192" s="52" t="s">
        <v>967</v>
      </c>
      <c r="B192" s="52" t="s">
        <v>3252</v>
      </c>
      <c r="C192" s="52">
        <v>121</v>
      </c>
      <c r="D192" s="52" t="s">
        <v>1155</v>
      </c>
      <c r="E192" s="52" t="s">
        <v>1890</v>
      </c>
      <c r="F192" s="52" t="s">
        <v>443</v>
      </c>
      <c r="G192" s="52" t="s">
        <v>34</v>
      </c>
      <c r="H192" s="52" t="s">
        <v>1483</v>
      </c>
      <c r="I192" s="52" t="s">
        <v>2039</v>
      </c>
      <c r="K192" s="52" t="s">
        <v>884</v>
      </c>
      <c r="L192" s="52" t="s">
        <v>922</v>
      </c>
      <c r="M192" s="52" t="s">
        <v>890</v>
      </c>
      <c r="N192" s="52" t="s">
        <v>731</v>
      </c>
      <c r="O192" s="52" t="s">
        <v>446</v>
      </c>
      <c r="R192" s="52" t="s">
        <v>443</v>
      </c>
      <c r="S192" s="52" t="s">
        <v>885</v>
      </c>
      <c r="T192" s="53">
        <v>45924</v>
      </c>
      <c r="V192" s="53">
        <v>45943.501388888886</v>
      </c>
      <c r="W192" s="52" t="s">
        <v>884</v>
      </c>
      <c r="X192" s="53">
        <v>45938.501388888886</v>
      </c>
      <c r="Y192" s="52">
        <v>54.2</v>
      </c>
      <c r="AA192" s="52" t="s">
        <v>482</v>
      </c>
      <c r="AB192" s="52" t="s">
        <v>2091</v>
      </c>
      <c r="AC192" s="52" t="s">
        <v>41</v>
      </c>
      <c r="AE192" s="52">
        <v>2</v>
      </c>
      <c r="AF192" s="52" t="s">
        <v>41</v>
      </c>
      <c r="AK192" s="52">
        <v>377</v>
      </c>
    </row>
    <row r="193" spans="1:37" x14ac:dyDescent="0.2">
      <c r="A193" s="52" t="s">
        <v>967</v>
      </c>
      <c r="B193" s="52" t="s">
        <v>3252</v>
      </c>
      <c r="C193" s="52">
        <v>121</v>
      </c>
      <c r="D193" s="52" t="s">
        <v>1150</v>
      </c>
      <c r="E193" s="52" t="s">
        <v>3283</v>
      </c>
      <c r="F193" s="52" t="s">
        <v>444</v>
      </c>
      <c r="G193" s="52" t="s">
        <v>451</v>
      </c>
      <c r="H193" s="52" t="s">
        <v>3284</v>
      </c>
      <c r="I193" s="52" t="s">
        <v>1213</v>
      </c>
      <c r="J193" s="52" t="s">
        <v>884</v>
      </c>
      <c r="K193" s="52" t="s">
        <v>884</v>
      </c>
      <c r="L193" s="52" t="s">
        <v>896</v>
      </c>
      <c r="M193" s="52" t="s">
        <v>886</v>
      </c>
      <c r="N193" s="52" t="s">
        <v>3285</v>
      </c>
      <c r="O193" s="52" t="s">
        <v>446</v>
      </c>
      <c r="P193" s="52" t="s">
        <v>456</v>
      </c>
      <c r="R193" s="52" t="s">
        <v>444</v>
      </c>
      <c r="S193" s="52" t="s">
        <v>885</v>
      </c>
      <c r="T193" s="53">
        <v>45846</v>
      </c>
      <c r="U193" s="52" t="s">
        <v>969</v>
      </c>
      <c r="W193" s="52" t="s">
        <v>884</v>
      </c>
      <c r="X193" s="53">
        <v>45938.584722222222</v>
      </c>
      <c r="Y193" s="52">
        <v>54.1</v>
      </c>
      <c r="AA193" s="52" t="s">
        <v>482</v>
      </c>
      <c r="AB193" s="52" t="s">
        <v>1214</v>
      </c>
      <c r="AC193" s="52" t="s">
        <v>41</v>
      </c>
      <c r="AE193" s="52">
        <v>1</v>
      </c>
      <c r="AF193" s="52" t="s">
        <v>41</v>
      </c>
      <c r="AK193" s="52">
        <v>377</v>
      </c>
    </row>
    <row r="194" spans="1:37" x14ac:dyDescent="0.2">
      <c r="A194" s="52" t="s">
        <v>967</v>
      </c>
      <c r="B194" s="52" t="s">
        <v>3252</v>
      </c>
      <c r="C194" s="52">
        <v>121</v>
      </c>
      <c r="D194" s="52" t="s">
        <v>1148</v>
      </c>
      <c r="E194" s="52" t="s">
        <v>3286</v>
      </c>
      <c r="F194" s="52" t="s">
        <v>444</v>
      </c>
      <c r="G194" s="52" t="s">
        <v>451</v>
      </c>
      <c r="H194" s="52" t="s">
        <v>3284</v>
      </c>
      <c r="I194" s="52" t="s">
        <v>917</v>
      </c>
      <c r="J194" s="52" t="s">
        <v>884</v>
      </c>
      <c r="K194" s="52" t="s">
        <v>884</v>
      </c>
      <c r="L194" s="52" t="s">
        <v>896</v>
      </c>
      <c r="M194" s="52" t="s">
        <v>886</v>
      </c>
      <c r="N194" s="52" t="s">
        <v>3285</v>
      </c>
      <c r="O194" s="52" t="s">
        <v>446</v>
      </c>
      <c r="P194" s="52" t="s">
        <v>456</v>
      </c>
      <c r="R194" s="52" t="s">
        <v>444</v>
      </c>
      <c r="S194" s="52" t="s">
        <v>885</v>
      </c>
      <c r="T194" s="53">
        <v>45846</v>
      </c>
      <c r="U194" s="52" t="s">
        <v>950</v>
      </c>
      <c r="W194" s="52" t="s">
        <v>884</v>
      </c>
      <c r="X194" s="53">
        <v>45938.584722222222</v>
      </c>
      <c r="Y194" s="52">
        <v>54.1</v>
      </c>
      <c r="AA194" s="52" t="s">
        <v>482</v>
      </c>
      <c r="AB194" s="52" t="s">
        <v>968</v>
      </c>
      <c r="AC194" s="52" t="s">
        <v>41</v>
      </c>
      <c r="AE194" s="52">
        <v>1</v>
      </c>
      <c r="AF194" s="52" t="s">
        <v>41</v>
      </c>
      <c r="AK194" s="52">
        <v>377</v>
      </c>
    </row>
    <row r="195" spans="1:37" x14ac:dyDescent="0.2">
      <c r="A195" s="52" t="s">
        <v>967</v>
      </c>
      <c r="B195" s="52" t="s">
        <v>3252</v>
      </c>
      <c r="C195" s="52">
        <v>121</v>
      </c>
      <c r="D195" s="52" t="s">
        <v>1147</v>
      </c>
      <c r="E195" s="52" t="s">
        <v>3287</v>
      </c>
      <c r="F195" s="52" t="s">
        <v>444</v>
      </c>
      <c r="G195" s="52" t="s">
        <v>451</v>
      </c>
      <c r="H195" s="52" t="s">
        <v>3284</v>
      </c>
      <c r="I195" s="52" t="s">
        <v>948</v>
      </c>
      <c r="J195" s="52" t="s">
        <v>884</v>
      </c>
      <c r="K195" s="52" t="s">
        <v>884</v>
      </c>
      <c r="L195" s="52" t="s">
        <v>896</v>
      </c>
      <c r="M195" s="52" t="s">
        <v>890</v>
      </c>
      <c r="N195" s="52" t="s">
        <v>3285</v>
      </c>
      <c r="O195" s="52" t="s">
        <v>446</v>
      </c>
      <c r="P195" s="52" t="s">
        <v>456</v>
      </c>
      <c r="R195" s="52" t="s">
        <v>444</v>
      </c>
      <c r="S195" s="52" t="s">
        <v>885</v>
      </c>
      <c r="T195" s="53">
        <v>45846</v>
      </c>
      <c r="W195" s="52" t="s">
        <v>884</v>
      </c>
      <c r="X195" s="53">
        <v>45938.589583333334</v>
      </c>
      <c r="Y195" s="52">
        <v>54.1</v>
      </c>
      <c r="AA195" s="52" t="s">
        <v>482</v>
      </c>
      <c r="AB195" s="52" t="s">
        <v>1215</v>
      </c>
      <c r="AC195" s="52" t="s">
        <v>41</v>
      </c>
      <c r="AE195" s="52">
        <v>1</v>
      </c>
      <c r="AF195" s="52" t="s">
        <v>41</v>
      </c>
      <c r="AK195" s="52">
        <v>377</v>
      </c>
    </row>
    <row r="196" spans="1:37" x14ac:dyDescent="0.2">
      <c r="A196" s="52" t="s">
        <v>967</v>
      </c>
      <c r="B196" s="52" t="s">
        <v>3252</v>
      </c>
      <c r="C196" s="52">
        <v>121</v>
      </c>
      <c r="D196" s="52" t="s">
        <v>1145</v>
      </c>
      <c r="E196" s="52" t="s">
        <v>3288</v>
      </c>
      <c r="F196" s="52" t="s">
        <v>444</v>
      </c>
      <c r="G196" s="52" t="s">
        <v>451</v>
      </c>
      <c r="H196" s="52" t="s">
        <v>3289</v>
      </c>
      <c r="I196" s="52" t="s">
        <v>1216</v>
      </c>
      <c r="J196" s="52" t="s">
        <v>884</v>
      </c>
      <c r="K196" s="52" t="s">
        <v>884</v>
      </c>
      <c r="L196" s="52" t="s">
        <v>896</v>
      </c>
      <c r="M196" s="52" t="s">
        <v>890</v>
      </c>
      <c r="N196" s="52" t="s">
        <v>3285</v>
      </c>
      <c r="O196" s="52" t="s">
        <v>446</v>
      </c>
      <c r="P196" s="52" t="s">
        <v>456</v>
      </c>
      <c r="R196" s="52" t="s">
        <v>444</v>
      </c>
      <c r="S196" s="52" t="s">
        <v>885</v>
      </c>
      <c r="T196" s="53">
        <v>45849</v>
      </c>
      <c r="W196" s="52" t="s">
        <v>884</v>
      </c>
      <c r="X196" s="53">
        <v>45938.589583333334</v>
      </c>
      <c r="Y196" s="52">
        <v>54.1</v>
      </c>
      <c r="AA196" s="52" t="s">
        <v>482</v>
      </c>
      <c r="AB196" s="52" t="s">
        <v>968</v>
      </c>
      <c r="AC196" s="52" t="s">
        <v>41</v>
      </c>
      <c r="AE196" s="52">
        <v>1</v>
      </c>
      <c r="AF196" s="52" t="s">
        <v>41</v>
      </c>
      <c r="AK196" s="52">
        <v>377</v>
      </c>
    </row>
    <row r="197" spans="1:37" x14ac:dyDescent="0.2">
      <c r="A197" s="52" t="s">
        <v>967</v>
      </c>
      <c r="B197" s="52" t="s">
        <v>3252</v>
      </c>
      <c r="C197" s="52">
        <v>121</v>
      </c>
      <c r="D197" s="52" t="s">
        <v>1142</v>
      </c>
      <c r="E197" s="52" t="s">
        <v>3290</v>
      </c>
      <c r="F197" s="52" t="s">
        <v>444</v>
      </c>
      <c r="G197" s="52" t="s">
        <v>451</v>
      </c>
      <c r="H197" s="52" t="s">
        <v>3284</v>
      </c>
      <c r="I197" s="52" t="s">
        <v>917</v>
      </c>
      <c r="J197" s="52" t="s">
        <v>884</v>
      </c>
      <c r="K197" s="52" t="s">
        <v>884</v>
      </c>
      <c r="L197" s="52" t="s">
        <v>896</v>
      </c>
      <c r="M197" s="52" t="s">
        <v>886</v>
      </c>
      <c r="N197" s="52" t="s">
        <v>3285</v>
      </c>
      <c r="O197" s="52" t="s">
        <v>446</v>
      </c>
      <c r="P197" s="52" t="s">
        <v>456</v>
      </c>
      <c r="R197" s="52" t="s">
        <v>444</v>
      </c>
      <c r="S197" s="52" t="s">
        <v>885</v>
      </c>
      <c r="T197" s="53">
        <v>45846</v>
      </c>
      <c r="U197" s="52" t="s">
        <v>950</v>
      </c>
      <c r="W197" s="52" t="s">
        <v>884</v>
      </c>
      <c r="X197" s="53">
        <v>45938.589583333334</v>
      </c>
      <c r="Y197" s="52">
        <v>54.1</v>
      </c>
      <c r="AA197" s="52" t="s">
        <v>482</v>
      </c>
      <c r="AB197" s="52" t="s">
        <v>968</v>
      </c>
      <c r="AC197" s="52" t="s">
        <v>41</v>
      </c>
      <c r="AE197" s="52">
        <v>1</v>
      </c>
      <c r="AF197" s="52" t="s">
        <v>41</v>
      </c>
      <c r="AK197" s="52">
        <v>377</v>
      </c>
    </row>
    <row r="198" spans="1:37" x14ac:dyDescent="0.2">
      <c r="A198" s="52" t="s">
        <v>967</v>
      </c>
      <c r="B198" s="52" t="s">
        <v>3252</v>
      </c>
      <c r="C198" s="52">
        <v>121</v>
      </c>
      <c r="D198" s="52" t="s">
        <v>1137</v>
      </c>
      <c r="E198" s="52" t="s">
        <v>3291</v>
      </c>
      <c r="F198" s="52" t="s">
        <v>443</v>
      </c>
      <c r="G198" s="52" t="s">
        <v>34</v>
      </c>
      <c r="H198" s="52" t="s">
        <v>3048</v>
      </c>
      <c r="I198" s="52" t="s">
        <v>2077</v>
      </c>
      <c r="J198" s="52" t="s">
        <v>884</v>
      </c>
      <c r="K198" s="52" t="s">
        <v>884</v>
      </c>
      <c r="L198" s="52" t="s">
        <v>922</v>
      </c>
      <c r="M198" s="52" t="s">
        <v>886</v>
      </c>
      <c r="N198" s="52" t="s">
        <v>461</v>
      </c>
      <c r="O198" s="52" t="s">
        <v>446</v>
      </c>
      <c r="Q198" s="52">
        <v>941000031684132</v>
      </c>
      <c r="R198" s="52" t="s">
        <v>443</v>
      </c>
      <c r="S198" s="52" t="s">
        <v>885</v>
      </c>
      <c r="T198" s="53">
        <v>45891</v>
      </c>
      <c r="V198" s="53">
        <v>45945.476388888892</v>
      </c>
      <c r="W198" s="52" t="s">
        <v>892</v>
      </c>
      <c r="X198" s="53">
        <v>45940.476388888892</v>
      </c>
      <c r="Y198" s="52">
        <v>52.2</v>
      </c>
      <c r="AA198" s="52" t="s">
        <v>482</v>
      </c>
      <c r="AB198" s="52" t="s">
        <v>2029</v>
      </c>
      <c r="AC198" s="52" t="s">
        <v>41</v>
      </c>
      <c r="AE198" s="52">
        <v>2</v>
      </c>
      <c r="AF198" s="52" t="s">
        <v>41</v>
      </c>
      <c r="AK198" s="52">
        <v>377</v>
      </c>
    </row>
    <row r="199" spans="1:37" x14ac:dyDescent="0.2">
      <c r="A199" s="52" t="s">
        <v>967</v>
      </c>
      <c r="B199" s="52" t="s">
        <v>3252</v>
      </c>
      <c r="C199" s="52">
        <v>121</v>
      </c>
      <c r="D199" s="52" t="s">
        <v>1134</v>
      </c>
      <c r="E199" s="52" t="s">
        <v>1885</v>
      </c>
      <c r="F199" s="52" t="s">
        <v>444</v>
      </c>
      <c r="G199" s="52" t="s">
        <v>529</v>
      </c>
      <c r="H199" s="52" t="s">
        <v>3292</v>
      </c>
      <c r="I199" s="52" t="s">
        <v>964</v>
      </c>
      <c r="J199" s="52" t="s">
        <v>884</v>
      </c>
      <c r="K199" s="52" t="s">
        <v>884</v>
      </c>
      <c r="L199" s="52" t="s">
        <v>887</v>
      </c>
      <c r="M199" s="52" t="s">
        <v>890</v>
      </c>
      <c r="N199" s="52" t="s">
        <v>461</v>
      </c>
      <c r="O199" s="52" t="s">
        <v>446</v>
      </c>
      <c r="Q199" s="52">
        <v>941000031683519</v>
      </c>
      <c r="R199" s="52" t="s">
        <v>444</v>
      </c>
      <c r="S199" s="52" t="s">
        <v>885</v>
      </c>
      <c r="T199" s="53">
        <v>45866</v>
      </c>
      <c r="V199" s="53">
        <v>45945.481249999997</v>
      </c>
      <c r="W199" s="52" t="s">
        <v>892</v>
      </c>
      <c r="X199" s="53">
        <v>45940.481249999997</v>
      </c>
      <c r="Y199" s="52">
        <v>52.2</v>
      </c>
      <c r="AA199" s="52" t="s">
        <v>482</v>
      </c>
      <c r="AB199" s="52" t="s">
        <v>2157</v>
      </c>
      <c r="AC199" s="52" t="s">
        <v>41</v>
      </c>
      <c r="AE199" s="52">
        <v>2</v>
      </c>
      <c r="AF199" s="52" t="s">
        <v>41</v>
      </c>
      <c r="AK199" s="52">
        <v>377</v>
      </c>
    </row>
    <row r="200" spans="1:37" x14ac:dyDescent="0.2">
      <c r="A200" s="52" t="s">
        <v>967</v>
      </c>
      <c r="B200" s="52" t="s">
        <v>3252</v>
      </c>
      <c r="C200" s="52">
        <v>121</v>
      </c>
      <c r="D200" s="52" t="s">
        <v>1133</v>
      </c>
      <c r="E200" s="52" t="s">
        <v>1884</v>
      </c>
      <c r="F200" s="52" t="s">
        <v>444</v>
      </c>
      <c r="G200" s="52" t="s">
        <v>529</v>
      </c>
      <c r="H200" s="52" t="s">
        <v>3292</v>
      </c>
      <c r="I200" s="52" t="s">
        <v>964</v>
      </c>
      <c r="J200" s="52" t="s">
        <v>884</v>
      </c>
      <c r="K200" s="52" t="s">
        <v>884</v>
      </c>
      <c r="L200" s="52" t="s">
        <v>887</v>
      </c>
      <c r="M200" s="52" t="s">
        <v>890</v>
      </c>
      <c r="N200" s="52" t="s">
        <v>461</v>
      </c>
      <c r="O200" s="52" t="s">
        <v>446</v>
      </c>
      <c r="Q200" s="52">
        <v>941000013684367</v>
      </c>
      <c r="R200" s="52" t="s">
        <v>444</v>
      </c>
      <c r="S200" s="52" t="s">
        <v>885</v>
      </c>
      <c r="T200" s="53">
        <v>45866</v>
      </c>
      <c r="V200" s="53">
        <v>45945.481249999997</v>
      </c>
      <c r="W200" s="52" t="s">
        <v>892</v>
      </c>
      <c r="X200" s="53">
        <v>45940.481249999997</v>
      </c>
      <c r="Y200" s="52">
        <v>52.2</v>
      </c>
      <c r="AA200" s="52" t="s">
        <v>482</v>
      </c>
      <c r="AB200" s="52" t="s">
        <v>3293</v>
      </c>
      <c r="AC200" s="52" t="s">
        <v>41</v>
      </c>
      <c r="AE200" s="52">
        <v>2</v>
      </c>
      <c r="AF200" s="52" t="s">
        <v>41</v>
      </c>
      <c r="AK200" s="52">
        <v>377</v>
      </c>
    </row>
    <row r="201" spans="1:37" x14ac:dyDescent="0.2">
      <c r="A201" s="52" t="s">
        <v>967</v>
      </c>
      <c r="B201" s="52" t="s">
        <v>3252</v>
      </c>
      <c r="C201" s="52">
        <v>121</v>
      </c>
      <c r="D201" s="52" t="s">
        <v>1125</v>
      </c>
      <c r="E201" s="52" t="s">
        <v>3294</v>
      </c>
      <c r="F201" s="52" t="s">
        <v>444</v>
      </c>
      <c r="G201" s="52" t="s">
        <v>529</v>
      </c>
      <c r="H201" s="52" t="s">
        <v>3295</v>
      </c>
      <c r="I201" s="52" t="s">
        <v>897</v>
      </c>
      <c r="J201" s="52" t="s">
        <v>884</v>
      </c>
      <c r="K201" s="52" t="s">
        <v>884</v>
      </c>
      <c r="L201" s="52" t="s">
        <v>887</v>
      </c>
      <c r="M201" s="52" t="s">
        <v>890</v>
      </c>
      <c r="N201" s="52" t="s">
        <v>461</v>
      </c>
      <c r="O201" s="52" t="s">
        <v>446</v>
      </c>
      <c r="P201" s="52" t="s">
        <v>679</v>
      </c>
      <c r="Q201" s="52">
        <v>941000030972340</v>
      </c>
      <c r="R201" s="52" t="s">
        <v>444</v>
      </c>
      <c r="S201" s="52" t="s">
        <v>885</v>
      </c>
      <c r="T201" s="53">
        <v>45577</v>
      </c>
      <c r="V201" s="53">
        <v>45947.463194444441</v>
      </c>
      <c r="W201" s="52" t="s">
        <v>892</v>
      </c>
      <c r="X201" s="53">
        <v>45942.463194444441</v>
      </c>
      <c r="Y201" s="52">
        <v>50.2</v>
      </c>
      <c r="AA201" s="52" t="s">
        <v>482</v>
      </c>
      <c r="AB201" s="52" t="s">
        <v>915</v>
      </c>
      <c r="AC201" s="52" t="s">
        <v>41</v>
      </c>
      <c r="AE201" s="52">
        <v>3</v>
      </c>
      <c r="AF201" s="52" t="s">
        <v>41</v>
      </c>
      <c r="AK201" s="52">
        <v>377</v>
      </c>
    </row>
    <row r="202" spans="1:37" x14ac:dyDescent="0.2">
      <c r="A202" s="52" t="s">
        <v>967</v>
      </c>
      <c r="B202" s="52" t="s">
        <v>3252</v>
      </c>
      <c r="C202" s="52">
        <v>121</v>
      </c>
      <c r="D202" s="52" t="s">
        <v>1123</v>
      </c>
      <c r="E202" s="52" t="s">
        <v>1882</v>
      </c>
      <c r="F202" s="52" t="s">
        <v>444</v>
      </c>
      <c r="G202" s="52" t="s">
        <v>529</v>
      </c>
      <c r="H202" s="52" t="s">
        <v>3296</v>
      </c>
      <c r="I202" s="52" t="s">
        <v>910</v>
      </c>
      <c r="K202" s="52" t="s">
        <v>884</v>
      </c>
      <c r="L202" s="52" t="s">
        <v>922</v>
      </c>
      <c r="M202" s="52" t="s">
        <v>886</v>
      </c>
      <c r="N202" s="52" t="s">
        <v>494</v>
      </c>
      <c r="O202" s="52" t="s">
        <v>446</v>
      </c>
      <c r="P202" s="52" t="s">
        <v>520</v>
      </c>
      <c r="R202" s="52" t="s">
        <v>444</v>
      </c>
      <c r="S202" s="52" t="s">
        <v>885</v>
      </c>
      <c r="T202" s="53">
        <v>44485</v>
      </c>
      <c r="V202" s="53">
        <v>45949.459027777775</v>
      </c>
      <c r="W202" s="52" t="s">
        <v>884</v>
      </c>
      <c r="X202" s="53">
        <v>45944.459027777775</v>
      </c>
      <c r="Y202" s="52">
        <v>48.2</v>
      </c>
      <c r="AA202" s="52" t="s">
        <v>482</v>
      </c>
      <c r="AB202" s="52" t="s">
        <v>1206</v>
      </c>
      <c r="AC202" s="52" t="s">
        <v>41</v>
      </c>
      <c r="AE202" s="52">
        <v>1</v>
      </c>
      <c r="AF202" s="52" t="s">
        <v>41</v>
      </c>
      <c r="AK202" s="52">
        <v>377</v>
      </c>
    </row>
    <row r="203" spans="1:37" x14ac:dyDescent="0.2">
      <c r="A203" s="52" t="s">
        <v>967</v>
      </c>
      <c r="B203" s="52" t="s">
        <v>3252</v>
      </c>
      <c r="C203" s="52">
        <v>121</v>
      </c>
      <c r="D203" s="52" t="s">
        <v>1120</v>
      </c>
      <c r="E203" s="52" t="s">
        <v>3297</v>
      </c>
      <c r="F203" s="52" t="s">
        <v>443</v>
      </c>
      <c r="G203" s="52" t="s">
        <v>34</v>
      </c>
      <c r="H203" s="52" t="s">
        <v>3298</v>
      </c>
      <c r="I203" s="52" t="s">
        <v>897</v>
      </c>
      <c r="K203" s="52" t="s">
        <v>884</v>
      </c>
      <c r="L203" s="52" t="s">
        <v>922</v>
      </c>
      <c r="M203" s="52" t="s">
        <v>890</v>
      </c>
      <c r="N203" s="52" t="s">
        <v>682</v>
      </c>
      <c r="O203" s="52" t="s">
        <v>446</v>
      </c>
      <c r="R203" s="52" t="s">
        <v>443</v>
      </c>
      <c r="S203" s="52" t="s">
        <v>885</v>
      </c>
      <c r="T203" s="53">
        <v>45800</v>
      </c>
      <c r="V203" s="53">
        <v>45950.48333333333</v>
      </c>
      <c r="W203" s="52" t="s">
        <v>884</v>
      </c>
      <c r="X203" s="53">
        <v>45945.48333333333</v>
      </c>
      <c r="Y203" s="52">
        <v>47.2</v>
      </c>
      <c r="AA203" s="52" t="s">
        <v>482</v>
      </c>
      <c r="AB203" s="52" t="s">
        <v>2041</v>
      </c>
      <c r="AC203" s="52" t="s">
        <v>41</v>
      </c>
      <c r="AE203" s="52">
        <v>1</v>
      </c>
      <c r="AF203" s="52" t="s">
        <v>41</v>
      </c>
      <c r="AK203" s="52">
        <v>377</v>
      </c>
    </row>
    <row r="204" spans="1:37" x14ac:dyDescent="0.2">
      <c r="A204" s="52" t="s">
        <v>967</v>
      </c>
      <c r="B204" s="52" t="s">
        <v>3252</v>
      </c>
      <c r="C204" s="52">
        <v>121</v>
      </c>
      <c r="D204" s="52" t="s">
        <v>1115</v>
      </c>
      <c r="E204" s="52" t="s">
        <v>1454</v>
      </c>
      <c r="F204" s="52" t="s">
        <v>443</v>
      </c>
      <c r="G204" s="52" t="s">
        <v>34</v>
      </c>
      <c r="H204" s="52" t="s">
        <v>3299</v>
      </c>
      <c r="I204" s="52" t="s">
        <v>964</v>
      </c>
      <c r="J204" s="52" t="s">
        <v>884</v>
      </c>
      <c r="K204" s="52" t="s">
        <v>884</v>
      </c>
      <c r="L204" s="52" t="s">
        <v>922</v>
      </c>
      <c r="M204" s="52" t="s">
        <v>886</v>
      </c>
      <c r="N204" s="52" t="s">
        <v>731</v>
      </c>
      <c r="O204" s="52" t="s">
        <v>446</v>
      </c>
      <c r="R204" s="52" t="s">
        <v>443</v>
      </c>
      <c r="S204" s="52" t="s">
        <v>885</v>
      </c>
      <c r="T204" s="53">
        <v>45904</v>
      </c>
      <c r="U204" s="52" t="s">
        <v>2004</v>
      </c>
      <c r="V204" s="53">
        <v>45951.47152777778</v>
      </c>
      <c r="W204" s="52" t="s">
        <v>884</v>
      </c>
      <c r="X204" s="53">
        <v>45946.47152777778</v>
      </c>
      <c r="Y204" s="52">
        <v>46.2</v>
      </c>
      <c r="AA204" s="52" t="s">
        <v>482</v>
      </c>
      <c r="AB204" s="52" t="s">
        <v>3008</v>
      </c>
      <c r="AC204" s="52" t="s">
        <v>41</v>
      </c>
      <c r="AE204" s="52">
        <v>1</v>
      </c>
      <c r="AF204" s="52" t="s">
        <v>41</v>
      </c>
      <c r="AK204" s="52">
        <v>377</v>
      </c>
    </row>
    <row r="205" spans="1:37" x14ac:dyDescent="0.2">
      <c r="A205" s="52" t="s">
        <v>967</v>
      </c>
      <c r="B205" s="52" t="s">
        <v>3252</v>
      </c>
      <c r="C205" s="52">
        <v>121</v>
      </c>
      <c r="D205" s="52" t="s">
        <v>1114</v>
      </c>
      <c r="E205" s="52" t="s">
        <v>1453</v>
      </c>
      <c r="F205" s="52" t="s">
        <v>443</v>
      </c>
      <c r="G205" s="52" t="s">
        <v>34</v>
      </c>
      <c r="H205" s="52" t="s">
        <v>3299</v>
      </c>
      <c r="I205" s="52" t="s">
        <v>1999</v>
      </c>
      <c r="J205" s="52" t="s">
        <v>884</v>
      </c>
      <c r="K205" s="52" t="s">
        <v>884</v>
      </c>
      <c r="L205" s="52" t="s">
        <v>922</v>
      </c>
      <c r="M205" s="52" t="s">
        <v>890</v>
      </c>
      <c r="N205" s="52" t="s">
        <v>731</v>
      </c>
      <c r="O205" s="52" t="s">
        <v>446</v>
      </c>
      <c r="R205" s="52" t="s">
        <v>443</v>
      </c>
      <c r="S205" s="52" t="s">
        <v>885</v>
      </c>
      <c r="T205" s="53">
        <v>45904</v>
      </c>
      <c r="V205" s="53">
        <v>45951.47152777778</v>
      </c>
      <c r="W205" s="52" t="s">
        <v>884</v>
      </c>
      <c r="X205" s="53">
        <v>45946.47152777778</v>
      </c>
      <c r="Y205" s="52">
        <v>46.2</v>
      </c>
      <c r="AA205" s="52" t="s">
        <v>482</v>
      </c>
      <c r="AB205" s="52" t="s">
        <v>3009</v>
      </c>
      <c r="AC205" s="52" t="s">
        <v>41</v>
      </c>
      <c r="AE205" s="52">
        <v>1</v>
      </c>
      <c r="AF205" s="52" t="s">
        <v>41</v>
      </c>
      <c r="AK205" s="52">
        <v>377</v>
      </c>
    </row>
    <row r="206" spans="1:37" x14ac:dyDescent="0.2">
      <c r="A206" s="52" t="s">
        <v>967</v>
      </c>
      <c r="B206" s="52" t="s">
        <v>3252</v>
      </c>
      <c r="C206" s="52">
        <v>121</v>
      </c>
      <c r="D206" s="52" t="s">
        <v>1113</v>
      </c>
      <c r="E206" s="52" t="s">
        <v>1879</v>
      </c>
      <c r="F206" s="52" t="s">
        <v>443</v>
      </c>
      <c r="G206" s="52" t="s">
        <v>34</v>
      </c>
      <c r="H206" s="52" t="s">
        <v>2989</v>
      </c>
      <c r="I206" s="52" t="s">
        <v>897</v>
      </c>
      <c r="K206" s="52" t="s">
        <v>884</v>
      </c>
      <c r="L206" s="52" t="s">
        <v>922</v>
      </c>
      <c r="M206" s="52" t="s">
        <v>886</v>
      </c>
      <c r="N206" s="52" t="s">
        <v>731</v>
      </c>
      <c r="O206" s="52" t="s">
        <v>446</v>
      </c>
      <c r="R206" s="52" t="s">
        <v>443</v>
      </c>
      <c r="S206" s="52" t="s">
        <v>885</v>
      </c>
      <c r="T206" s="53">
        <v>45933</v>
      </c>
      <c r="V206" s="53">
        <v>45951.540972222225</v>
      </c>
      <c r="W206" s="52" t="s">
        <v>884</v>
      </c>
      <c r="X206" s="53">
        <v>45946.540972222225</v>
      </c>
      <c r="Y206" s="52">
        <v>46.2</v>
      </c>
      <c r="AA206" s="52" t="s">
        <v>482</v>
      </c>
      <c r="AB206" s="52" t="s">
        <v>2096</v>
      </c>
      <c r="AC206" s="52" t="s">
        <v>41</v>
      </c>
      <c r="AE206" s="52">
        <v>1</v>
      </c>
      <c r="AF206" s="52" t="s">
        <v>41</v>
      </c>
      <c r="AK206" s="52">
        <v>377</v>
      </c>
    </row>
    <row r="207" spans="1:37" x14ac:dyDescent="0.2">
      <c r="A207" s="52" t="s">
        <v>967</v>
      </c>
      <c r="B207" s="52" t="s">
        <v>3252</v>
      </c>
      <c r="C207" s="52">
        <v>121</v>
      </c>
      <c r="D207" s="52" t="s">
        <v>1109</v>
      </c>
      <c r="E207" s="52" t="s">
        <v>1875</v>
      </c>
      <c r="F207" s="52" t="s">
        <v>444</v>
      </c>
      <c r="G207" s="52" t="s">
        <v>535</v>
      </c>
      <c r="H207" s="52" t="s">
        <v>3300</v>
      </c>
      <c r="I207" s="52" t="s">
        <v>1211</v>
      </c>
      <c r="J207" s="52" t="s">
        <v>884</v>
      </c>
      <c r="K207" s="52" t="s">
        <v>884</v>
      </c>
      <c r="L207" s="52" t="s">
        <v>922</v>
      </c>
      <c r="M207" s="52" t="s">
        <v>890</v>
      </c>
      <c r="N207" s="52" t="s">
        <v>494</v>
      </c>
      <c r="O207" s="52" t="s">
        <v>446</v>
      </c>
      <c r="P207" s="52" t="s">
        <v>679</v>
      </c>
      <c r="Q207" s="52">
        <v>941000031749756</v>
      </c>
      <c r="R207" s="52" t="s">
        <v>444</v>
      </c>
      <c r="S207" s="52" t="s">
        <v>885</v>
      </c>
      <c r="T207" s="53">
        <v>43390</v>
      </c>
      <c r="V207" s="53">
        <v>45952.510416666664</v>
      </c>
      <c r="W207" s="52" t="s">
        <v>884</v>
      </c>
      <c r="X207" s="53">
        <v>45947.510416666664</v>
      </c>
      <c r="Y207" s="52">
        <v>45.2</v>
      </c>
      <c r="AA207" s="52" t="s">
        <v>482</v>
      </c>
      <c r="AB207" s="52" t="s">
        <v>3050</v>
      </c>
      <c r="AC207" s="52" t="s">
        <v>41</v>
      </c>
      <c r="AE207" s="52">
        <v>3</v>
      </c>
      <c r="AF207" s="52" t="s">
        <v>41</v>
      </c>
      <c r="AK207" s="52">
        <v>377</v>
      </c>
    </row>
    <row r="208" spans="1:37" x14ac:dyDescent="0.2">
      <c r="A208" s="52" t="s">
        <v>967</v>
      </c>
      <c r="B208" s="52" t="s">
        <v>3252</v>
      </c>
      <c r="C208" s="52">
        <v>121</v>
      </c>
      <c r="D208" s="52" t="s">
        <v>1826</v>
      </c>
      <c r="E208" s="52" t="s">
        <v>1827</v>
      </c>
      <c r="F208" s="52" t="s">
        <v>444</v>
      </c>
      <c r="G208" s="52" t="s">
        <v>746</v>
      </c>
      <c r="H208" s="52" t="s">
        <v>3301</v>
      </c>
      <c r="I208" s="52" t="s">
        <v>977</v>
      </c>
      <c r="K208" s="52" t="s">
        <v>884</v>
      </c>
      <c r="L208" s="52" t="s">
        <v>887</v>
      </c>
      <c r="M208" s="52" t="s">
        <v>890</v>
      </c>
      <c r="N208" s="52" t="s">
        <v>461</v>
      </c>
      <c r="O208" s="52" t="s">
        <v>446</v>
      </c>
      <c r="P208" s="52" t="s">
        <v>716</v>
      </c>
      <c r="R208" s="52" t="s">
        <v>444</v>
      </c>
      <c r="S208" s="52" t="s">
        <v>885</v>
      </c>
      <c r="T208" s="53">
        <v>44127</v>
      </c>
      <c r="V208" s="53">
        <v>45957.714583333334</v>
      </c>
      <c r="W208" s="52" t="s">
        <v>892</v>
      </c>
      <c r="X208" s="53">
        <v>45952.714583333334</v>
      </c>
      <c r="Y208" s="52">
        <v>40</v>
      </c>
      <c r="AA208" s="52" t="s">
        <v>482</v>
      </c>
      <c r="AB208" s="52" t="s">
        <v>965</v>
      </c>
      <c r="AC208" s="52" t="s">
        <v>41</v>
      </c>
      <c r="AE208" s="52">
        <v>1</v>
      </c>
      <c r="AF208" s="52" t="s">
        <v>41</v>
      </c>
      <c r="AK208" s="52">
        <v>377</v>
      </c>
    </row>
    <row r="209" spans="1:37" x14ac:dyDescent="0.2">
      <c r="A209" s="52" t="s">
        <v>967</v>
      </c>
      <c r="B209" s="52" t="s">
        <v>3252</v>
      </c>
      <c r="C209" s="52">
        <v>121</v>
      </c>
      <c r="D209" s="52" t="s">
        <v>1778</v>
      </c>
      <c r="E209" s="52" t="s">
        <v>3302</v>
      </c>
      <c r="F209" s="52" t="s">
        <v>444</v>
      </c>
      <c r="G209" s="52" t="s">
        <v>649</v>
      </c>
      <c r="H209" s="52" t="s">
        <v>3303</v>
      </c>
      <c r="I209" s="52" t="s">
        <v>910</v>
      </c>
      <c r="K209" s="52" t="s">
        <v>884</v>
      </c>
      <c r="L209" s="52" t="s">
        <v>887</v>
      </c>
      <c r="M209" s="52" t="s">
        <v>886</v>
      </c>
      <c r="N209" s="52" t="s">
        <v>494</v>
      </c>
      <c r="O209" s="52" t="s">
        <v>446</v>
      </c>
      <c r="P209" s="52" t="s">
        <v>456</v>
      </c>
      <c r="R209" s="52" t="s">
        <v>444</v>
      </c>
      <c r="S209" s="52" t="s">
        <v>885</v>
      </c>
      <c r="T209" s="53">
        <v>45687</v>
      </c>
      <c r="V209" s="53">
        <v>45965.604861111111</v>
      </c>
      <c r="W209" s="52" t="s">
        <v>884</v>
      </c>
      <c r="X209" s="53">
        <v>45960.646527777775</v>
      </c>
      <c r="Y209" s="52">
        <v>32</v>
      </c>
      <c r="AA209" s="52" t="s">
        <v>482</v>
      </c>
      <c r="AB209" s="52" t="s">
        <v>2131</v>
      </c>
      <c r="AC209" s="52" t="s">
        <v>41</v>
      </c>
      <c r="AE209" s="52">
        <v>1</v>
      </c>
      <c r="AF209" s="52" t="s">
        <v>41</v>
      </c>
      <c r="AK209" s="52">
        <v>377</v>
      </c>
    </row>
    <row r="210" spans="1:37" x14ac:dyDescent="0.2">
      <c r="A210" s="52" t="s">
        <v>967</v>
      </c>
      <c r="B210" s="52" t="s">
        <v>3252</v>
      </c>
      <c r="C210" s="52">
        <v>121</v>
      </c>
      <c r="D210" s="52" t="s">
        <v>1759</v>
      </c>
      <c r="E210" s="52" t="s">
        <v>3304</v>
      </c>
      <c r="F210" s="52" t="s">
        <v>444</v>
      </c>
      <c r="G210" s="52" t="s">
        <v>1757</v>
      </c>
      <c r="H210" s="52" t="s">
        <v>3305</v>
      </c>
      <c r="I210" s="52" t="s">
        <v>897</v>
      </c>
      <c r="K210" s="52" t="s">
        <v>884</v>
      </c>
      <c r="L210" s="52" t="s">
        <v>922</v>
      </c>
      <c r="M210" s="52" t="s">
        <v>890</v>
      </c>
      <c r="N210" s="52" t="s">
        <v>461</v>
      </c>
      <c r="O210" s="52" t="s">
        <v>446</v>
      </c>
      <c r="Q210" s="52">
        <v>941000031683664</v>
      </c>
      <c r="R210" s="52" t="s">
        <v>444</v>
      </c>
      <c r="S210" s="52" t="s">
        <v>885</v>
      </c>
      <c r="T210" s="53">
        <v>45872</v>
      </c>
      <c r="V210" s="53">
        <v>45969.548611111109</v>
      </c>
      <c r="W210" s="52" t="s">
        <v>892</v>
      </c>
      <c r="X210" s="53">
        <v>45964.548611111109</v>
      </c>
      <c r="Y210" s="52">
        <v>28.1</v>
      </c>
      <c r="AA210" s="52" t="s">
        <v>482</v>
      </c>
      <c r="AB210" s="52" t="s">
        <v>2164</v>
      </c>
      <c r="AC210" s="52" t="s">
        <v>41</v>
      </c>
      <c r="AE210" s="52">
        <v>1</v>
      </c>
      <c r="AF210" s="52" t="s">
        <v>41</v>
      </c>
      <c r="AK210" s="52">
        <v>377</v>
      </c>
    </row>
    <row r="211" spans="1:37" x14ac:dyDescent="0.2">
      <c r="A211" s="52" t="s">
        <v>967</v>
      </c>
      <c r="B211" s="52" t="s">
        <v>3252</v>
      </c>
      <c r="C211" s="52">
        <v>121</v>
      </c>
      <c r="D211" s="52" t="s">
        <v>1756</v>
      </c>
      <c r="E211" s="52" t="s">
        <v>3306</v>
      </c>
      <c r="F211" s="52" t="s">
        <v>444</v>
      </c>
      <c r="G211" s="52" t="s">
        <v>1757</v>
      </c>
      <c r="H211" s="52" t="s">
        <v>3305</v>
      </c>
      <c r="I211" s="52" t="s">
        <v>2132</v>
      </c>
      <c r="K211" s="52" t="s">
        <v>884</v>
      </c>
      <c r="L211" s="52" t="s">
        <v>922</v>
      </c>
      <c r="M211" s="52" t="s">
        <v>890</v>
      </c>
      <c r="N211" s="52" t="s">
        <v>461</v>
      </c>
      <c r="O211" s="52" t="s">
        <v>446</v>
      </c>
      <c r="Q211" s="52">
        <v>941000031684175</v>
      </c>
      <c r="R211" s="52" t="s">
        <v>444</v>
      </c>
      <c r="S211" s="52" t="s">
        <v>885</v>
      </c>
      <c r="T211" s="53">
        <v>45872</v>
      </c>
      <c r="V211" s="53">
        <v>45969.548611111109</v>
      </c>
      <c r="W211" s="52" t="s">
        <v>892</v>
      </c>
      <c r="X211" s="53">
        <v>45964.548611111109</v>
      </c>
      <c r="Y211" s="52">
        <v>28.1</v>
      </c>
      <c r="AA211" s="52" t="s">
        <v>482</v>
      </c>
      <c r="AB211" s="52" t="s">
        <v>2133</v>
      </c>
      <c r="AC211" s="52" t="s">
        <v>41</v>
      </c>
      <c r="AE211" s="52">
        <v>1</v>
      </c>
      <c r="AF211" s="52" t="s">
        <v>41</v>
      </c>
      <c r="AK211" s="52">
        <v>377</v>
      </c>
    </row>
    <row r="212" spans="1:37" x14ac:dyDescent="0.2">
      <c r="A212" s="52" t="s">
        <v>967</v>
      </c>
      <c r="B212" s="52" t="s">
        <v>3252</v>
      </c>
      <c r="C212" s="52">
        <v>121</v>
      </c>
      <c r="D212" s="52" t="s">
        <v>2424</v>
      </c>
      <c r="E212" s="52" t="s">
        <v>3307</v>
      </c>
      <c r="F212" s="52" t="s">
        <v>443</v>
      </c>
      <c r="G212" s="52" t="s">
        <v>34</v>
      </c>
      <c r="H212" s="52" t="s">
        <v>2088</v>
      </c>
      <c r="I212" s="52" t="s">
        <v>2039</v>
      </c>
      <c r="K212" s="52" t="s">
        <v>884</v>
      </c>
      <c r="L212" s="52" t="s">
        <v>922</v>
      </c>
      <c r="M212" s="52" t="s">
        <v>890</v>
      </c>
      <c r="N212" s="52" t="s">
        <v>731</v>
      </c>
      <c r="O212" s="52" t="s">
        <v>446</v>
      </c>
      <c r="R212" s="52" t="s">
        <v>443</v>
      </c>
      <c r="S212" s="52" t="s">
        <v>885</v>
      </c>
      <c r="T212" s="53">
        <v>45923</v>
      </c>
      <c r="V212" s="53">
        <v>45970.62222222222</v>
      </c>
      <c r="W212" s="52" t="s">
        <v>884</v>
      </c>
      <c r="X212" s="53">
        <v>45965.62222222222</v>
      </c>
      <c r="Y212" s="52">
        <v>27.1</v>
      </c>
      <c r="AA212" s="52" t="s">
        <v>482</v>
      </c>
      <c r="AB212" s="52" t="s">
        <v>3009</v>
      </c>
      <c r="AC212" s="52" t="s">
        <v>41</v>
      </c>
      <c r="AE212" s="52">
        <v>1</v>
      </c>
      <c r="AF212" s="52" t="s">
        <v>41</v>
      </c>
      <c r="AK212" s="52">
        <v>377</v>
      </c>
    </row>
    <row r="213" spans="1:37" x14ac:dyDescent="0.2">
      <c r="A213" s="52" t="s">
        <v>967</v>
      </c>
      <c r="B213" s="52" t="s">
        <v>3252</v>
      </c>
      <c r="C213" s="52">
        <v>121</v>
      </c>
      <c r="D213" s="52" t="s">
        <v>2388</v>
      </c>
      <c r="E213" s="52" t="s">
        <v>2389</v>
      </c>
      <c r="F213" s="52" t="s">
        <v>444</v>
      </c>
      <c r="G213" s="52" t="s">
        <v>510</v>
      </c>
      <c r="H213" s="52" t="s">
        <v>2982</v>
      </c>
      <c r="I213" s="52" t="s">
        <v>948</v>
      </c>
      <c r="K213" s="52" t="s">
        <v>884</v>
      </c>
      <c r="L213" s="52" t="s">
        <v>922</v>
      </c>
      <c r="M213" s="52" t="s">
        <v>890</v>
      </c>
      <c r="N213" s="52" t="s">
        <v>494</v>
      </c>
      <c r="O213" s="52" t="s">
        <v>446</v>
      </c>
      <c r="R213" s="52" t="s">
        <v>444</v>
      </c>
      <c r="S213" s="52" t="s">
        <v>885</v>
      </c>
      <c r="T213" s="53">
        <v>45814</v>
      </c>
      <c r="V213" s="53">
        <v>45972.586805555555</v>
      </c>
      <c r="W213" s="52" t="s">
        <v>884</v>
      </c>
      <c r="X213" s="53">
        <v>45967.586805555555</v>
      </c>
      <c r="Y213" s="52">
        <v>25.1</v>
      </c>
      <c r="AA213" s="52" t="s">
        <v>482</v>
      </c>
      <c r="AB213" s="52" t="s">
        <v>3012</v>
      </c>
      <c r="AC213" s="52" t="s">
        <v>41</v>
      </c>
      <c r="AE213" s="52">
        <v>1</v>
      </c>
      <c r="AF213" s="52" t="s">
        <v>41</v>
      </c>
      <c r="AK213" s="52">
        <v>377</v>
      </c>
    </row>
    <row r="214" spans="1:37" x14ac:dyDescent="0.2">
      <c r="A214" s="52" t="s">
        <v>967</v>
      </c>
      <c r="B214" s="52" t="s">
        <v>3252</v>
      </c>
      <c r="C214" s="52">
        <v>121</v>
      </c>
      <c r="D214" s="52" t="s">
        <v>2385</v>
      </c>
      <c r="E214" s="52" t="s">
        <v>2386</v>
      </c>
      <c r="F214" s="52" t="s">
        <v>444</v>
      </c>
      <c r="G214" s="52" t="s">
        <v>510</v>
      </c>
      <c r="H214" s="52" t="s">
        <v>3041</v>
      </c>
      <c r="I214" s="52" t="s">
        <v>932</v>
      </c>
      <c r="K214" s="52" t="s">
        <v>884</v>
      </c>
      <c r="L214" s="52" t="s">
        <v>922</v>
      </c>
      <c r="M214" s="52" t="s">
        <v>890</v>
      </c>
      <c r="N214" s="52" t="s">
        <v>494</v>
      </c>
      <c r="O214" s="52" t="s">
        <v>446</v>
      </c>
      <c r="R214" s="52" t="s">
        <v>444</v>
      </c>
      <c r="S214" s="52" t="s">
        <v>885</v>
      </c>
      <c r="T214" s="53">
        <v>45602</v>
      </c>
      <c r="V214" s="53">
        <v>45972.586805555555</v>
      </c>
      <c r="W214" s="52" t="s">
        <v>884</v>
      </c>
      <c r="X214" s="53">
        <v>45967.586805555555</v>
      </c>
      <c r="Y214" s="52">
        <v>25.1</v>
      </c>
      <c r="AA214" s="52" t="s">
        <v>482</v>
      </c>
      <c r="AB214" s="52" t="s">
        <v>3012</v>
      </c>
      <c r="AC214" s="52" t="s">
        <v>41</v>
      </c>
      <c r="AE214" s="52">
        <v>1</v>
      </c>
      <c r="AF214" s="52" t="s">
        <v>41</v>
      </c>
      <c r="AK214" s="52">
        <v>377</v>
      </c>
    </row>
    <row r="215" spans="1:37" x14ac:dyDescent="0.2">
      <c r="A215" s="52" t="s">
        <v>967</v>
      </c>
      <c r="B215" s="52" t="s">
        <v>3252</v>
      </c>
      <c r="C215" s="52">
        <v>121</v>
      </c>
      <c r="D215" s="52" t="s">
        <v>2375</v>
      </c>
      <c r="E215" s="52" t="s">
        <v>3308</v>
      </c>
      <c r="F215" s="52" t="s">
        <v>444</v>
      </c>
      <c r="G215" s="52" t="s">
        <v>649</v>
      </c>
      <c r="H215" s="52" t="s">
        <v>3309</v>
      </c>
      <c r="I215" s="52" t="s">
        <v>2129</v>
      </c>
      <c r="K215" s="52" t="s">
        <v>884</v>
      </c>
      <c r="L215" s="52" t="s">
        <v>887</v>
      </c>
      <c r="M215" s="52" t="s">
        <v>890</v>
      </c>
      <c r="N215" s="52" t="s">
        <v>494</v>
      </c>
      <c r="O215" s="52" t="s">
        <v>446</v>
      </c>
      <c r="P215" s="52" t="s">
        <v>679</v>
      </c>
      <c r="R215" s="52" t="s">
        <v>444</v>
      </c>
      <c r="S215" s="52" t="s">
        <v>885</v>
      </c>
      <c r="T215" s="53">
        <v>44149</v>
      </c>
      <c r="V215" s="53">
        <v>45972.638888888891</v>
      </c>
      <c r="W215" s="52" t="s">
        <v>884</v>
      </c>
      <c r="X215" s="53">
        <v>45967.638888888891</v>
      </c>
      <c r="Y215" s="52">
        <v>25</v>
      </c>
      <c r="AA215" s="52" t="s">
        <v>482</v>
      </c>
      <c r="AB215" s="52" t="s">
        <v>3054</v>
      </c>
      <c r="AC215" s="52" t="s">
        <v>41</v>
      </c>
      <c r="AE215" s="52">
        <v>2</v>
      </c>
      <c r="AF215" s="52" t="s">
        <v>41</v>
      </c>
      <c r="AK215" s="52">
        <v>377</v>
      </c>
    </row>
    <row r="216" spans="1:37" x14ac:dyDescent="0.2">
      <c r="A216" s="52" t="s">
        <v>967</v>
      </c>
      <c r="B216" s="52" t="s">
        <v>3252</v>
      </c>
      <c r="C216" s="52">
        <v>121</v>
      </c>
      <c r="D216" s="52" t="s">
        <v>2353</v>
      </c>
      <c r="E216" s="52" t="s">
        <v>3310</v>
      </c>
      <c r="F216" s="52" t="s">
        <v>444</v>
      </c>
      <c r="G216" s="52" t="s">
        <v>2350</v>
      </c>
      <c r="H216" s="52" t="s">
        <v>2967</v>
      </c>
      <c r="I216" s="52" t="s">
        <v>903</v>
      </c>
      <c r="J216" s="52" t="s">
        <v>884</v>
      </c>
      <c r="K216" s="52" t="s">
        <v>884</v>
      </c>
      <c r="L216" s="52" t="s">
        <v>887</v>
      </c>
      <c r="M216" s="52" t="s">
        <v>890</v>
      </c>
      <c r="N216" s="52" t="s">
        <v>3285</v>
      </c>
      <c r="O216" s="52" t="s">
        <v>446</v>
      </c>
      <c r="Q216" s="52">
        <v>941000031684264</v>
      </c>
      <c r="R216" s="52" t="s">
        <v>444</v>
      </c>
      <c r="S216" s="52" t="s">
        <v>885</v>
      </c>
      <c r="T216" s="53">
        <v>45787</v>
      </c>
      <c r="V216" s="53">
        <v>45976.493750000001</v>
      </c>
      <c r="W216" s="52" t="s">
        <v>892</v>
      </c>
      <c r="X216" s="53">
        <v>45971.493750000001</v>
      </c>
      <c r="Y216" s="52">
        <v>21.2</v>
      </c>
      <c r="AA216" s="52" t="s">
        <v>482</v>
      </c>
      <c r="AB216" s="52" t="s">
        <v>1218</v>
      </c>
      <c r="AC216" s="52" t="s">
        <v>41</v>
      </c>
      <c r="AE216" s="52">
        <v>1</v>
      </c>
      <c r="AF216" s="52" t="s">
        <v>41</v>
      </c>
      <c r="AK216" s="52">
        <v>377</v>
      </c>
    </row>
    <row r="217" spans="1:37" x14ac:dyDescent="0.2">
      <c r="A217" s="52" t="s">
        <v>967</v>
      </c>
      <c r="B217" s="52" t="s">
        <v>3252</v>
      </c>
      <c r="C217" s="52">
        <v>121</v>
      </c>
      <c r="D217" s="52" t="s">
        <v>2349</v>
      </c>
      <c r="E217" s="52" t="s">
        <v>3311</v>
      </c>
      <c r="F217" s="52" t="s">
        <v>444</v>
      </c>
      <c r="G217" s="52" t="s">
        <v>2350</v>
      </c>
      <c r="H217" s="52" t="s">
        <v>2967</v>
      </c>
      <c r="I217" s="52" t="s">
        <v>903</v>
      </c>
      <c r="J217" s="52" t="s">
        <v>884</v>
      </c>
      <c r="K217" s="52" t="s">
        <v>884</v>
      </c>
      <c r="L217" s="52" t="s">
        <v>887</v>
      </c>
      <c r="M217" s="52" t="s">
        <v>886</v>
      </c>
      <c r="N217" s="52" t="s">
        <v>3285</v>
      </c>
      <c r="O217" s="52" t="s">
        <v>446</v>
      </c>
      <c r="Q217" s="52">
        <v>941000031750386</v>
      </c>
      <c r="R217" s="52" t="s">
        <v>444</v>
      </c>
      <c r="S217" s="52" t="s">
        <v>885</v>
      </c>
      <c r="T217" s="53">
        <v>45787</v>
      </c>
      <c r="V217" s="53">
        <v>45976.493750000001</v>
      </c>
      <c r="W217" s="52" t="s">
        <v>892</v>
      </c>
      <c r="X217" s="53">
        <v>45971.493750000001</v>
      </c>
      <c r="Y217" s="52">
        <v>21.2</v>
      </c>
      <c r="AA217" s="52" t="s">
        <v>482</v>
      </c>
      <c r="AB217" s="52" t="s">
        <v>981</v>
      </c>
      <c r="AC217" s="52" t="s">
        <v>41</v>
      </c>
      <c r="AE217" s="52">
        <v>1</v>
      </c>
      <c r="AF217" s="52" t="s">
        <v>41</v>
      </c>
      <c r="AK217" s="52">
        <v>377</v>
      </c>
    </row>
    <row r="218" spans="1:37" x14ac:dyDescent="0.2">
      <c r="A218" s="52" t="s">
        <v>967</v>
      </c>
      <c r="B218" s="52" t="s">
        <v>3252</v>
      </c>
      <c r="C218" s="52">
        <v>121</v>
      </c>
      <c r="D218" s="52" t="s">
        <v>2311</v>
      </c>
      <c r="E218" s="52" t="s">
        <v>2313</v>
      </c>
      <c r="F218" s="52" t="s">
        <v>444</v>
      </c>
      <c r="G218" s="52" t="s">
        <v>2312</v>
      </c>
      <c r="H218" s="52" t="s">
        <v>3170</v>
      </c>
      <c r="I218" s="52" t="s">
        <v>932</v>
      </c>
      <c r="K218" s="52" t="s">
        <v>884</v>
      </c>
      <c r="L218" s="52" t="s">
        <v>922</v>
      </c>
      <c r="M218" s="52" t="s">
        <v>890</v>
      </c>
      <c r="N218" s="52" t="s">
        <v>494</v>
      </c>
      <c r="O218" s="52" t="s">
        <v>446</v>
      </c>
      <c r="P218" s="52" t="s">
        <v>679</v>
      </c>
      <c r="R218" s="52" t="s">
        <v>444</v>
      </c>
      <c r="S218" s="52" t="s">
        <v>885</v>
      </c>
      <c r="T218" s="53">
        <v>45608</v>
      </c>
      <c r="V218" s="53">
        <v>45978.618055555555</v>
      </c>
      <c r="W218" s="52" t="s">
        <v>884</v>
      </c>
      <c r="X218" s="53">
        <v>45973.618055555555</v>
      </c>
      <c r="Y218" s="52">
        <v>19.100000000000001</v>
      </c>
      <c r="AA218" s="52" t="s">
        <v>482</v>
      </c>
      <c r="AB218" s="52" t="s">
        <v>3013</v>
      </c>
      <c r="AC218" s="52" t="s">
        <v>41</v>
      </c>
      <c r="AE218" s="52">
        <v>1</v>
      </c>
      <c r="AF218" s="52" t="s">
        <v>41</v>
      </c>
      <c r="AK218" s="52">
        <v>377</v>
      </c>
    </row>
    <row r="219" spans="1:37" x14ac:dyDescent="0.2">
      <c r="A219" s="52" t="s">
        <v>967</v>
      </c>
      <c r="B219" s="52" t="s">
        <v>3252</v>
      </c>
      <c r="C219" s="52">
        <v>121</v>
      </c>
      <c r="D219" s="52" t="s">
        <v>3312</v>
      </c>
      <c r="E219" s="52" t="s">
        <v>3313</v>
      </c>
      <c r="F219" s="52" t="s">
        <v>444</v>
      </c>
      <c r="G219" s="52" t="s">
        <v>632</v>
      </c>
      <c r="H219" s="52" t="s">
        <v>3314</v>
      </c>
      <c r="I219" s="52" t="s">
        <v>907</v>
      </c>
      <c r="K219" s="52" t="s">
        <v>884</v>
      </c>
      <c r="L219" s="52" t="s">
        <v>922</v>
      </c>
      <c r="M219" s="52" t="s">
        <v>886</v>
      </c>
      <c r="N219" s="52" t="s">
        <v>494</v>
      </c>
      <c r="O219" s="52" t="s">
        <v>446</v>
      </c>
      <c r="P219" s="52" t="s">
        <v>679</v>
      </c>
      <c r="R219" s="52" t="s">
        <v>444</v>
      </c>
      <c r="S219" s="52" t="s">
        <v>885</v>
      </c>
      <c r="T219" s="53">
        <v>45796</v>
      </c>
      <c r="V219" s="53">
        <v>45984.636805555558</v>
      </c>
      <c r="W219" s="52" t="s">
        <v>884</v>
      </c>
      <c r="X219" s="53">
        <v>45979.636805555558</v>
      </c>
      <c r="Y219" s="52">
        <v>13</v>
      </c>
      <c r="AA219" s="52" t="s">
        <v>482</v>
      </c>
      <c r="AB219" s="52" t="s">
        <v>3315</v>
      </c>
      <c r="AC219" s="52" t="s">
        <v>41</v>
      </c>
      <c r="AE219" s="52">
        <v>1</v>
      </c>
      <c r="AF219" s="52" t="s">
        <v>41</v>
      </c>
      <c r="AK219" s="52">
        <v>377</v>
      </c>
    </row>
    <row r="220" spans="1:37" x14ac:dyDescent="0.2">
      <c r="A220" s="52" t="s">
        <v>967</v>
      </c>
      <c r="B220" s="52" t="s">
        <v>3252</v>
      </c>
      <c r="C220" s="52">
        <v>121</v>
      </c>
      <c r="D220" s="52" t="s">
        <v>3316</v>
      </c>
      <c r="E220" s="52" t="s">
        <v>3317</v>
      </c>
      <c r="F220" s="52" t="s">
        <v>444</v>
      </c>
      <c r="G220" s="52" t="s">
        <v>510</v>
      </c>
      <c r="H220" s="52" t="s">
        <v>2110</v>
      </c>
      <c r="I220" s="52" t="s">
        <v>917</v>
      </c>
      <c r="K220" s="52" t="s">
        <v>884</v>
      </c>
      <c r="L220" s="52" t="s">
        <v>922</v>
      </c>
      <c r="M220" s="52" t="s">
        <v>886</v>
      </c>
      <c r="N220" s="52" t="s">
        <v>499</v>
      </c>
      <c r="O220" s="52" t="s">
        <v>446</v>
      </c>
      <c r="R220" s="52" t="s">
        <v>444</v>
      </c>
      <c r="S220" s="52" t="s">
        <v>885</v>
      </c>
      <c r="T220" s="53">
        <v>45947</v>
      </c>
      <c r="V220" s="53">
        <v>45987.593055555553</v>
      </c>
      <c r="W220" s="52" t="s">
        <v>884</v>
      </c>
      <c r="X220" s="53">
        <v>45982.593055555553</v>
      </c>
      <c r="Y220" s="52">
        <v>10.1</v>
      </c>
      <c r="AA220" s="52" t="s">
        <v>482</v>
      </c>
      <c r="AB220" s="52" t="s">
        <v>2111</v>
      </c>
      <c r="AC220" s="52" t="s">
        <v>41</v>
      </c>
      <c r="AE220" s="52">
        <v>1</v>
      </c>
      <c r="AF220" s="52" t="s">
        <v>41</v>
      </c>
      <c r="AK220" s="52">
        <v>377</v>
      </c>
    </row>
    <row r="221" spans="1:37" x14ac:dyDescent="0.2">
      <c r="A221" s="52" t="s">
        <v>967</v>
      </c>
      <c r="B221" s="52" t="s">
        <v>3252</v>
      </c>
      <c r="C221" s="52">
        <v>121</v>
      </c>
      <c r="D221" s="52" t="s">
        <v>454</v>
      </c>
      <c r="E221" s="52" t="s">
        <v>450</v>
      </c>
      <c r="F221" s="52" t="s">
        <v>444</v>
      </c>
      <c r="G221" s="52" t="s">
        <v>451</v>
      </c>
      <c r="H221" s="52" t="s">
        <v>3318</v>
      </c>
      <c r="I221" s="52" t="s">
        <v>917</v>
      </c>
      <c r="J221" s="52" t="s">
        <v>884</v>
      </c>
      <c r="K221" s="52" t="s">
        <v>892</v>
      </c>
      <c r="L221" s="52" t="s">
        <v>956</v>
      </c>
      <c r="M221" s="52" t="s">
        <v>886</v>
      </c>
      <c r="N221" s="52" t="s">
        <v>452</v>
      </c>
      <c r="O221" s="52" t="s">
        <v>446</v>
      </c>
      <c r="Q221" s="52">
        <v>982091071833720</v>
      </c>
      <c r="R221" s="52" t="s">
        <v>444</v>
      </c>
      <c r="S221" s="52" t="s">
        <v>885</v>
      </c>
      <c r="T221" s="53">
        <v>41796</v>
      </c>
      <c r="U221" s="52" t="s">
        <v>950</v>
      </c>
      <c r="W221" s="52" t="s">
        <v>892</v>
      </c>
      <c r="X221" s="53">
        <v>45902.40347222222</v>
      </c>
      <c r="Y221" s="52">
        <v>90.3</v>
      </c>
      <c r="AA221" s="52" t="s">
        <v>445</v>
      </c>
      <c r="AB221" s="52" t="s">
        <v>945</v>
      </c>
      <c r="AC221" s="52" t="s">
        <v>41</v>
      </c>
      <c r="AE221" s="52">
        <v>2</v>
      </c>
      <c r="AF221" s="52" t="s">
        <v>41</v>
      </c>
      <c r="AK221" s="52">
        <v>377</v>
      </c>
    </row>
    <row r="222" spans="1:37" x14ac:dyDescent="0.2">
      <c r="A222" s="52" t="s">
        <v>967</v>
      </c>
      <c r="B222" s="52" t="s">
        <v>3252</v>
      </c>
      <c r="C222" s="52">
        <v>121</v>
      </c>
      <c r="D222" s="52" t="s">
        <v>109</v>
      </c>
      <c r="E222" s="52" t="s">
        <v>3319</v>
      </c>
      <c r="F222" s="52" t="s">
        <v>444</v>
      </c>
      <c r="G222" s="52" t="s">
        <v>111</v>
      </c>
      <c r="H222" s="52" t="s">
        <v>3320</v>
      </c>
      <c r="I222" s="52" t="s">
        <v>932</v>
      </c>
      <c r="J222" s="52" t="s">
        <v>884</v>
      </c>
      <c r="K222" s="52" t="s">
        <v>892</v>
      </c>
      <c r="L222" s="52" t="s">
        <v>956</v>
      </c>
      <c r="M222" s="52" t="s">
        <v>890</v>
      </c>
      <c r="N222" s="52" t="s">
        <v>452</v>
      </c>
      <c r="O222" s="52" t="s">
        <v>446</v>
      </c>
      <c r="P222" s="52" t="s">
        <v>520</v>
      </c>
      <c r="Q222" s="52">
        <v>982091074435993</v>
      </c>
      <c r="R222" s="52" t="s">
        <v>444</v>
      </c>
      <c r="S222" s="52" t="s">
        <v>885</v>
      </c>
      <c r="T222" s="53">
        <v>42056</v>
      </c>
      <c r="W222" s="52" t="s">
        <v>892</v>
      </c>
      <c r="X222" s="53">
        <v>45708.541666666664</v>
      </c>
      <c r="Y222" s="52">
        <v>284.10000000000002</v>
      </c>
      <c r="AA222" s="52" t="s">
        <v>445</v>
      </c>
      <c r="AB222" s="52" t="s">
        <v>944</v>
      </c>
      <c r="AC222" s="52" t="s">
        <v>41</v>
      </c>
      <c r="AE222" s="52">
        <v>3</v>
      </c>
      <c r="AF222" s="52" t="s">
        <v>41</v>
      </c>
      <c r="AK222" s="52">
        <v>377</v>
      </c>
    </row>
    <row r="223" spans="1:37" x14ac:dyDescent="0.2">
      <c r="A223" s="52" t="s">
        <v>967</v>
      </c>
      <c r="B223" s="52" t="s">
        <v>3252</v>
      </c>
      <c r="C223" s="52">
        <v>121</v>
      </c>
      <c r="D223" s="52" t="s">
        <v>586</v>
      </c>
      <c r="E223" s="52" t="s">
        <v>584</v>
      </c>
      <c r="F223" s="52" t="s">
        <v>443</v>
      </c>
      <c r="G223" s="52" t="s">
        <v>34</v>
      </c>
      <c r="H223" s="52" t="s">
        <v>3321</v>
      </c>
      <c r="I223" s="52" t="s">
        <v>2023</v>
      </c>
      <c r="K223" s="52" t="s">
        <v>884</v>
      </c>
      <c r="L223" s="52" t="s">
        <v>922</v>
      </c>
      <c r="M223" s="52" t="s">
        <v>890</v>
      </c>
      <c r="N223" s="52" t="s">
        <v>585</v>
      </c>
      <c r="O223" s="52" t="s">
        <v>446</v>
      </c>
      <c r="R223" s="52" t="s">
        <v>443</v>
      </c>
      <c r="S223" s="52" t="s">
        <v>885</v>
      </c>
      <c r="T223" s="53">
        <v>45734</v>
      </c>
      <c r="V223" s="53">
        <v>45795.479861111111</v>
      </c>
      <c r="W223" s="52" t="s">
        <v>884</v>
      </c>
      <c r="X223" s="53">
        <v>45790.479861111111</v>
      </c>
      <c r="Y223" s="52">
        <v>202.2</v>
      </c>
      <c r="AA223" s="52" t="s">
        <v>445</v>
      </c>
      <c r="AB223" s="52" t="s">
        <v>2009</v>
      </c>
      <c r="AC223" s="52" t="s">
        <v>41</v>
      </c>
      <c r="AE223" s="52">
        <v>1</v>
      </c>
      <c r="AF223" s="52" t="s">
        <v>41</v>
      </c>
      <c r="AK223" s="52">
        <v>377</v>
      </c>
    </row>
    <row r="224" spans="1:37" x14ac:dyDescent="0.2">
      <c r="A224" s="52" t="s">
        <v>967</v>
      </c>
      <c r="B224" s="52" t="s">
        <v>3252</v>
      </c>
      <c r="C224" s="52">
        <v>121</v>
      </c>
      <c r="D224" s="52" t="s">
        <v>607</v>
      </c>
      <c r="E224" s="52" t="s">
        <v>605</v>
      </c>
      <c r="F224" s="52" t="s">
        <v>444</v>
      </c>
      <c r="G224" s="52" t="s">
        <v>606</v>
      </c>
      <c r="H224" s="52" t="s">
        <v>3322</v>
      </c>
      <c r="I224" s="52" t="s">
        <v>932</v>
      </c>
      <c r="K224" s="52" t="s">
        <v>884</v>
      </c>
      <c r="L224" s="52" t="s">
        <v>937</v>
      </c>
      <c r="M224" s="52" t="s">
        <v>886</v>
      </c>
      <c r="N224" s="52" t="s">
        <v>585</v>
      </c>
      <c r="O224" s="52" t="s">
        <v>446</v>
      </c>
      <c r="P224" s="52" t="s">
        <v>466</v>
      </c>
      <c r="R224" s="52" t="s">
        <v>444</v>
      </c>
      <c r="S224" s="52" t="s">
        <v>885</v>
      </c>
      <c r="T224" s="53">
        <v>43255</v>
      </c>
      <c r="W224" s="52" t="s">
        <v>884</v>
      </c>
      <c r="X224" s="53">
        <v>45812.583333333336</v>
      </c>
      <c r="Y224" s="52">
        <v>180.1</v>
      </c>
      <c r="AA224" s="52" t="s">
        <v>445</v>
      </c>
      <c r="AB224" s="52" t="s">
        <v>972</v>
      </c>
      <c r="AC224" s="52" t="s">
        <v>41</v>
      </c>
      <c r="AE224" s="52">
        <v>1</v>
      </c>
      <c r="AF224" s="52" t="s">
        <v>41</v>
      </c>
      <c r="AK224" s="52">
        <v>377</v>
      </c>
    </row>
    <row r="225" spans="1:37" x14ac:dyDescent="0.2">
      <c r="A225" s="52" t="s">
        <v>967</v>
      </c>
      <c r="B225" s="52" t="s">
        <v>3252</v>
      </c>
      <c r="C225" s="52">
        <v>121</v>
      </c>
      <c r="D225" s="52" t="s">
        <v>1195</v>
      </c>
      <c r="E225" s="52" t="s">
        <v>1196</v>
      </c>
      <c r="F225" s="52" t="s">
        <v>443</v>
      </c>
      <c r="G225" s="52" t="s">
        <v>34</v>
      </c>
      <c r="H225" s="52" t="s">
        <v>3323</v>
      </c>
      <c r="I225" s="52" t="s">
        <v>903</v>
      </c>
      <c r="J225" s="52" t="s">
        <v>884</v>
      </c>
      <c r="K225" s="52" t="s">
        <v>884</v>
      </c>
      <c r="L225" s="52" t="s">
        <v>922</v>
      </c>
      <c r="M225" s="52" t="s">
        <v>890</v>
      </c>
      <c r="N225" s="52" t="s">
        <v>585</v>
      </c>
      <c r="O225" s="52" t="s">
        <v>446</v>
      </c>
      <c r="R225" s="52" t="s">
        <v>443</v>
      </c>
      <c r="S225" s="52" t="s">
        <v>885</v>
      </c>
      <c r="T225" s="53">
        <v>45803</v>
      </c>
      <c r="V225" s="53">
        <v>45836.488888888889</v>
      </c>
      <c r="W225" s="52" t="s">
        <v>884</v>
      </c>
      <c r="X225" s="53">
        <v>45831.488888888889</v>
      </c>
      <c r="Y225" s="52">
        <v>161.19999999999999</v>
      </c>
      <c r="AA225" s="52" t="s">
        <v>445</v>
      </c>
      <c r="AB225" s="52" t="s">
        <v>2099</v>
      </c>
      <c r="AC225" s="52" t="s">
        <v>41</v>
      </c>
      <c r="AE225" s="52">
        <v>1</v>
      </c>
      <c r="AF225" s="52" t="s">
        <v>41</v>
      </c>
      <c r="AK225" s="52">
        <v>377</v>
      </c>
    </row>
    <row r="226" spans="1:37" x14ac:dyDescent="0.2">
      <c r="A226" s="52" t="s">
        <v>967</v>
      </c>
      <c r="B226" s="52" t="s">
        <v>3252</v>
      </c>
      <c r="C226" s="52">
        <v>121</v>
      </c>
      <c r="D226" s="52" t="s">
        <v>653</v>
      </c>
      <c r="E226" s="52" t="s">
        <v>652</v>
      </c>
      <c r="F226" s="52" t="s">
        <v>444</v>
      </c>
      <c r="G226" s="52" t="s">
        <v>649</v>
      </c>
      <c r="H226" s="52" t="s">
        <v>3324</v>
      </c>
      <c r="I226" s="52" t="s">
        <v>903</v>
      </c>
      <c r="J226" s="52" t="s">
        <v>884</v>
      </c>
      <c r="K226" s="52" t="s">
        <v>884</v>
      </c>
      <c r="L226" s="52" t="s">
        <v>922</v>
      </c>
      <c r="M226" s="52" t="s">
        <v>890</v>
      </c>
      <c r="N226" s="52" t="s">
        <v>452</v>
      </c>
      <c r="O226" s="52" t="s">
        <v>446</v>
      </c>
      <c r="P226" s="52" t="s">
        <v>650</v>
      </c>
      <c r="Q226" s="52">
        <v>941000030975929</v>
      </c>
      <c r="R226" s="52" t="s">
        <v>444</v>
      </c>
      <c r="S226" s="52" t="s">
        <v>885</v>
      </c>
      <c r="T226" s="53">
        <v>44377</v>
      </c>
      <c r="V226" s="53">
        <v>45843.477083333331</v>
      </c>
      <c r="W226" s="52" t="s">
        <v>892</v>
      </c>
      <c r="X226" s="53">
        <v>45838.477083333331</v>
      </c>
      <c r="Y226" s="52">
        <v>154.19999999999999</v>
      </c>
      <c r="AA226" s="52" t="s">
        <v>445</v>
      </c>
      <c r="AB226" s="52" t="s">
        <v>971</v>
      </c>
      <c r="AC226" s="52" t="s">
        <v>41</v>
      </c>
      <c r="AE226" s="52">
        <v>1</v>
      </c>
      <c r="AF226" s="52" t="s">
        <v>41</v>
      </c>
      <c r="AK226" s="52">
        <v>377</v>
      </c>
    </row>
    <row r="227" spans="1:37" x14ac:dyDescent="0.2">
      <c r="A227" s="52" t="s">
        <v>967</v>
      </c>
      <c r="B227" s="52" t="s">
        <v>3252</v>
      </c>
      <c r="C227" s="52">
        <v>121</v>
      </c>
      <c r="D227" s="52" t="s">
        <v>740</v>
      </c>
      <c r="E227" s="52" t="s">
        <v>739</v>
      </c>
      <c r="F227" s="52" t="s">
        <v>443</v>
      </c>
      <c r="G227" s="52" t="s">
        <v>34</v>
      </c>
      <c r="H227" s="52" t="s">
        <v>3026</v>
      </c>
      <c r="I227" s="52" t="s">
        <v>2051</v>
      </c>
      <c r="K227" s="52" t="s">
        <v>884</v>
      </c>
      <c r="L227" s="52" t="s">
        <v>922</v>
      </c>
      <c r="M227" s="52" t="s">
        <v>890</v>
      </c>
      <c r="N227" s="52" t="s">
        <v>585</v>
      </c>
      <c r="O227" s="52" t="s">
        <v>446</v>
      </c>
      <c r="R227" s="52" t="s">
        <v>443</v>
      </c>
      <c r="S227" s="52" t="s">
        <v>885</v>
      </c>
      <c r="T227" s="53">
        <v>45862</v>
      </c>
      <c r="V227" s="53">
        <v>45895.611111111109</v>
      </c>
      <c r="W227" s="52" t="s">
        <v>884</v>
      </c>
      <c r="X227" s="53">
        <v>45890.611111111109</v>
      </c>
      <c r="Y227" s="52">
        <v>102.1</v>
      </c>
      <c r="AA227" s="52" t="s">
        <v>445</v>
      </c>
      <c r="AB227" s="52" t="s">
        <v>2008</v>
      </c>
      <c r="AC227" s="52" t="s">
        <v>41</v>
      </c>
      <c r="AE227" s="52">
        <v>1</v>
      </c>
      <c r="AF227" s="52" t="s">
        <v>41</v>
      </c>
      <c r="AK227" s="52">
        <v>377</v>
      </c>
    </row>
    <row r="228" spans="1:37" x14ac:dyDescent="0.2">
      <c r="A228" s="52" t="s">
        <v>967</v>
      </c>
      <c r="B228" s="52" t="s">
        <v>3252</v>
      </c>
      <c r="C228" s="52">
        <v>121</v>
      </c>
      <c r="D228" s="52" t="s">
        <v>804</v>
      </c>
      <c r="E228" s="52" t="s">
        <v>1174</v>
      </c>
      <c r="F228" s="52" t="s">
        <v>443</v>
      </c>
      <c r="G228" s="52" t="s">
        <v>34</v>
      </c>
      <c r="H228" s="52" t="s">
        <v>3325</v>
      </c>
      <c r="I228" s="52" t="s">
        <v>2051</v>
      </c>
      <c r="K228" s="52" t="s">
        <v>884</v>
      </c>
      <c r="L228" s="52" t="s">
        <v>922</v>
      </c>
      <c r="M228" s="52" t="s">
        <v>890</v>
      </c>
      <c r="N228" s="52" t="s">
        <v>585</v>
      </c>
      <c r="O228" s="52" t="s">
        <v>446</v>
      </c>
      <c r="R228" s="52" t="s">
        <v>443</v>
      </c>
      <c r="S228" s="52" t="s">
        <v>885</v>
      </c>
      <c r="T228" s="53">
        <v>45887</v>
      </c>
      <c r="V228" s="53">
        <v>45919.603472222225</v>
      </c>
      <c r="W228" s="52" t="s">
        <v>884</v>
      </c>
      <c r="X228" s="53">
        <v>45914.603472222225</v>
      </c>
      <c r="Y228" s="52">
        <v>78.099999999999994</v>
      </c>
      <c r="AA228" s="52" t="s">
        <v>445</v>
      </c>
      <c r="AC228" s="52" t="s">
        <v>41</v>
      </c>
      <c r="AE228" s="52">
        <v>0</v>
      </c>
      <c r="AF228" s="52" t="s">
        <v>41</v>
      </c>
      <c r="AK228" s="52">
        <v>377</v>
      </c>
    </row>
    <row r="229" spans="1:37" x14ac:dyDescent="0.2">
      <c r="A229" s="52" t="s">
        <v>967</v>
      </c>
      <c r="B229" s="52" t="s">
        <v>3252</v>
      </c>
      <c r="C229" s="52">
        <v>121</v>
      </c>
      <c r="D229" s="52" t="s">
        <v>818</v>
      </c>
      <c r="E229" s="52" t="s">
        <v>2679</v>
      </c>
      <c r="F229" s="52" t="s">
        <v>443</v>
      </c>
      <c r="G229" s="52" t="s">
        <v>548</v>
      </c>
      <c r="H229" s="52" t="s">
        <v>3144</v>
      </c>
      <c r="I229" s="52" t="s">
        <v>2017</v>
      </c>
      <c r="K229" s="52" t="s">
        <v>884</v>
      </c>
      <c r="L229" s="52" t="s">
        <v>887</v>
      </c>
      <c r="M229" s="52" t="s">
        <v>886</v>
      </c>
      <c r="N229" s="52" t="s">
        <v>585</v>
      </c>
      <c r="O229" s="52" t="s">
        <v>446</v>
      </c>
      <c r="Q229" s="52">
        <v>941000030976110</v>
      </c>
      <c r="R229" s="52" t="s">
        <v>443</v>
      </c>
      <c r="S229" s="52" t="s">
        <v>885</v>
      </c>
      <c r="T229" s="53">
        <v>45881</v>
      </c>
      <c r="V229" s="53">
        <v>45921.339583333334</v>
      </c>
      <c r="W229" s="52" t="s">
        <v>884</v>
      </c>
      <c r="X229" s="53">
        <v>45916.339583333334</v>
      </c>
      <c r="Y229" s="52">
        <v>76.3</v>
      </c>
      <c r="AA229" s="52" t="s">
        <v>445</v>
      </c>
      <c r="AB229" s="52" t="s">
        <v>2018</v>
      </c>
      <c r="AC229" s="52" t="s">
        <v>41</v>
      </c>
      <c r="AE229" s="52">
        <v>2</v>
      </c>
      <c r="AF229" s="52" t="s">
        <v>41</v>
      </c>
      <c r="AK229" s="52">
        <v>377</v>
      </c>
    </row>
    <row r="230" spans="1:37" x14ac:dyDescent="0.2">
      <c r="A230" s="52" t="s">
        <v>967</v>
      </c>
      <c r="B230" s="52" t="s">
        <v>3252</v>
      </c>
      <c r="C230" s="52">
        <v>121</v>
      </c>
      <c r="D230" s="52" t="s">
        <v>823</v>
      </c>
      <c r="E230" s="52" t="s">
        <v>822</v>
      </c>
      <c r="F230" s="52" t="s">
        <v>444</v>
      </c>
      <c r="G230" s="52" t="s">
        <v>529</v>
      </c>
      <c r="H230" s="52" t="s">
        <v>3326</v>
      </c>
      <c r="I230" s="52" t="s">
        <v>917</v>
      </c>
      <c r="K230" s="52" t="s">
        <v>884</v>
      </c>
      <c r="L230" s="52" t="s">
        <v>922</v>
      </c>
      <c r="M230" s="52" t="s">
        <v>890</v>
      </c>
      <c r="N230" s="52" t="s">
        <v>585</v>
      </c>
      <c r="O230" s="52" t="s">
        <v>446</v>
      </c>
      <c r="Q230" s="52">
        <v>941000031735778</v>
      </c>
      <c r="R230" s="52" t="s">
        <v>444</v>
      </c>
      <c r="S230" s="52" t="s">
        <v>885</v>
      </c>
      <c r="T230" s="53">
        <v>45826</v>
      </c>
      <c r="V230" s="53">
        <v>45923.625</v>
      </c>
      <c r="W230" s="52" t="s">
        <v>884</v>
      </c>
      <c r="X230" s="53">
        <v>45918.625</v>
      </c>
      <c r="Y230" s="52">
        <v>74</v>
      </c>
      <c r="AA230" s="52" t="s">
        <v>445</v>
      </c>
      <c r="AB230" s="52" t="s">
        <v>968</v>
      </c>
      <c r="AC230" s="52" t="s">
        <v>41</v>
      </c>
      <c r="AE230" s="52">
        <v>1</v>
      </c>
      <c r="AF230" s="52" t="s">
        <v>41</v>
      </c>
      <c r="AK230" s="52">
        <v>377</v>
      </c>
    </row>
    <row r="231" spans="1:37" x14ac:dyDescent="0.2">
      <c r="A231" s="52" t="s">
        <v>967</v>
      </c>
      <c r="B231" s="52" t="s">
        <v>3252</v>
      </c>
      <c r="C231" s="52">
        <v>121</v>
      </c>
      <c r="D231" s="52" t="s">
        <v>829</v>
      </c>
      <c r="E231" s="52" t="s">
        <v>828</v>
      </c>
      <c r="F231" s="52" t="s">
        <v>443</v>
      </c>
      <c r="G231" s="52" t="s">
        <v>34</v>
      </c>
      <c r="H231" s="52" t="s">
        <v>3327</v>
      </c>
      <c r="I231" s="52" t="s">
        <v>897</v>
      </c>
      <c r="K231" s="52" t="s">
        <v>884</v>
      </c>
      <c r="L231" s="52" t="s">
        <v>887</v>
      </c>
      <c r="M231" s="52" t="s">
        <v>886</v>
      </c>
      <c r="N231" s="52" t="s">
        <v>585</v>
      </c>
      <c r="O231" s="52" t="s">
        <v>446</v>
      </c>
      <c r="R231" s="52" t="s">
        <v>443</v>
      </c>
      <c r="S231" s="52" t="s">
        <v>885</v>
      </c>
      <c r="T231" s="53">
        <v>45883</v>
      </c>
      <c r="V231" s="53">
        <v>45925.372916666667</v>
      </c>
      <c r="W231" s="52" t="s">
        <v>884</v>
      </c>
      <c r="X231" s="53">
        <v>45920.372916666667</v>
      </c>
      <c r="Y231" s="52">
        <v>72.3</v>
      </c>
      <c r="AA231" s="52" t="s">
        <v>445</v>
      </c>
      <c r="AB231" s="52" t="s">
        <v>2106</v>
      </c>
      <c r="AC231" s="52" t="s">
        <v>41</v>
      </c>
      <c r="AE231" s="52">
        <v>2</v>
      </c>
      <c r="AF231" s="52" t="s">
        <v>41</v>
      </c>
      <c r="AK231" s="52">
        <v>377</v>
      </c>
    </row>
    <row r="232" spans="1:37" x14ac:dyDescent="0.2">
      <c r="A232" s="52" t="s">
        <v>967</v>
      </c>
      <c r="B232" s="52" t="s">
        <v>3252</v>
      </c>
      <c r="C232" s="52">
        <v>121</v>
      </c>
      <c r="D232" s="52" t="s">
        <v>845</v>
      </c>
      <c r="E232" s="52" t="s">
        <v>2656</v>
      </c>
      <c r="F232" s="52" t="s">
        <v>444</v>
      </c>
      <c r="G232" s="52" t="s">
        <v>489</v>
      </c>
      <c r="H232" s="52" t="s">
        <v>3328</v>
      </c>
      <c r="I232" s="52" t="s">
        <v>935</v>
      </c>
      <c r="K232" s="52" t="s">
        <v>884</v>
      </c>
      <c r="L232" s="52" t="s">
        <v>887</v>
      </c>
      <c r="M232" s="52" t="s">
        <v>886</v>
      </c>
      <c r="N232" s="52" t="s">
        <v>585</v>
      </c>
      <c r="O232" s="52" t="s">
        <v>446</v>
      </c>
      <c r="P232" s="52" t="s">
        <v>679</v>
      </c>
      <c r="R232" s="52" t="s">
        <v>444</v>
      </c>
      <c r="S232" s="52" t="s">
        <v>885</v>
      </c>
      <c r="T232" s="53">
        <v>45195</v>
      </c>
      <c r="V232" s="53">
        <v>45931.575694444444</v>
      </c>
      <c r="W232" s="52" t="s">
        <v>884</v>
      </c>
      <c r="X232" s="53">
        <v>45926.575694444444</v>
      </c>
      <c r="Y232" s="52">
        <v>66.099999999999994</v>
      </c>
      <c r="AA232" s="52" t="s">
        <v>445</v>
      </c>
      <c r="AB232" s="52" t="s">
        <v>997</v>
      </c>
      <c r="AC232" s="52" t="s">
        <v>41</v>
      </c>
      <c r="AE232" s="52">
        <v>1</v>
      </c>
      <c r="AF232" s="52" t="s">
        <v>41</v>
      </c>
      <c r="AK232" s="52">
        <v>377</v>
      </c>
    </row>
    <row r="233" spans="1:37" x14ac:dyDescent="0.2">
      <c r="A233" s="52" t="s">
        <v>967</v>
      </c>
      <c r="B233" s="52" t="s">
        <v>3252</v>
      </c>
      <c r="C233" s="52">
        <v>121</v>
      </c>
      <c r="D233" s="52" t="s">
        <v>873</v>
      </c>
      <c r="E233" s="52" t="s">
        <v>1895</v>
      </c>
      <c r="F233" s="52" t="s">
        <v>444</v>
      </c>
      <c r="G233" s="52" t="s">
        <v>633</v>
      </c>
      <c r="H233" s="52" t="s">
        <v>3104</v>
      </c>
      <c r="I233" s="52" t="s">
        <v>907</v>
      </c>
      <c r="K233" s="52" t="s">
        <v>884</v>
      </c>
      <c r="L233" s="52" t="s">
        <v>887</v>
      </c>
      <c r="M233" s="52" t="s">
        <v>890</v>
      </c>
      <c r="N233" s="52" t="s">
        <v>585</v>
      </c>
      <c r="O233" s="52" t="s">
        <v>446</v>
      </c>
      <c r="P233" s="52" t="s">
        <v>679</v>
      </c>
      <c r="Q233" s="52">
        <v>941000031749571</v>
      </c>
      <c r="R233" s="52" t="s">
        <v>444</v>
      </c>
      <c r="S233" s="52" t="s">
        <v>885</v>
      </c>
      <c r="T233" s="53">
        <v>45703</v>
      </c>
      <c r="V233" s="53">
        <v>45938.380555555559</v>
      </c>
      <c r="W233" s="52" t="s">
        <v>884</v>
      </c>
      <c r="X233" s="53">
        <v>45933.380555555559</v>
      </c>
      <c r="Y233" s="52">
        <v>59.3</v>
      </c>
      <c r="AA233" s="52" t="s">
        <v>445</v>
      </c>
      <c r="AB233" s="52" t="s">
        <v>1219</v>
      </c>
      <c r="AC233" s="52" t="s">
        <v>41</v>
      </c>
      <c r="AE233" s="52">
        <v>2</v>
      </c>
      <c r="AF233" s="52" t="s">
        <v>41</v>
      </c>
      <c r="AK233" s="52">
        <v>377</v>
      </c>
    </row>
    <row r="234" spans="1:37" x14ac:dyDescent="0.2">
      <c r="A234" s="52" t="s">
        <v>967</v>
      </c>
      <c r="B234" s="52" t="s">
        <v>3252</v>
      </c>
      <c r="C234" s="52">
        <v>121</v>
      </c>
      <c r="D234" s="52" t="s">
        <v>1154</v>
      </c>
      <c r="E234" s="52" t="s">
        <v>1889</v>
      </c>
      <c r="F234" s="52" t="s">
        <v>443</v>
      </c>
      <c r="G234" s="52" t="s">
        <v>34</v>
      </c>
      <c r="H234" s="52" t="s">
        <v>1483</v>
      </c>
      <c r="I234" s="52" t="s">
        <v>2039</v>
      </c>
      <c r="K234" s="52" t="s">
        <v>884</v>
      </c>
      <c r="L234" s="52" t="s">
        <v>922</v>
      </c>
      <c r="M234" s="52" t="s">
        <v>890</v>
      </c>
      <c r="N234" s="52" t="s">
        <v>731</v>
      </c>
      <c r="O234" s="52" t="s">
        <v>446</v>
      </c>
      <c r="R234" s="52" t="s">
        <v>443</v>
      </c>
      <c r="S234" s="52" t="s">
        <v>885</v>
      </c>
      <c r="T234" s="53">
        <v>45924</v>
      </c>
      <c r="V234" s="53">
        <v>45943.501388888886</v>
      </c>
      <c r="W234" s="52" t="s">
        <v>884</v>
      </c>
      <c r="X234" s="53">
        <v>45938.501388888886</v>
      </c>
      <c r="Y234" s="52">
        <v>54.2</v>
      </c>
      <c r="AA234" s="52" t="s">
        <v>445</v>
      </c>
      <c r="AB234" s="52" t="s">
        <v>2109</v>
      </c>
      <c r="AC234" s="52" t="s">
        <v>41</v>
      </c>
      <c r="AE234" s="52">
        <v>2</v>
      </c>
      <c r="AF234" s="52" t="s">
        <v>41</v>
      </c>
      <c r="AK234" s="52">
        <v>377</v>
      </c>
    </row>
    <row r="235" spans="1:37" x14ac:dyDescent="0.2">
      <c r="A235" s="52" t="s">
        <v>967</v>
      </c>
      <c r="B235" s="52" t="s">
        <v>3252</v>
      </c>
      <c r="C235" s="52">
        <v>121</v>
      </c>
      <c r="D235" s="52" t="s">
        <v>1140</v>
      </c>
      <c r="E235" s="52" t="s">
        <v>1887</v>
      </c>
      <c r="F235" s="52" t="s">
        <v>444</v>
      </c>
      <c r="G235" s="52" t="s">
        <v>1141</v>
      </c>
      <c r="H235" s="52" t="s">
        <v>3329</v>
      </c>
      <c r="I235" s="52" t="s">
        <v>1203</v>
      </c>
      <c r="K235" s="52" t="s">
        <v>884</v>
      </c>
      <c r="L235" s="52" t="s">
        <v>922</v>
      </c>
      <c r="M235" s="52" t="s">
        <v>890</v>
      </c>
      <c r="N235" s="52" t="s">
        <v>585</v>
      </c>
      <c r="O235" s="52" t="s">
        <v>446</v>
      </c>
      <c r="P235" s="52" t="s">
        <v>679</v>
      </c>
      <c r="R235" s="52" t="s">
        <v>444</v>
      </c>
      <c r="S235" s="52" t="s">
        <v>885</v>
      </c>
      <c r="T235" s="53">
        <v>45717</v>
      </c>
      <c r="V235" s="53">
        <v>45944.522916666669</v>
      </c>
      <c r="W235" s="52" t="s">
        <v>884</v>
      </c>
      <c r="X235" s="53">
        <v>45939.522916666669</v>
      </c>
      <c r="Y235" s="52">
        <v>53.2</v>
      </c>
      <c r="AA235" s="52" t="s">
        <v>445</v>
      </c>
      <c r="AC235" s="52" t="s">
        <v>41</v>
      </c>
      <c r="AE235" s="52">
        <v>1</v>
      </c>
      <c r="AF235" s="52" t="s">
        <v>41</v>
      </c>
      <c r="AK235" s="52">
        <v>377</v>
      </c>
    </row>
    <row r="236" spans="1:37" x14ac:dyDescent="0.2">
      <c r="A236" s="52" t="s">
        <v>967</v>
      </c>
      <c r="B236" s="52" t="s">
        <v>3252</v>
      </c>
      <c r="C236" s="52">
        <v>121</v>
      </c>
      <c r="D236" s="52" t="s">
        <v>1132</v>
      </c>
      <c r="E236" s="52" t="s">
        <v>2601</v>
      </c>
      <c r="F236" s="52" t="s">
        <v>444</v>
      </c>
      <c r="G236" s="52" t="s">
        <v>529</v>
      </c>
      <c r="H236" s="52" t="s">
        <v>3292</v>
      </c>
      <c r="I236" s="52" t="s">
        <v>1220</v>
      </c>
      <c r="J236" s="52" t="s">
        <v>884</v>
      </c>
      <c r="K236" s="52" t="s">
        <v>884</v>
      </c>
      <c r="L236" s="52" t="s">
        <v>887</v>
      </c>
      <c r="M236" s="52" t="s">
        <v>886</v>
      </c>
      <c r="N236" s="52" t="s">
        <v>585</v>
      </c>
      <c r="O236" s="52" t="s">
        <v>446</v>
      </c>
      <c r="P236" s="52" t="s">
        <v>2602</v>
      </c>
      <c r="Q236" s="52">
        <v>941000031749816</v>
      </c>
      <c r="R236" s="52" t="s">
        <v>444</v>
      </c>
      <c r="S236" s="52" t="s">
        <v>885</v>
      </c>
      <c r="T236" s="53">
        <v>45866</v>
      </c>
      <c r="U236" s="52" t="s">
        <v>969</v>
      </c>
      <c r="V236" s="53">
        <v>45945.481249999997</v>
      </c>
      <c r="W236" s="52" t="s">
        <v>884</v>
      </c>
      <c r="X236" s="53">
        <v>45940.481249999997</v>
      </c>
      <c r="Y236" s="52">
        <v>52.2</v>
      </c>
      <c r="AA236" s="52" t="s">
        <v>445</v>
      </c>
      <c r="AB236" s="52" t="s">
        <v>1208</v>
      </c>
      <c r="AC236" s="52" t="s">
        <v>41</v>
      </c>
      <c r="AE236" s="52">
        <v>2</v>
      </c>
      <c r="AF236" s="52" t="s">
        <v>41</v>
      </c>
      <c r="AK236" s="52">
        <v>377</v>
      </c>
    </row>
    <row r="237" spans="1:37" x14ac:dyDescent="0.2">
      <c r="A237" s="52" t="s">
        <v>967</v>
      </c>
      <c r="B237" s="52" t="s">
        <v>3252</v>
      </c>
      <c r="C237" s="52">
        <v>121</v>
      </c>
      <c r="D237" s="52" t="s">
        <v>1450</v>
      </c>
      <c r="E237" s="52" t="s">
        <v>1872</v>
      </c>
      <c r="F237" s="52" t="s">
        <v>444</v>
      </c>
      <c r="G237" s="52" t="s">
        <v>510</v>
      </c>
      <c r="H237" s="52" t="s">
        <v>913</v>
      </c>
      <c r="I237" s="52" t="s">
        <v>1481</v>
      </c>
      <c r="K237" s="52" t="s">
        <v>884</v>
      </c>
      <c r="L237" s="52" t="s">
        <v>922</v>
      </c>
      <c r="M237" s="52" t="s">
        <v>886</v>
      </c>
      <c r="N237" s="52" t="s">
        <v>585</v>
      </c>
      <c r="O237" s="52" t="s">
        <v>446</v>
      </c>
      <c r="Q237" s="52">
        <v>941000031749984</v>
      </c>
      <c r="R237" s="52" t="s">
        <v>444</v>
      </c>
      <c r="S237" s="52" t="s">
        <v>885</v>
      </c>
      <c r="V237" s="53">
        <v>45954.57916666667</v>
      </c>
      <c r="W237" s="52" t="s">
        <v>884</v>
      </c>
      <c r="X237" s="53">
        <v>45949.57916666667</v>
      </c>
      <c r="Y237" s="52">
        <v>43.1</v>
      </c>
      <c r="AA237" s="52" t="s">
        <v>445</v>
      </c>
      <c r="AC237" s="52" t="s">
        <v>41</v>
      </c>
      <c r="AE237" s="52">
        <v>1</v>
      </c>
      <c r="AF237" s="52" t="s">
        <v>41</v>
      </c>
      <c r="AK237" s="52">
        <v>377</v>
      </c>
    </row>
    <row r="238" spans="1:37" x14ac:dyDescent="0.2">
      <c r="A238" s="52" t="s">
        <v>967</v>
      </c>
      <c r="B238" s="52" t="s">
        <v>3252</v>
      </c>
      <c r="C238" s="52">
        <v>121</v>
      </c>
      <c r="D238" s="52" t="s">
        <v>1839</v>
      </c>
      <c r="E238" s="52" t="s">
        <v>2533</v>
      </c>
      <c r="F238" s="52" t="s">
        <v>443</v>
      </c>
      <c r="G238" s="52" t="s">
        <v>34</v>
      </c>
      <c r="H238" s="52" t="s">
        <v>3128</v>
      </c>
      <c r="I238" s="52" t="s">
        <v>894</v>
      </c>
      <c r="K238" s="52" t="s">
        <v>884</v>
      </c>
      <c r="L238" s="52" t="s">
        <v>922</v>
      </c>
      <c r="M238" s="52" t="s">
        <v>886</v>
      </c>
      <c r="N238" s="52" t="s">
        <v>585</v>
      </c>
      <c r="O238" s="52" t="s">
        <v>446</v>
      </c>
      <c r="R238" s="52" t="s">
        <v>443</v>
      </c>
      <c r="S238" s="52" t="s">
        <v>885</v>
      </c>
      <c r="T238" s="53">
        <v>45875</v>
      </c>
      <c r="V238" s="53">
        <v>45956.646527777775</v>
      </c>
      <c r="W238" s="52" t="s">
        <v>884</v>
      </c>
      <c r="X238" s="53">
        <v>45951.646527777775</v>
      </c>
      <c r="Y238" s="52">
        <v>41</v>
      </c>
      <c r="AA238" s="52" t="s">
        <v>445</v>
      </c>
      <c r="AB238" s="52" t="s">
        <v>3020</v>
      </c>
      <c r="AC238" s="52" t="s">
        <v>41</v>
      </c>
      <c r="AE238" s="52">
        <v>2</v>
      </c>
      <c r="AF238" s="52" t="s">
        <v>41</v>
      </c>
      <c r="AK238" s="52">
        <v>377</v>
      </c>
    </row>
    <row r="239" spans="1:37" x14ac:dyDescent="0.2">
      <c r="A239" s="52" t="s">
        <v>967</v>
      </c>
      <c r="B239" s="52" t="s">
        <v>3252</v>
      </c>
      <c r="C239" s="52">
        <v>121</v>
      </c>
      <c r="D239" s="52" t="s">
        <v>1838</v>
      </c>
      <c r="E239" s="52" t="s">
        <v>3330</v>
      </c>
      <c r="F239" s="52" t="s">
        <v>443</v>
      </c>
      <c r="G239" s="52" t="s">
        <v>34</v>
      </c>
      <c r="H239" s="52" t="s">
        <v>3128</v>
      </c>
      <c r="I239" s="52" t="s">
        <v>894</v>
      </c>
      <c r="K239" s="52" t="s">
        <v>884</v>
      </c>
      <c r="L239" s="52" t="s">
        <v>922</v>
      </c>
      <c r="M239" s="52" t="s">
        <v>890</v>
      </c>
      <c r="N239" s="52" t="s">
        <v>585</v>
      </c>
      <c r="O239" s="52" t="s">
        <v>446</v>
      </c>
      <c r="R239" s="52" t="s">
        <v>443</v>
      </c>
      <c r="S239" s="52" t="s">
        <v>885</v>
      </c>
      <c r="T239" s="53">
        <v>45875</v>
      </c>
      <c r="V239" s="53">
        <v>45956.646527777775</v>
      </c>
      <c r="W239" s="52" t="s">
        <v>884</v>
      </c>
      <c r="X239" s="53">
        <v>45951.646527777775</v>
      </c>
      <c r="Y239" s="52">
        <v>41</v>
      </c>
      <c r="AA239" s="52" t="s">
        <v>445</v>
      </c>
      <c r="AB239" s="52" t="s">
        <v>2140</v>
      </c>
      <c r="AC239" s="52" t="s">
        <v>41</v>
      </c>
      <c r="AE239" s="52">
        <v>2</v>
      </c>
      <c r="AF239" s="52" t="s">
        <v>41</v>
      </c>
      <c r="AK239" s="52">
        <v>377</v>
      </c>
    </row>
    <row r="240" spans="1:37" x14ac:dyDescent="0.2">
      <c r="A240" s="52" t="s">
        <v>967</v>
      </c>
      <c r="B240" s="52" t="s">
        <v>3252</v>
      </c>
      <c r="C240" s="52">
        <v>121</v>
      </c>
      <c r="D240" s="52" t="s">
        <v>1828</v>
      </c>
      <c r="E240" s="52" t="s">
        <v>2517</v>
      </c>
      <c r="F240" s="52" t="s">
        <v>444</v>
      </c>
      <c r="G240" s="52" t="s">
        <v>535</v>
      </c>
      <c r="H240" s="52" t="s">
        <v>3331</v>
      </c>
      <c r="I240" s="52" t="s">
        <v>932</v>
      </c>
      <c r="J240" s="52" t="s">
        <v>884</v>
      </c>
      <c r="K240" s="52" t="s">
        <v>884</v>
      </c>
      <c r="L240" s="52" t="s">
        <v>2121</v>
      </c>
      <c r="M240" s="52" t="s">
        <v>886</v>
      </c>
      <c r="N240" s="52" t="s">
        <v>585</v>
      </c>
      <c r="O240" s="52" t="s">
        <v>446</v>
      </c>
      <c r="P240" s="52" t="s">
        <v>456</v>
      </c>
      <c r="Q240" s="52">
        <v>941000028840881</v>
      </c>
      <c r="R240" s="52" t="s">
        <v>444</v>
      </c>
      <c r="S240" s="52" t="s">
        <v>885</v>
      </c>
      <c r="T240" s="53">
        <v>44491</v>
      </c>
      <c r="W240" s="52" t="s">
        <v>884</v>
      </c>
      <c r="X240" s="53">
        <v>45952.590277777781</v>
      </c>
      <c r="Y240" s="52">
        <v>40.1</v>
      </c>
      <c r="AA240" s="52" t="s">
        <v>445</v>
      </c>
      <c r="AB240" s="52" t="s">
        <v>2127</v>
      </c>
      <c r="AC240" s="52" t="s">
        <v>41</v>
      </c>
      <c r="AE240" s="52">
        <v>1</v>
      </c>
      <c r="AF240" s="52" t="s">
        <v>41</v>
      </c>
      <c r="AK240" s="52">
        <v>377</v>
      </c>
    </row>
    <row r="241" spans="1:37" x14ac:dyDescent="0.2">
      <c r="A241" s="52" t="s">
        <v>967</v>
      </c>
      <c r="B241" s="52" t="s">
        <v>3252</v>
      </c>
      <c r="C241" s="52">
        <v>121</v>
      </c>
      <c r="D241" s="52" t="s">
        <v>1814</v>
      </c>
      <c r="E241" s="52" t="s">
        <v>2502</v>
      </c>
      <c r="F241" s="52" t="s">
        <v>443</v>
      </c>
      <c r="G241" s="52" t="s">
        <v>34</v>
      </c>
      <c r="H241" s="52" t="s">
        <v>2043</v>
      </c>
      <c r="I241" s="52" t="s">
        <v>903</v>
      </c>
      <c r="K241" s="52" t="s">
        <v>884</v>
      </c>
      <c r="L241" s="52" t="s">
        <v>922</v>
      </c>
      <c r="M241" s="52" t="s">
        <v>890</v>
      </c>
      <c r="N241" s="52" t="s">
        <v>585</v>
      </c>
      <c r="O241" s="52" t="s">
        <v>446</v>
      </c>
      <c r="R241" s="52" t="s">
        <v>443</v>
      </c>
      <c r="S241" s="52" t="s">
        <v>885</v>
      </c>
      <c r="T241" s="53">
        <v>45919</v>
      </c>
      <c r="U241" s="52" t="s">
        <v>2000</v>
      </c>
      <c r="V241" s="53">
        <v>45959.469444444447</v>
      </c>
      <c r="W241" s="52" t="s">
        <v>884</v>
      </c>
      <c r="X241" s="53">
        <v>45954.469444444447</v>
      </c>
      <c r="Y241" s="52">
        <v>38.200000000000003</v>
      </c>
      <c r="AA241" s="52" t="s">
        <v>445</v>
      </c>
      <c r="AB241" s="52" t="s">
        <v>2006</v>
      </c>
      <c r="AC241" s="52" t="s">
        <v>41</v>
      </c>
      <c r="AE241" s="52">
        <v>1</v>
      </c>
      <c r="AF241" s="52" t="s">
        <v>41</v>
      </c>
      <c r="AK241" s="52">
        <v>377</v>
      </c>
    </row>
    <row r="242" spans="1:37" x14ac:dyDescent="0.2">
      <c r="A242" s="52" t="s">
        <v>967</v>
      </c>
      <c r="B242" s="52" t="s">
        <v>3252</v>
      </c>
      <c r="C242" s="52">
        <v>121</v>
      </c>
      <c r="D242" s="52" t="s">
        <v>1810</v>
      </c>
      <c r="E242" s="52" t="s">
        <v>1811</v>
      </c>
      <c r="F242" s="52" t="s">
        <v>443</v>
      </c>
      <c r="G242" s="52" t="s">
        <v>34</v>
      </c>
      <c r="H242" s="52" t="s">
        <v>2104</v>
      </c>
      <c r="I242" s="52" t="s">
        <v>907</v>
      </c>
      <c r="K242" s="52" t="s">
        <v>884</v>
      </c>
      <c r="L242" s="52" t="s">
        <v>922</v>
      </c>
      <c r="M242" s="52" t="s">
        <v>911</v>
      </c>
      <c r="N242" s="52" t="s">
        <v>585</v>
      </c>
      <c r="O242" s="52" t="s">
        <v>446</v>
      </c>
      <c r="R242" s="52" t="s">
        <v>443</v>
      </c>
      <c r="S242" s="52" t="s">
        <v>885</v>
      </c>
      <c r="T242" s="53">
        <v>45915</v>
      </c>
      <c r="V242" s="53">
        <v>45962.475694444445</v>
      </c>
      <c r="W242" s="52" t="s">
        <v>884</v>
      </c>
      <c r="X242" s="53">
        <v>45957.475694444445</v>
      </c>
      <c r="Y242" s="52">
        <v>35.200000000000003</v>
      </c>
      <c r="AA242" s="52" t="s">
        <v>445</v>
      </c>
      <c r="AC242" s="52" t="s">
        <v>41</v>
      </c>
      <c r="AE242" s="52">
        <v>1</v>
      </c>
      <c r="AF242" s="52" t="s">
        <v>41</v>
      </c>
      <c r="AK242" s="52">
        <v>377</v>
      </c>
    </row>
    <row r="243" spans="1:37" x14ac:dyDescent="0.2">
      <c r="A243" s="52" t="s">
        <v>967</v>
      </c>
      <c r="B243" s="52" t="s">
        <v>3252</v>
      </c>
      <c r="C243" s="52">
        <v>121</v>
      </c>
      <c r="D243" s="52" t="s">
        <v>1787</v>
      </c>
      <c r="E243" s="52" t="s">
        <v>1788</v>
      </c>
      <c r="F243" s="52" t="s">
        <v>443</v>
      </c>
      <c r="G243" s="52" t="s">
        <v>34</v>
      </c>
      <c r="H243" s="52" t="s">
        <v>3332</v>
      </c>
      <c r="I243" s="52" t="s">
        <v>2077</v>
      </c>
      <c r="K243" s="52" t="s">
        <v>884</v>
      </c>
      <c r="L243" s="52" t="s">
        <v>922</v>
      </c>
      <c r="M243" s="52" t="s">
        <v>886</v>
      </c>
      <c r="N243" s="52" t="s">
        <v>585</v>
      </c>
      <c r="O243" s="52" t="s">
        <v>446</v>
      </c>
      <c r="R243" s="52" t="s">
        <v>443</v>
      </c>
      <c r="S243" s="52" t="s">
        <v>885</v>
      </c>
      <c r="T243" s="53">
        <v>45899</v>
      </c>
      <c r="U243" s="52" t="s">
        <v>2028</v>
      </c>
      <c r="V243" s="53">
        <v>45965.513888888891</v>
      </c>
      <c r="W243" s="52" t="s">
        <v>884</v>
      </c>
      <c r="X243" s="53">
        <v>45960.555555555555</v>
      </c>
      <c r="Y243" s="52">
        <v>32.1</v>
      </c>
      <c r="AA243" s="52" t="s">
        <v>445</v>
      </c>
      <c r="AB243" s="52" t="s">
        <v>3023</v>
      </c>
      <c r="AC243" s="52" t="s">
        <v>41</v>
      </c>
      <c r="AE243" s="52">
        <v>1</v>
      </c>
      <c r="AF243" s="52" t="s">
        <v>41</v>
      </c>
      <c r="AK243" s="52">
        <v>377</v>
      </c>
    </row>
    <row r="244" spans="1:37" x14ac:dyDescent="0.2">
      <c r="A244" s="52" t="s">
        <v>967</v>
      </c>
      <c r="B244" s="52" t="s">
        <v>3252</v>
      </c>
      <c r="C244" s="52">
        <v>121</v>
      </c>
      <c r="D244" s="52" t="s">
        <v>1767</v>
      </c>
      <c r="E244" s="52" t="s">
        <v>3333</v>
      </c>
      <c r="F244" s="52" t="s">
        <v>444</v>
      </c>
      <c r="G244" s="52" t="s">
        <v>529</v>
      </c>
      <c r="H244" s="52" t="s">
        <v>3281</v>
      </c>
      <c r="I244" s="52" t="s">
        <v>2154</v>
      </c>
      <c r="J244" s="52" t="s">
        <v>884</v>
      </c>
      <c r="K244" s="52" t="s">
        <v>884</v>
      </c>
      <c r="L244" s="52" t="s">
        <v>887</v>
      </c>
      <c r="M244" s="52" t="s">
        <v>886</v>
      </c>
      <c r="N244" s="52" t="s">
        <v>585</v>
      </c>
      <c r="O244" s="52" t="s">
        <v>446</v>
      </c>
      <c r="Q244" s="52">
        <v>941000031750039</v>
      </c>
      <c r="R244" s="52" t="s">
        <v>444</v>
      </c>
      <c r="S244" s="52" t="s">
        <v>885</v>
      </c>
      <c r="T244" s="53">
        <v>45870</v>
      </c>
      <c r="V244" s="53">
        <v>45967.581250000003</v>
      </c>
      <c r="W244" s="52" t="s">
        <v>884</v>
      </c>
      <c r="X244" s="53">
        <v>45962.622916666667</v>
      </c>
      <c r="Y244" s="52">
        <v>30.1</v>
      </c>
      <c r="AA244" s="52" t="s">
        <v>445</v>
      </c>
      <c r="AB244" s="52" t="s">
        <v>2156</v>
      </c>
      <c r="AC244" s="52" t="s">
        <v>41</v>
      </c>
      <c r="AE244" s="52">
        <v>1</v>
      </c>
      <c r="AF244" s="52" t="s">
        <v>41</v>
      </c>
      <c r="AK244" s="52">
        <v>377</v>
      </c>
    </row>
    <row r="245" spans="1:37" x14ac:dyDescent="0.2">
      <c r="A245" s="52" t="s">
        <v>967</v>
      </c>
      <c r="B245" s="52" t="s">
        <v>3252</v>
      </c>
      <c r="C245" s="52">
        <v>121</v>
      </c>
      <c r="D245" s="52" t="s">
        <v>1763</v>
      </c>
      <c r="E245" s="52" t="s">
        <v>3334</v>
      </c>
      <c r="F245" s="52" t="s">
        <v>444</v>
      </c>
      <c r="G245" s="52" t="s">
        <v>468</v>
      </c>
      <c r="H245" s="52" t="s">
        <v>2574</v>
      </c>
      <c r="I245" s="52" t="s">
        <v>2019</v>
      </c>
      <c r="J245" s="52" t="s">
        <v>884</v>
      </c>
      <c r="K245" s="52" t="s">
        <v>884</v>
      </c>
      <c r="L245" s="52" t="s">
        <v>887</v>
      </c>
      <c r="M245" s="52" t="s">
        <v>886</v>
      </c>
      <c r="N245" s="52" t="s">
        <v>585</v>
      </c>
      <c r="O245" s="52" t="s">
        <v>446</v>
      </c>
      <c r="Q245" s="52">
        <v>941000031749594</v>
      </c>
      <c r="R245" s="52" t="s">
        <v>444</v>
      </c>
      <c r="S245" s="52" t="s">
        <v>885</v>
      </c>
      <c r="T245" s="53">
        <v>45597</v>
      </c>
      <c r="V245" s="53">
        <v>45967.581250000003</v>
      </c>
      <c r="W245" s="52" t="s">
        <v>884</v>
      </c>
      <c r="X245" s="53">
        <v>45962.622916666667</v>
      </c>
      <c r="Y245" s="52">
        <v>30.1</v>
      </c>
      <c r="AA245" s="52" t="s">
        <v>445</v>
      </c>
      <c r="AB245" s="52" t="s">
        <v>909</v>
      </c>
      <c r="AC245" s="52" t="s">
        <v>41</v>
      </c>
      <c r="AE245" s="52">
        <v>1</v>
      </c>
      <c r="AF245" s="52" t="s">
        <v>41</v>
      </c>
      <c r="AK245" s="52">
        <v>377</v>
      </c>
    </row>
    <row r="246" spans="1:37" x14ac:dyDescent="0.2">
      <c r="A246" s="52" t="s">
        <v>967</v>
      </c>
      <c r="B246" s="52" t="s">
        <v>3252</v>
      </c>
      <c r="C246" s="52">
        <v>121</v>
      </c>
      <c r="D246" s="52" t="s">
        <v>2431</v>
      </c>
      <c r="E246" s="52" t="s">
        <v>3335</v>
      </c>
      <c r="F246" s="52" t="s">
        <v>444</v>
      </c>
      <c r="G246" s="52" t="s">
        <v>2432</v>
      </c>
      <c r="H246" s="52" t="s">
        <v>3336</v>
      </c>
      <c r="I246" s="52" t="s">
        <v>1220</v>
      </c>
      <c r="K246" s="52" t="s">
        <v>884</v>
      </c>
      <c r="L246" s="52" t="s">
        <v>922</v>
      </c>
      <c r="M246" s="52" t="s">
        <v>890</v>
      </c>
      <c r="N246" s="52" t="s">
        <v>585</v>
      </c>
      <c r="O246" s="52" t="s">
        <v>446</v>
      </c>
      <c r="P246" s="52" t="s">
        <v>511</v>
      </c>
      <c r="Q246" s="52">
        <v>941000031749939</v>
      </c>
      <c r="R246" s="52" t="s">
        <v>444</v>
      </c>
      <c r="S246" s="52" t="s">
        <v>885</v>
      </c>
      <c r="T246" s="53">
        <v>44139</v>
      </c>
      <c r="V246" s="53">
        <v>45970.597916666666</v>
      </c>
      <c r="W246" s="52" t="s">
        <v>884</v>
      </c>
      <c r="X246" s="53">
        <v>45965.597916666666</v>
      </c>
      <c r="Y246" s="52">
        <v>27.1</v>
      </c>
      <c r="AA246" s="52" t="s">
        <v>445</v>
      </c>
      <c r="AB246" s="52" t="s">
        <v>996</v>
      </c>
      <c r="AC246" s="52" t="s">
        <v>41</v>
      </c>
      <c r="AE246" s="52">
        <v>1</v>
      </c>
      <c r="AF246" s="52" t="s">
        <v>41</v>
      </c>
      <c r="AK246" s="52">
        <v>377</v>
      </c>
    </row>
    <row r="247" spans="1:37" x14ac:dyDescent="0.2">
      <c r="A247" s="52" t="s">
        <v>967</v>
      </c>
      <c r="B247" s="52" t="s">
        <v>3252</v>
      </c>
      <c r="C247" s="52">
        <v>121</v>
      </c>
      <c r="D247" s="52" t="s">
        <v>2420</v>
      </c>
      <c r="E247" s="52" t="s">
        <v>2421</v>
      </c>
      <c r="F247" s="52" t="s">
        <v>444</v>
      </c>
      <c r="G247" s="52" t="s">
        <v>68</v>
      </c>
      <c r="H247" s="52" t="s">
        <v>2972</v>
      </c>
      <c r="I247" s="52" t="s">
        <v>958</v>
      </c>
      <c r="K247" s="52" t="s">
        <v>884</v>
      </c>
      <c r="L247" s="52" t="s">
        <v>922</v>
      </c>
      <c r="M247" s="52" t="s">
        <v>886</v>
      </c>
      <c r="N247" s="52" t="s">
        <v>585</v>
      </c>
      <c r="O247" s="52" t="s">
        <v>446</v>
      </c>
      <c r="Q247" s="52">
        <v>941000031750183</v>
      </c>
      <c r="R247" s="52" t="s">
        <v>444</v>
      </c>
      <c r="S247" s="52" t="s">
        <v>885</v>
      </c>
      <c r="T247" s="53">
        <v>45843</v>
      </c>
      <c r="V247" s="53">
        <v>45970.643055555556</v>
      </c>
      <c r="W247" s="52" t="s">
        <v>884</v>
      </c>
      <c r="X247" s="53">
        <v>45965.643055555556</v>
      </c>
      <c r="Y247" s="52">
        <v>27</v>
      </c>
      <c r="AA247" s="52" t="s">
        <v>445</v>
      </c>
      <c r="AB247" s="52" t="s">
        <v>3024</v>
      </c>
      <c r="AC247" s="52" t="s">
        <v>41</v>
      </c>
      <c r="AE247" s="52">
        <v>1</v>
      </c>
      <c r="AF247" s="52" t="s">
        <v>41</v>
      </c>
      <c r="AK247" s="52">
        <v>377</v>
      </c>
    </row>
    <row r="248" spans="1:37" x14ac:dyDescent="0.2">
      <c r="A248" s="52" t="s">
        <v>967</v>
      </c>
      <c r="B248" s="52" t="s">
        <v>3252</v>
      </c>
      <c r="C248" s="52">
        <v>121</v>
      </c>
      <c r="D248" s="52" t="s">
        <v>2391</v>
      </c>
      <c r="E248" s="52" t="s">
        <v>2392</v>
      </c>
      <c r="F248" s="52" t="s">
        <v>443</v>
      </c>
      <c r="G248" s="52" t="s">
        <v>34</v>
      </c>
      <c r="H248" s="52" t="s">
        <v>3337</v>
      </c>
      <c r="I248" s="52" t="s">
        <v>903</v>
      </c>
      <c r="K248" s="52" t="s">
        <v>884</v>
      </c>
      <c r="L248" s="52" t="s">
        <v>922</v>
      </c>
      <c r="M248" s="52" t="s">
        <v>886</v>
      </c>
      <c r="N248" s="52" t="s">
        <v>585</v>
      </c>
      <c r="O248" s="52" t="s">
        <v>446</v>
      </c>
      <c r="R248" s="52" t="s">
        <v>443</v>
      </c>
      <c r="S248" s="52" t="s">
        <v>885</v>
      </c>
      <c r="T248" s="53">
        <v>44689</v>
      </c>
      <c r="U248" s="52" t="s">
        <v>2000</v>
      </c>
      <c r="V248" s="53">
        <v>45972.582638888889</v>
      </c>
      <c r="W248" s="52" t="s">
        <v>884</v>
      </c>
      <c r="X248" s="53">
        <v>45967.582638888889</v>
      </c>
      <c r="Y248" s="52">
        <v>25.1</v>
      </c>
      <c r="AA248" s="52" t="s">
        <v>445</v>
      </c>
      <c r="AB248" s="52" t="s">
        <v>3025</v>
      </c>
      <c r="AC248" s="52" t="s">
        <v>41</v>
      </c>
      <c r="AE248" s="52">
        <v>1</v>
      </c>
      <c r="AF248" s="52" t="s">
        <v>41</v>
      </c>
      <c r="AK248" s="52">
        <v>377</v>
      </c>
    </row>
    <row r="249" spans="1:37" x14ac:dyDescent="0.2">
      <c r="A249" s="52" t="s">
        <v>967</v>
      </c>
      <c r="B249" s="52" t="s">
        <v>3252</v>
      </c>
      <c r="C249" s="52">
        <v>121</v>
      </c>
      <c r="D249" s="52" t="s">
        <v>2325</v>
      </c>
      <c r="E249" s="52" t="s">
        <v>2326</v>
      </c>
      <c r="F249" s="52" t="s">
        <v>444</v>
      </c>
      <c r="G249" s="52" t="s">
        <v>1141</v>
      </c>
      <c r="H249" s="52" t="s">
        <v>3338</v>
      </c>
      <c r="I249" s="52" t="s">
        <v>917</v>
      </c>
      <c r="K249" s="52" t="s">
        <v>884</v>
      </c>
      <c r="L249" s="52" t="s">
        <v>937</v>
      </c>
      <c r="M249" s="52" t="s">
        <v>886</v>
      </c>
      <c r="N249" s="52" t="s">
        <v>585</v>
      </c>
      <c r="O249" s="52" t="s">
        <v>446</v>
      </c>
      <c r="R249" s="52" t="s">
        <v>444</v>
      </c>
      <c r="S249" s="52" t="s">
        <v>885</v>
      </c>
      <c r="T249" s="53">
        <v>45848</v>
      </c>
      <c r="W249" s="52" t="s">
        <v>884</v>
      </c>
      <c r="X249" s="53">
        <v>45970.712500000001</v>
      </c>
      <c r="Y249" s="52">
        <v>22</v>
      </c>
      <c r="AA249" s="52" t="s">
        <v>445</v>
      </c>
      <c r="AB249" s="52" t="s">
        <v>3027</v>
      </c>
      <c r="AC249" s="52" t="s">
        <v>41</v>
      </c>
      <c r="AE249" s="52">
        <v>1</v>
      </c>
      <c r="AF249" s="52" t="s">
        <v>41</v>
      </c>
      <c r="AK249" s="52">
        <v>377</v>
      </c>
    </row>
    <row r="250" spans="1:37" x14ac:dyDescent="0.2">
      <c r="A250" s="52" t="s">
        <v>967</v>
      </c>
      <c r="B250" s="52" t="s">
        <v>3252</v>
      </c>
      <c r="C250" s="52">
        <v>121</v>
      </c>
      <c r="D250" s="52" t="s">
        <v>2276</v>
      </c>
      <c r="E250" s="52" t="s">
        <v>3339</v>
      </c>
      <c r="F250" s="52" t="s">
        <v>443</v>
      </c>
      <c r="G250" s="52" t="s">
        <v>34</v>
      </c>
      <c r="H250" s="52" t="s">
        <v>3175</v>
      </c>
      <c r="I250" s="52" t="s">
        <v>2990</v>
      </c>
      <c r="K250" s="52" t="s">
        <v>884</v>
      </c>
      <c r="L250" s="52" t="s">
        <v>887</v>
      </c>
      <c r="M250" s="52" t="s">
        <v>886</v>
      </c>
      <c r="N250" s="52" t="s">
        <v>585</v>
      </c>
      <c r="O250" s="52" t="s">
        <v>446</v>
      </c>
      <c r="R250" s="52" t="s">
        <v>443</v>
      </c>
      <c r="S250" s="52" t="s">
        <v>885</v>
      </c>
      <c r="T250" s="53">
        <v>45920</v>
      </c>
      <c r="V250" s="53">
        <v>45981.472916666666</v>
      </c>
      <c r="W250" s="52" t="s">
        <v>884</v>
      </c>
      <c r="X250" s="53">
        <v>45976.472916666666</v>
      </c>
      <c r="Y250" s="52">
        <v>16.2</v>
      </c>
      <c r="AA250" s="52" t="s">
        <v>445</v>
      </c>
      <c r="AB250" s="52" t="s">
        <v>3176</v>
      </c>
      <c r="AC250" s="52" t="s">
        <v>41</v>
      </c>
      <c r="AE250" s="52">
        <v>2</v>
      </c>
      <c r="AF250" s="52" t="s">
        <v>41</v>
      </c>
      <c r="AK250" s="52">
        <v>377</v>
      </c>
    </row>
    <row r="251" spans="1:37" x14ac:dyDescent="0.2">
      <c r="A251" s="52" t="s">
        <v>967</v>
      </c>
      <c r="B251" s="52" t="s">
        <v>3252</v>
      </c>
      <c r="C251" s="52">
        <v>121</v>
      </c>
      <c r="D251" s="52" t="s">
        <v>2274</v>
      </c>
      <c r="E251" s="52" t="s">
        <v>3340</v>
      </c>
      <c r="F251" s="52" t="s">
        <v>443</v>
      </c>
      <c r="G251" s="52" t="s">
        <v>34</v>
      </c>
      <c r="H251" s="52" t="s">
        <v>3175</v>
      </c>
      <c r="I251" s="52" t="s">
        <v>2017</v>
      </c>
      <c r="K251" s="52" t="s">
        <v>884</v>
      </c>
      <c r="L251" s="52" t="s">
        <v>887</v>
      </c>
      <c r="M251" s="52" t="s">
        <v>886</v>
      </c>
      <c r="N251" s="52" t="s">
        <v>585</v>
      </c>
      <c r="O251" s="52" t="s">
        <v>446</v>
      </c>
      <c r="R251" s="52" t="s">
        <v>443</v>
      </c>
      <c r="S251" s="52" t="s">
        <v>885</v>
      </c>
      <c r="T251" s="53">
        <v>45920</v>
      </c>
      <c r="U251" s="52" t="s">
        <v>2028</v>
      </c>
      <c r="V251" s="53">
        <v>45981.472916666666</v>
      </c>
      <c r="W251" s="52" t="s">
        <v>884</v>
      </c>
      <c r="X251" s="53">
        <v>45976.472916666666</v>
      </c>
      <c r="Y251" s="52">
        <v>16.2</v>
      </c>
      <c r="AA251" s="52" t="s">
        <v>445</v>
      </c>
      <c r="AB251" s="52" t="s">
        <v>3176</v>
      </c>
      <c r="AC251" s="52" t="s">
        <v>41</v>
      </c>
      <c r="AE251" s="52">
        <v>2</v>
      </c>
      <c r="AF251" s="52" t="s">
        <v>41</v>
      </c>
      <c r="AK251" s="52">
        <v>377</v>
      </c>
    </row>
    <row r="252" spans="1:37" x14ac:dyDescent="0.2">
      <c r="A252" s="52" t="s">
        <v>967</v>
      </c>
      <c r="B252" s="52" t="s">
        <v>3252</v>
      </c>
      <c r="C252" s="52">
        <v>121</v>
      </c>
      <c r="D252" s="52" t="s">
        <v>2238</v>
      </c>
      <c r="E252" s="52" t="s">
        <v>3341</v>
      </c>
      <c r="F252" s="52" t="s">
        <v>444</v>
      </c>
      <c r="G252" s="52" t="s">
        <v>857</v>
      </c>
      <c r="H252" s="52" t="s">
        <v>3342</v>
      </c>
      <c r="I252" s="52" t="s">
        <v>920</v>
      </c>
      <c r="J252" s="52" t="s">
        <v>884</v>
      </c>
      <c r="K252" s="52" t="s">
        <v>884</v>
      </c>
      <c r="L252" s="52" t="s">
        <v>2116</v>
      </c>
      <c r="M252" s="52" t="s">
        <v>886</v>
      </c>
      <c r="N252" s="52" t="s">
        <v>585</v>
      </c>
      <c r="O252" s="52" t="s">
        <v>446</v>
      </c>
      <c r="P252" s="52" t="s">
        <v>520</v>
      </c>
      <c r="Q252" s="52">
        <v>941000030972208</v>
      </c>
      <c r="R252" s="52" t="s">
        <v>444</v>
      </c>
      <c r="S252" s="52" t="s">
        <v>857</v>
      </c>
      <c r="T252" s="53">
        <v>44885</v>
      </c>
      <c r="W252" s="52" t="s">
        <v>884</v>
      </c>
      <c r="X252" s="53">
        <v>45978.647916666669</v>
      </c>
      <c r="Y252" s="52">
        <v>14</v>
      </c>
      <c r="AA252" s="52" t="s">
        <v>445</v>
      </c>
      <c r="AB252" s="52" t="s">
        <v>955</v>
      </c>
      <c r="AC252" s="52" t="s">
        <v>41</v>
      </c>
      <c r="AE252" s="52">
        <v>1</v>
      </c>
      <c r="AF252" s="52" t="s">
        <v>41</v>
      </c>
      <c r="AK252" s="52">
        <v>377</v>
      </c>
    </row>
    <row r="253" spans="1:37" x14ac:dyDescent="0.2">
      <c r="A253" s="52" t="s">
        <v>967</v>
      </c>
      <c r="B253" s="52" t="s">
        <v>3252</v>
      </c>
      <c r="C253" s="52">
        <v>121</v>
      </c>
      <c r="D253" s="52" t="s">
        <v>3343</v>
      </c>
      <c r="E253" s="52" t="s">
        <v>3344</v>
      </c>
      <c r="F253" s="52" t="s">
        <v>444</v>
      </c>
      <c r="G253" s="52" t="s">
        <v>2350</v>
      </c>
      <c r="H253" s="52" t="s">
        <v>3250</v>
      </c>
      <c r="I253" s="52" t="s">
        <v>3345</v>
      </c>
      <c r="K253" s="52" t="s">
        <v>884</v>
      </c>
      <c r="L253" s="52" t="s">
        <v>922</v>
      </c>
      <c r="M253" s="52" t="s">
        <v>886</v>
      </c>
      <c r="N253" s="52" t="s">
        <v>585</v>
      </c>
      <c r="O253" s="52" t="s">
        <v>446</v>
      </c>
      <c r="P253" s="52" t="s">
        <v>679</v>
      </c>
      <c r="Q253" s="52">
        <v>941000031749916</v>
      </c>
      <c r="R253" s="52" t="s">
        <v>444</v>
      </c>
      <c r="S253" s="52" t="s">
        <v>885</v>
      </c>
      <c r="T253" s="53">
        <v>45249</v>
      </c>
      <c r="V253" s="53">
        <v>45985.65625</v>
      </c>
      <c r="W253" s="52" t="s">
        <v>884</v>
      </c>
      <c r="X253" s="53">
        <v>45980.65625</v>
      </c>
      <c r="Y253" s="52">
        <v>12</v>
      </c>
      <c r="AA253" s="52" t="s">
        <v>445</v>
      </c>
      <c r="AB253" s="52" t="s">
        <v>1219</v>
      </c>
      <c r="AC253" s="52" t="s">
        <v>41</v>
      </c>
      <c r="AE253" s="52">
        <v>1</v>
      </c>
      <c r="AF253" s="52" t="s">
        <v>41</v>
      </c>
      <c r="AK253" s="52">
        <v>377</v>
      </c>
    </row>
    <row r="254" spans="1:37" x14ac:dyDescent="0.2">
      <c r="A254" s="52" t="s">
        <v>967</v>
      </c>
      <c r="B254" s="52" t="s">
        <v>3252</v>
      </c>
      <c r="C254" s="52">
        <v>121</v>
      </c>
      <c r="D254" s="52" t="s">
        <v>3346</v>
      </c>
      <c r="E254" s="52" t="s">
        <v>3347</v>
      </c>
      <c r="F254" s="52" t="s">
        <v>444</v>
      </c>
      <c r="G254" s="52" t="s">
        <v>2350</v>
      </c>
      <c r="H254" s="52" t="s">
        <v>3250</v>
      </c>
      <c r="I254" s="52" t="s">
        <v>3348</v>
      </c>
      <c r="K254" s="52" t="s">
        <v>884</v>
      </c>
      <c r="L254" s="52" t="s">
        <v>922</v>
      </c>
      <c r="M254" s="52" t="s">
        <v>890</v>
      </c>
      <c r="N254" s="52" t="s">
        <v>585</v>
      </c>
      <c r="O254" s="52" t="s">
        <v>446</v>
      </c>
      <c r="P254" s="52" t="s">
        <v>679</v>
      </c>
      <c r="Q254" s="52">
        <v>941000031750066</v>
      </c>
      <c r="R254" s="52" t="s">
        <v>444</v>
      </c>
      <c r="S254" s="52" t="s">
        <v>885</v>
      </c>
      <c r="T254" s="53">
        <v>45249</v>
      </c>
      <c r="V254" s="53">
        <v>45985.65625</v>
      </c>
      <c r="W254" s="52" t="s">
        <v>884</v>
      </c>
      <c r="X254" s="53">
        <v>45980.65625</v>
      </c>
      <c r="Y254" s="52">
        <v>12</v>
      </c>
      <c r="AA254" s="52" t="s">
        <v>445</v>
      </c>
      <c r="AB254" s="52" t="s">
        <v>933</v>
      </c>
      <c r="AC254" s="52" t="s">
        <v>41</v>
      </c>
      <c r="AE254" s="52">
        <v>1</v>
      </c>
      <c r="AF254" s="52" t="s">
        <v>41</v>
      </c>
      <c r="AK254" s="52">
        <v>377</v>
      </c>
    </row>
    <row r="255" spans="1:37" x14ac:dyDescent="0.2">
      <c r="A255" s="52" t="s">
        <v>967</v>
      </c>
      <c r="B255" s="52" t="s">
        <v>3252</v>
      </c>
      <c r="C255" s="52">
        <v>121</v>
      </c>
      <c r="D255" s="52" t="s">
        <v>3349</v>
      </c>
      <c r="E255" s="52" t="s">
        <v>3350</v>
      </c>
      <c r="F255" s="52" t="s">
        <v>443</v>
      </c>
      <c r="G255" s="52" t="s">
        <v>34</v>
      </c>
      <c r="H255" s="52" t="s">
        <v>3351</v>
      </c>
      <c r="I255" s="52" t="s">
        <v>903</v>
      </c>
      <c r="J255" s="52" t="s">
        <v>884</v>
      </c>
      <c r="K255" s="52" t="s">
        <v>884</v>
      </c>
      <c r="L255" s="52" t="s">
        <v>922</v>
      </c>
      <c r="M255" s="52" t="s">
        <v>890</v>
      </c>
      <c r="N255" s="52" t="s">
        <v>585</v>
      </c>
      <c r="O255" s="52" t="s">
        <v>446</v>
      </c>
      <c r="R255" s="52" t="s">
        <v>443</v>
      </c>
      <c r="S255" s="52" t="s">
        <v>885</v>
      </c>
      <c r="T255" s="53">
        <v>45940</v>
      </c>
      <c r="U255" s="52" t="s">
        <v>2004</v>
      </c>
      <c r="V255" s="53">
        <v>45987.478472222225</v>
      </c>
      <c r="W255" s="52" t="s">
        <v>884</v>
      </c>
      <c r="X255" s="53">
        <v>45982.478472222225</v>
      </c>
      <c r="Y255" s="52">
        <v>10.199999999999999</v>
      </c>
      <c r="AA255" s="52" t="s">
        <v>445</v>
      </c>
      <c r="AB255" s="52" t="s">
        <v>3352</v>
      </c>
      <c r="AC255" s="52" t="s">
        <v>41</v>
      </c>
      <c r="AE255" s="52">
        <v>1</v>
      </c>
      <c r="AF255" s="52" t="s">
        <v>41</v>
      </c>
      <c r="AK255" s="52">
        <v>377</v>
      </c>
    </row>
    <row r="256" spans="1:37" x14ac:dyDescent="0.2">
      <c r="A256" s="52" t="s">
        <v>967</v>
      </c>
      <c r="B256" s="52" t="s">
        <v>3252</v>
      </c>
      <c r="C256" s="52">
        <v>121</v>
      </c>
      <c r="D256" s="52" t="s">
        <v>3353</v>
      </c>
      <c r="E256" s="52" t="s">
        <v>3354</v>
      </c>
      <c r="F256" s="52" t="s">
        <v>443</v>
      </c>
      <c r="G256" s="52" t="s">
        <v>34</v>
      </c>
      <c r="H256" s="52" t="s">
        <v>3355</v>
      </c>
      <c r="I256" s="52" t="s">
        <v>897</v>
      </c>
      <c r="J256" s="52" t="s">
        <v>884</v>
      </c>
      <c r="K256" s="52" t="s">
        <v>884</v>
      </c>
      <c r="L256" s="52" t="s">
        <v>922</v>
      </c>
      <c r="M256" s="52" t="s">
        <v>890</v>
      </c>
      <c r="N256" s="52" t="s">
        <v>585</v>
      </c>
      <c r="O256" s="52" t="s">
        <v>446</v>
      </c>
      <c r="R256" s="52" t="s">
        <v>443</v>
      </c>
      <c r="S256" s="52" t="s">
        <v>885</v>
      </c>
      <c r="T256" s="53">
        <v>45926</v>
      </c>
      <c r="V256" s="53">
        <v>45987.484027777777</v>
      </c>
      <c r="W256" s="52" t="s">
        <v>884</v>
      </c>
      <c r="X256" s="53">
        <v>45982.484027777777</v>
      </c>
      <c r="Y256" s="52">
        <v>10.199999999999999</v>
      </c>
      <c r="AA256" s="52" t="s">
        <v>445</v>
      </c>
      <c r="AB256" s="52" t="s">
        <v>3356</v>
      </c>
      <c r="AC256" s="52" t="s">
        <v>41</v>
      </c>
      <c r="AE256" s="52">
        <v>1</v>
      </c>
      <c r="AF256" s="52" t="s">
        <v>41</v>
      </c>
      <c r="AK256" s="52">
        <v>377</v>
      </c>
    </row>
    <row r="257" spans="1:37" x14ac:dyDescent="0.2">
      <c r="A257" s="52" t="s">
        <v>967</v>
      </c>
      <c r="B257" s="52" t="s">
        <v>3252</v>
      </c>
      <c r="C257" s="52">
        <v>121</v>
      </c>
      <c r="D257" s="52" t="s">
        <v>3357</v>
      </c>
      <c r="E257" s="52" t="s">
        <v>3358</v>
      </c>
      <c r="F257" s="52" t="s">
        <v>443</v>
      </c>
      <c r="G257" s="52" t="s">
        <v>34</v>
      </c>
      <c r="H257" s="52" t="s">
        <v>3359</v>
      </c>
      <c r="I257" s="52" t="s">
        <v>958</v>
      </c>
      <c r="K257" s="52" t="s">
        <v>884</v>
      </c>
      <c r="L257" s="52" t="s">
        <v>922</v>
      </c>
      <c r="M257" s="52" t="s">
        <v>886</v>
      </c>
      <c r="N257" s="52" t="s">
        <v>585</v>
      </c>
      <c r="O257" s="52" t="s">
        <v>446</v>
      </c>
      <c r="R257" s="52" t="s">
        <v>443</v>
      </c>
      <c r="S257" s="52" t="s">
        <v>885</v>
      </c>
      <c r="T257" s="53">
        <v>45893</v>
      </c>
      <c r="V257" s="53">
        <v>45990.465277777781</v>
      </c>
      <c r="W257" s="52" t="s">
        <v>884</v>
      </c>
      <c r="X257" s="53">
        <v>45985.465277777781</v>
      </c>
      <c r="Y257" s="52">
        <v>7.2</v>
      </c>
      <c r="AA257" s="52" t="s">
        <v>445</v>
      </c>
      <c r="AB257" s="52" t="s">
        <v>3360</v>
      </c>
      <c r="AC257" s="52" t="s">
        <v>41</v>
      </c>
      <c r="AE257" s="52">
        <v>1</v>
      </c>
      <c r="AF257" s="52" t="s">
        <v>41</v>
      </c>
      <c r="AK257" s="52">
        <v>377</v>
      </c>
    </row>
    <row r="258" spans="1:37" x14ac:dyDescent="0.2">
      <c r="A258" s="52" t="s">
        <v>967</v>
      </c>
      <c r="B258" s="52" t="s">
        <v>3252</v>
      </c>
      <c r="C258" s="52">
        <v>121</v>
      </c>
      <c r="D258" s="52" t="s">
        <v>3361</v>
      </c>
      <c r="E258" s="52" t="s">
        <v>3362</v>
      </c>
      <c r="F258" s="52" t="s">
        <v>444</v>
      </c>
      <c r="G258" s="52" t="s">
        <v>510</v>
      </c>
      <c r="H258" s="52" t="s">
        <v>3363</v>
      </c>
      <c r="I258" s="52" t="s">
        <v>3364</v>
      </c>
      <c r="K258" s="52" t="s">
        <v>884</v>
      </c>
      <c r="L258" s="52" t="s">
        <v>922</v>
      </c>
      <c r="M258" s="52" t="s">
        <v>890</v>
      </c>
      <c r="N258" s="52" t="s">
        <v>585</v>
      </c>
      <c r="O258" s="52" t="s">
        <v>446</v>
      </c>
      <c r="P258" s="52" t="s">
        <v>456</v>
      </c>
      <c r="R258" s="52" t="s">
        <v>444</v>
      </c>
      <c r="S258" s="52" t="s">
        <v>885</v>
      </c>
      <c r="T258" s="53">
        <v>45254</v>
      </c>
      <c r="V258" s="53">
        <v>45990.474305555559</v>
      </c>
      <c r="W258" s="52" t="s">
        <v>884</v>
      </c>
      <c r="X258" s="53">
        <v>45985.474305555559</v>
      </c>
      <c r="Y258" s="52">
        <v>7.2</v>
      </c>
      <c r="AA258" s="52" t="s">
        <v>445</v>
      </c>
      <c r="AB258" s="52" t="s">
        <v>960</v>
      </c>
      <c r="AC258" s="52" t="s">
        <v>41</v>
      </c>
      <c r="AE258" s="52">
        <v>1</v>
      </c>
      <c r="AF258" s="52" t="s">
        <v>41</v>
      </c>
      <c r="AK258" s="52">
        <v>377</v>
      </c>
    </row>
    <row r="259" spans="1:37" x14ac:dyDescent="0.2">
      <c r="A259" s="52" t="s">
        <v>967</v>
      </c>
      <c r="B259" s="52" t="s">
        <v>3252</v>
      </c>
      <c r="C259" s="52">
        <v>121</v>
      </c>
      <c r="D259" s="52" t="s">
        <v>1774</v>
      </c>
      <c r="E259" s="52" t="s">
        <v>2454</v>
      </c>
      <c r="F259" s="52" t="s">
        <v>443</v>
      </c>
      <c r="G259" s="52" t="s">
        <v>34</v>
      </c>
      <c r="H259" s="52" t="s">
        <v>2043</v>
      </c>
      <c r="I259" s="52" t="s">
        <v>903</v>
      </c>
      <c r="K259" s="52" t="s">
        <v>884</v>
      </c>
      <c r="L259" s="52" t="s">
        <v>922</v>
      </c>
      <c r="M259" s="52" t="s">
        <v>886</v>
      </c>
      <c r="N259" s="52" t="s">
        <v>494</v>
      </c>
      <c r="O259" s="52" t="s">
        <v>446</v>
      </c>
      <c r="P259" s="52" t="s">
        <v>1775</v>
      </c>
      <c r="R259" s="52" t="s">
        <v>443</v>
      </c>
      <c r="S259" s="52" t="s">
        <v>885</v>
      </c>
      <c r="T259" s="53">
        <v>45919</v>
      </c>
      <c r="U259" s="52" t="s">
        <v>2000</v>
      </c>
      <c r="V259" s="53">
        <v>45966.486111111109</v>
      </c>
      <c r="W259" s="52" t="s">
        <v>884</v>
      </c>
      <c r="X259" s="53">
        <v>45961.527777777781</v>
      </c>
      <c r="Y259" s="52">
        <v>31.2</v>
      </c>
      <c r="AA259" s="52" t="s">
        <v>446</v>
      </c>
      <c r="AB259" s="52" t="s">
        <v>2014</v>
      </c>
      <c r="AC259" s="52" t="s">
        <v>41</v>
      </c>
      <c r="AE259" s="52">
        <v>1</v>
      </c>
      <c r="AF259" s="52" t="s">
        <v>41</v>
      </c>
      <c r="AK259" s="52">
        <v>377</v>
      </c>
    </row>
    <row r="260" spans="1:37" x14ac:dyDescent="0.2">
      <c r="A260" s="52" t="s">
        <v>967</v>
      </c>
      <c r="B260" s="52" t="s">
        <v>3252</v>
      </c>
      <c r="C260" s="52">
        <v>121</v>
      </c>
      <c r="D260" s="52" t="s">
        <v>2246</v>
      </c>
      <c r="E260" s="52" t="s">
        <v>3365</v>
      </c>
      <c r="F260" s="52" t="s">
        <v>443</v>
      </c>
      <c r="G260" s="52" t="s">
        <v>34</v>
      </c>
      <c r="H260" s="52" t="s">
        <v>3366</v>
      </c>
      <c r="I260" s="52" t="s">
        <v>903</v>
      </c>
      <c r="K260" s="52" t="s">
        <v>884</v>
      </c>
      <c r="L260" s="52" t="s">
        <v>922</v>
      </c>
      <c r="M260" s="52" t="s">
        <v>886</v>
      </c>
      <c r="N260" s="52" t="s">
        <v>731</v>
      </c>
      <c r="O260" s="52" t="s">
        <v>446</v>
      </c>
      <c r="R260" s="52" t="s">
        <v>443</v>
      </c>
      <c r="S260" s="52" t="s">
        <v>885</v>
      </c>
      <c r="T260" s="53">
        <v>45943</v>
      </c>
      <c r="V260" s="53">
        <v>45983.550694444442</v>
      </c>
      <c r="W260" s="52" t="s">
        <v>884</v>
      </c>
      <c r="X260" s="53">
        <v>45978.550694444442</v>
      </c>
      <c r="Y260" s="52">
        <v>14.1</v>
      </c>
      <c r="AA260" s="52" t="s">
        <v>446</v>
      </c>
      <c r="AB260" s="52" t="s">
        <v>3367</v>
      </c>
      <c r="AC260" s="52" t="s">
        <v>41</v>
      </c>
      <c r="AE260" s="52">
        <v>1</v>
      </c>
      <c r="AF260" s="52" t="s">
        <v>41</v>
      </c>
      <c r="AK260" s="52">
        <v>377</v>
      </c>
    </row>
    <row r="261" spans="1:37" x14ac:dyDescent="0.2">
      <c r="A261" s="52" t="s">
        <v>967</v>
      </c>
      <c r="B261" s="52" t="s">
        <v>3252</v>
      </c>
      <c r="C261" s="52">
        <v>121</v>
      </c>
      <c r="D261" s="52" t="s">
        <v>2243</v>
      </c>
      <c r="E261" s="52" t="s">
        <v>3368</v>
      </c>
      <c r="F261" s="52" t="s">
        <v>443</v>
      </c>
      <c r="G261" s="52" t="s">
        <v>34</v>
      </c>
      <c r="H261" s="52" t="s">
        <v>3366</v>
      </c>
      <c r="I261" s="52" t="s">
        <v>2077</v>
      </c>
      <c r="K261" s="52" t="s">
        <v>884</v>
      </c>
      <c r="L261" s="52" t="s">
        <v>922</v>
      </c>
      <c r="M261" s="52" t="s">
        <v>886</v>
      </c>
      <c r="N261" s="52" t="s">
        <v>731</v>
      </c>
      <c r="O261" s="52" t="s">
        <v>446</v>
      </c>
      <c r="R261" s="52" t="s">
        <v>443</v>
      </c>
      <c r="S261" s="52" t="s">
        <v>885</v>
      </c>
      <c r="T261" s="53">
        <v>45943</v>
      </c>
      <c r="V261" s="53">
        <v>45983.550694444442</v>
      </c>
      <c r="W261" s="52" t="s">
        <v>884</v>
      </c>
      <c r="X261" s="53">
        <v>45978.550694444442</v>
      </c>
      <c r="Y261" s="52">
        <v>14.1</v>
      </c>
      <c r="AA261" s="52" t="s">
        <v>446</v>
      </c>
      <c r="AB261" s="52" t="s">
        <v>3367</v>
      </c>
      <c r="AC261" s="52" t="s">
        <v>41</v>
      </c>
      <c r="AE261" s="52">
        <v>1</v>
      </c>
      <c r="AF261" s="52" t="s">
        <v>41</v>
      </c>
      <c r="AK261" s="52">
        <v>377</v>
      </c>
    </row>
    <row r="262" spans="1:37" x14ac:dyDescent="0.2">
      <c r="A262" s="52" t="s">
        <v>967</v>
      </c>
      <c r="B262" s="52" t="s">
        <v>3252</v>
      </c>
      <c r="C262" s="52">
        <v>121</v>
      </c>
      <c r="D262" s="52" t="s">
        <v>3369</v>
      </c>
      <c r="F262" s="52" t="s">
        <v>443</v>
      </c>
      <c r="G262" s="52" t="s">
        <v>34</v>
      </c>
      <c r="H262" s="52" t="s">
        <v>3351</v>
      </c>
      <c r="I262" s="52" t="s">
        <v>2039</v>
      </c>
      <c r="K262" s="52" t="s">
        <v>884</v>
      </c>
      <c r="L262" s="52" t="s">
        <v>922</v>
      </c>
      <c r="M262" s="52" t="s">
        <v>911</v>
      </c>
      <c r="N262" s="52" t="s">
        <v>731</v>
      </c>
      <c r="O262" s="52" t="s">
        <v>446</v>
      </c>
      <c r="R262" s="52" t="s">
        <v>443</v>
      </c>
      <c r="S262" s="52" t="s">
        <v>885</v>
      </c>
      <c r="T262" s="53">
        <v>45940</v>
      </c>
      <c r="V262" s="53">
        <v>45987.511111111111</v>
      </c>
      <c r="W262" s="52" t="s">
        <v>884</v>
      </c>
      <c r="X262" s="53">
        <v>45982.511111111111</v>
      </c>
      <c r="Y262" s="52">
        <v>10.199999999999999</v>
      </c>
      <c r="AA262" s="52" t="s">
        <v>446</v>
      </c>
      <c r="AC262" s="52" t="s">
        <v>41</v>
      </c>
      <c r="AE262" s="52">
        <v>1</v>
      </c>
      <c r="AF262" s="52" t="s">
        <v>41</v>
      </c>
      <c r="AK262" s="52">
        <v>377</v>
      </c>
    </row>
    <row r="263" spans="1:37" x14ac:dyDescent="0.2">
      <c r="A263" s="52" t="s">
        <v>946</v>
      </c>
      <c r="B263" s="52" t="s">
        <v>3370</v>
      </c>
      <c r="C263" s="52">
        <v>19</v>
      </c>
      <c r="D263" s="52" t="s">
        <v>1121</v>
      </c>
      <c r="E263" s="52" t="s">
        <v>1122</v>
      </c>
      <c r="F263" s="52" t="s">
        <v>444</v>
      </c>
      <c r="G263" s="52" t="s">
        <v>535</v>
      </c>
      <c r="H263" s="52" t="s">
        <v>3371</v>
      </c>
      <c r="I263" s="52" t="s">
        <v>958</v>
      </c>
      <c r="J263" s="52" t="s">
        <v>884</v>
      </c>
      <c r="K263" s="52" t="s">
        <v>884</v>
      </c>
      <c r="L263" s="52" t="s">
        <v>922</v>
      </c>
      <c r="M263" s="52" t="s">
        <v>886</v>
      </c>
      <c r="N263" s="52" t="s">
        <v>494</v>
      </c>
      <c r="O263" s="52" t="s">
        <v>492</v>
      </c>
      <c r="P263" s="52" t="s">
        <v>466</v>
      </c>
      <c r="R263" s="52" t="s">
        <v>444</v>
      </c>
      <c r="S263" s="52" t="s">
        <v>885</v>
      </c>
      <c r="T263" s="53">
        <v>44483</v>
      </c>
      <c r="U263" s="52" t="s">
        <v>969</v>
      </c>
      <c r="V263" s="53">
        <v>45949.495138888888</v>
      </c>
      <c r="W263" s="52" t="s">
        <v>884</v>
      </c>
      <c r="X263" s="53">
        <v>45944.495138888888</v>
      </c>
      <c r="Y263" s="52">
        <v>48.2</v>
      </c>
      <c r="AA263" s="52">
        <v>1</v>
      </c>
      <c r="AB263" s="52" t="s">
        <v>1207</v>
      </c>
      <c r="AC263" s="52" t="s">
        <v>41</v>
      </c>
      <c r="AE263" s="52">
        <v>3</v>
      </c>
      <c r="AF263" s="52" t="s">
        <v>41</v>
      </c>
      <c r="AK263" s="52">
        <v>377</v>
      </c>
    </row>
    <row r="264" spans="1:37" x14ac:dyDescent="0.2">
      <c r="A264" s="52" t="s">
        <v>946</v>
      </c>
      <c r="B264" s="52" t="s">
        <v>3370</v>
      </c>
      <c r="C264" s="52">
        <v>19</v>
      </c>
      <c r="D264" s="52" t="s">
        <v>406</v>
      </c>
      <c r="E264" s="52" t="s">
        <v>407</v>
      </c>
      <c r="F264" s="52" t="s">
        <v>444</v>
      </c>
      <c r="G264" s="52" t="s">
        <v>489</v>
      </c>
      <c r="H264" s="52" t="s">
        <v>3111</v>
      </c>
      <c r="I264" s="52" t="s">
        <v>897</v>
      </c>
      <c r="J264" s="52" t="s">
        <v>884</v>
      </c>
      <c r="K264" s="52" t="s">
        <v>884</v>
      </c>
      <c r="L264" s="52" t="s">
        <v>887</v>
      </c>
      <c r="M264" s="52" t="s">
        <v>890</v>
      </c>
      <c r="N264" s="52" t="s">
        <v>461</v>
      </c>
      <c r="O264" s="52" t="s">
        <v>492</v>
      </c>
      <c r="P264" s="52" t="s">
        <v>471</v>
      </c>
      <c r="Q264" s="52">
        <v>941000031683913</v>
      </c>
      <c r="R264" s="52" t="s">
        <v>444</v>
      </c>
      <c r="S264" s="52" t="s">
        <v>885</v>
      </c>
      <c r="T264" s="53">
        <v>44759</v>
      </c>
      <c r="V264" s="53">
        <v>45860.632638888892</v>
      </c>
      <c r="W264" s="52" t="s">
        <v>892</v>
      </c>
      <c r="X264" s="53">
        <v>45855.632638888892</v>
      </c>
      <c r="Y264" s="52">
        <v>137</v>
      </c>
      <c r="AA264" s="52">
        <v>10</v>
      </c>
      <c r="AB264" s="52" t="s">
        <v>1217</v>
      </c>
      <c r="AC264" s="52" t="s">
        <v>41</v>
      </c>
      <c r="AE264" s="52">
        <v>2</v>
      </c>
      <c r="AF264" s="52" t="s">
        <v>41</v>
      </c>
      <c r="AK264" s="52">
        <v>377</v>
      </c>
    </row>
    <row r="265" spans="1:37" x14ac:dyDescent="0.2">
      <c r="A265" s="52" t="s">
        <v>946</v>
      </c>
      <c r="B265" s="52" t="s">
        <v>3370</v>
      </c>
      <c r="C265" s="52">
        <v>19</v>
      </c>
      <c r="D265" s="52" t="s">
        <v>99</v>
      </c>
      <c r="E265" s="52" t="s">
        <v>100</v>
      </c>
      <c r="F265" s="52" t="s">
        <v>444</v>
      </c>
      <c r="G265" s="52" t="s">
        <v>468</v>
      </c>
      <c r="H265" s="52" t="s">
        <v>3372</v>
      </c>
      <c r="I265" s="52" t="s">
        <v>894</v>
      </c>
      <c r="J265" s="52" t="s">
        <v>884</v>
      </c>
      <c r="K265" s="52" t="s">
        <v>884</v>
      </c>
      <c r="L265" s="52" t="s">
        <v>887</v>
      </c>
      <c r="M265" s="52" t="s">
        <v>890</v>
      </c>
      <c r="N265" s="52" t="s">
        <v>461</v>
      </c>
      <c r="O265" s="52" t="s">
        <v>492</v>
      </c>
      <c r="P265" s="52" t="s">
        <v>456</v>
      </c>
      <c r="Q265" s="52">
        <v>941000030951283</v>
      </c>
      <c r="R265" s="52" t="s">
        <v>444</v>
      </c>
      <c r="S265" s="52" t="s">
        <v>885</v>
      </c>
      <c r="T265" s="53">
        <v>44968</v>
      </c>
      <c r="V265" s="53">
        <v>45704.376388888886</v>
      </c>
      <c r="W265" s="52" t="s">
        <v>892</v>
      </c>
      <c r="X265" s="53">
        <v>45699.376388888886</v>
      </c>
      <c r="Y265" s="52">
        <v>293.3</v>
      </c>
      <c r="AA265" s="52">
        <v>11</v>
      </c>
      <c r="AB265" s="52" t="s">
        <v>965</v>
      </c>
      <c r="AC265" s="52" t="s">
        <v>41</v>
      </c>
      <c r="AE265" s="52">
        <v>3</v>
      </c>
      <c r="AF265" s="52" t="s">
        <v>41</v>
      </c>
      <c r="AK265" s="52">
        <v>377</v>
      </c>
    </row>
    <row r="266" spans="1:37" x14ac:dyDescent="0.2">
      <c r="A266" s="52" t="s">
        <v>946</v>
      </c>
      <c r="B266" s="52" t="s">
        <v>3370</v>
      </c>
      <c r="C266" s="52">
        <v>19</v>
      </c>
      <c r="D266" s="52" t="s">
        <v>245</v>
      </c>
      <c r="E266" s="52" t="s">
        <v>666</v>
      </c>
      <c r="F266" s="52" t="s">
        <v>444</v>
      </c>
      <c r="G266" s="52" t="s">
        <v>510</v>
      </c>
      <c r="H266" s="52" t="s">
        <v>3373</v>
      </c>
      <c r="I266" s="52" t="s">
        <v>894</v>
      </c>
      <c r="J266" s="52" t="s">
        <v>884</v>
      </c>
      <c r="K266" s="52" t="s">
        <v>884</v>
      </c>
      <c r="L266" s="52" t="s">
        <v>922</v>
      </c>
      <c r="M266" s="52" t="s">
        <v>886</v>
      </c>
      <c r="N266" s="52" t="s">
        <v>461</v>
      </c>
      <c r="O266" s="52" t="s">
        <v>492</v>
      </c>
      <c r="P266" s="52" t="s">
        <v>629</v>
      </c>
      <c r="Q266" s="52">
        <v>941000031683715</v>
      </c>
      <c r="R266" s="52" t="s">
        <v>444</v>
      </c>
      <c r="S266" s="52" t="s">
        <v>885</v>
      </c>
      <c r="T266" s="53">
        <v>45117</v>
      </c>
      <c r="V266" s="53">
        <v>45852.512499999997</v>
      </c>
      <c r="W266" s="52" t="s">
        <v>892</v>
      </c>
      <c r="X266" s="53">
        <v>45847.512499999997</v>
      </c>
      <c r="Y266" s="52">
        <v>145.19999999999999</v>
      </c>
      <c r="Z266" s="52" t="s">
        <v>990</v>
      </c>
      <c r="AA266" s="52">
        <v>12</v>
      </c>
      <c r="AB266" s="52" t="s">
        <v>936</v>
      </c>
      <c r="AC266" s="52" t="s">
        <v>41</v>
      </c>
      <c r="AE266" s="52">
        <v>1</v>
      </c>
      <c r="AF266" s="52" t="s">
        <v>41</v>
      </c>
      <c r="AK266" s="52">
        <v>377</v>
      </c>
    </row>
    <row r="267" spans="1:37" x14ac:dyDescent="0.2">
      <c r="A267" s="52" t="s">
        <v>946</v>
      </c>
      <c r="B267" s="52" t="s">
        <v>3370</v>
      </c>
      <c r="C267" s="52">
        <v>19</v>
      </c>
      <c r="D267" s="52" t="s">
        <v>827</v>
      </c>
      <c r="E267" s="52" t="s">
        <v>826</v>
      </c>
      <c r="F267" s="52" t="s">
        <v>444</v>
      </c>
      <c r="G267" s="52" t="s">
        <v>510</v>
      </c>
      <c r="H267" s="52" t="s">
        <v>3374</v>
      </c>
      <c r="I267" s="52" t="s">
        <v>903</v>
      </c>
      <c r="K267" s="52" t="s">
        <v>884</v>
      </c>
      <c r="L267" s="52" t="s">
        <v>922</v>
      </c>
      <c r="M267" s="52" t="s">
        <v>890</v>
      </c>
      <c r="N267" s="52" t="s">
        <v>461</v>
      </c>
      <c r="O267" s="52" t="s">
        <v>492</v>
      </c>
      <c r="P267" s="52" t="s">
        <v>466</v>
      </c>
      <c r="Q267" s="52">
        <v>941000031684340</v>
      </c>
      <c r="R267" s="52" t="s">
        <v>444</v>
      </c>
      <c r="S267" s="52" t="s">
        <v>885</v>
      </c>
      <c r="T267" s="53">
        <v>45554</v>
      </c>
      <c r="V267" s="53">
        <v>45924.633333333331</v>
      </c>
      <c r="W267" s="52" t="s">
        <v>892</v>
      </c>
      <c r="X267" s="53">
        <v>45919.633333333331</v>
      </c>
      <c r="Y267" s="52">
        <v>73</v>
      </c>
      <c r="AA267" s="52">
        <v>13</v>
      </c>
      <c r="AB267" s="52" t="s">
        <v>933</v>
      </c>
      <c r="AC267" s="52" t="s">
        <v>41</v>
      </c>
      <c r="AE267" s="52">
        <v>2</v>
      </c>
      <c r="AF267" s="52" t="s">
        <v>41</v>
      </c>
      <c r="AK267" s="52">
        <v>377</v>
      </c>
    </row>
    <row r="268" spans="1:37" x14ac:dyDescent="0.2">
      <c r="A268" s="52" t="s">
        <v>946</v>
      </c>
      <c r="B268" s="52" t="s">
        <v>3370</v>
      </c>
      <c r="C268" s="52">
        <v>19</v>
      </c>
      <c r="D268" s="52" t="s">
        <v>784</v>
      </c>
      <c r="E268" s="52" t="s">
        <v>1914</v>
      </c>
      <c r="F268" s="52" t="s">
        <v>444</v>
      </c>
      <c r="G268" s="52" t="s">
        <v>510</v>
      </c>
      <c r="H268" s="52" t="s">
        <v>3199</v>
      </c>
      <c r="I268" s="52" t="s">
        <v>917</v>
      </c>
      <c r="K268" s="52" t="s">
        <v>884</v>
      </c>
      <c r="L268" s="52" t="s">
        <v>922</v>
      </c>
      <c r="M268" s="52" t="s">
        <v>890</v>
      </c>
      <c r="N268" s="52" t="s">
        <v>494</v>
      </c>
      <c r="O268" s="52" t="s">
        <v>492</v>
      </c>
      <c r="P268" s="52" t="s">
        <v>511</v>
      </c>
      <c r="R268" s="52" t="s">
        <v>444</v>
      </c>
      <c r="S268" s="52" t="s">
        <v>885</v>
      </c>
      <c r="T268" s="53">
        <v>45177</v>
      </c>
      <c r="V268" s="53">
        <v>45913.560416666667</v>
      </c>
      <c r="W268" s="52" t="s">
        <v>884</v>
      </c>
      <c r="X268" s="53">
        <v>45908.560416666667</v>
      </c>
      <c r="Y268" s="52">
        <v>84.1</v>
      </c>
      <c r="AA268" s="52">
        <v>14</v>
      </c>
      <c r="AB268" s="52" t="s">
        <v>926</v>
      </c>
      <c r="AC268" s="52" t="s">
        <v>41</v>
      </c>
      <c r="AE268" s="52">
        <v>1</v>
      </c>
      <c r="AF268" s="52" t="s">
        <v>41</v>
      </c>
      <c r="AK268" s="52">
        <v>377</v>
      </c>
    </row>
    <row r="269" spans="1:37" x14ac:dyDescent="0.2">
      <c r="A269" s="52" t="s">
        <v>946</v>
      </c>
      <c r="B269" s="52" t="s">
        <v>3370</v>
      </c>
      <c r="C269" s="52">
        <v>19</v>
      </c>
      <c r="D269" s="52" t="s">
        <v>361</v>
      </c>
      <c r="E269" s="52" t="s">
        <v>362</v>
      </c>
      <c r="F269" s="52" t="s">
        <v>444</v>
      </c>
      <c r="G269" s="52" t="s">
        <v>529</v>
      </c>
      <c r="H269" s="52" t="s">
        <v>3375</v>
      </c>
      <c r="I269" s="52" t="s">
        <v>932</v>
      </c>
      <c r="J269" s="52" t="s">
        <v>884</v>
      </c>
      <c r="K269" s="52" t="s">
        <v>892</v>
      </c>
      <c r="L269" s="52" t="s">
        <v>956</v>
      </c>
      <c r="M269" s="52" t="s">
        <v>890</v>
      </c>
      <c r="N269" s="52" t="s">
        <v>461</v>
      </c>
      <c r="O269" s="52" t="s">
        <v>492</v>
      </c>
      <c r="P269" s="52" t="s">
        <v>466</v>
      </c>
      <c r="Q269" s="52">
        <v>941000031683746</v>
      </c>
      <c r="R269" s="52" t="s">
        <v>444</v>
      </c>
      <c r="S269" s="52" t="s">
        <v>885</v>
      </c>
      <c r="T269" s="53">
        <v>45508</v>
      </c>
      <c r="W269" s="52" t="s">
        <v>892</v>
      </c>
      <c r="X269" s="53">
        <v>45978.356249999997</v>
      </c>
      <c r="Y269" s="52">
        <v>14.3</v>
      </c>
      <c r="AA269" s="52">
        <v>15</v>
      </c>
      <c r="AB269" s="52" t="s">
        <v>966</v>
      </c>
      <c r="AC269" s="52" t="s">
        <v>41</v>
      </c>
      <c r="AE269" s="52">
        <v>3</v>
      </c>
      <c r="AF269" s="52" t="s">
        <v>41</v>
      </c>
      <c r="AK269" s="52">
        <v>377</v>
      </c>
    </row>
    <row r="270" spans="1:37" x14ac:dyDescent="0.2">
      <c r="A270" s="52" t="s">
        <v>946</v>
      </c>
      <c r="B270" s="52" t="s">
        <v>3370</v>
      </c>
      <c r="C270" s="52">
        <v>19</v>
      </c>
      <c r="D270" s="52" t="s">
        <v>1812</v>
      </c>
      <c r="E270" s="52" t="s">
        <v>1813</v>
      </c>
      <c r="F270" s="52" t="s">
        <v>444</v>
      </c>
      <c r="G270" s="52" t="s">
        <v>451</v>
      </c>
      <c r="H270" s="52" t="s">
        <v>2596</v>
      </c>
      <c r="I270" s="52" t="s">
        <v>897</v>
      </c>
      <c r="J270" s="52" t="s">
        <v>884</v>
      </c>
      <c r="K270" s="52" t="s">
        <v>884</v>
      </c>
      <c r="L270" s="52" t="s">
        <v>2052</v>
      </c>
      <c r="M270" s="52" t="s">
        <v>886</v>
      </c>
      <c r="N270" s="52" t="s">
        <v>494</v>
      </c>
      <c r="O270" s="52" t="s">
        <v>492</v>
      </c>
      <c r="P270" s="52" t="s">
        <v>735</v>
      </c>
      <c r="R270" s="52" t="s">
        <v>444</v>
      </c>
      <c r="S270" s="52" t="s">
        <v>885</v>
      </c>
      <c r="T270" s="53">
        <v>45223</v>
      </c>
      <c r="V270" s="53">
        <v>45959.566666666666</v>
      </c>
      <c r="W270" s="52" t="s">
        <v>884</v>
      </c>
      <c r="X270" s="53">
        <v>45954.566666666666</v>
      </c>
      <c r="Y270" s="52">
        <v>38.1</v>
      </c>
      <c r="AA270" s="52">
        <v>16</v>
      </c>
      <c r="AB270" s="52" t="s">
        <v>2122</v>
      </c>
      <c r="AC270" s="52" t="s">
        <v>41</v>
      </c>
      <c r="AE270" s="52">
        <v>3</v>
      </c>
      <c r="AF270" s="52" t="s">
        <v>41</v>
      </c>
      <c r="AK270" s="52">
        <v>377</v>
      </c>
    </row>
    <row r="271" spans="1:37" x14ac:dyDescent="0.2">
      <c r="A271" s="52" t="s">
        <v>946</v>
      </c>
      <c r="B271" s="52" t="s">
        <v>3370</v>
      </c>
      <c r="C271" s="52">
        <v>19</v>
      </c>
      <c r="D271" s="52" t="s">
        <v>870</v>
      </c>
      <c r="E271" s="52" t="s">
        <v>1897</v>
      </c>
      <c r="F271" s="52" t="s">
        <v>444</v>
      </c>
      <c r="G271" s="52" t="s">
        <v>489</v>
      </c>
      <c r="H271" s="52" t="s">
        <v>3376</v>
      </c>
      <c r="I271" s="52" t="s">
        <v>888</v>
      </c>
      <c r="J271" s="52" t="s">
        <v>884</v>
      </c>
      <c r="K271" s="52" t="s">
        <v>884</v>
      </c>
      <c r="L271" s="52" t="s">
        <v>887</v>
      </c>
      <c r="M271" s="52" t="s">
        <v>890</v>
      </c>
      <c r="N271" s="52" t="s">
        <v>461</v>
      </c>
      <c r="O271" s="52" t="s">
        <v>492</v>
      </c>
      <c r="P271" s="52" t="s">
        <v>679</v>
      </c>
      <c r="Q271" s="52">
        <v>941000031747321</v>
      </c>
      <c r="R271" s="52" t="s">
        <v>444</v>
      </c>
      <c r="S271" s="52" t="s">
        <v>885</v>
      </c>
      <c r="T271" s="53">
        <v>44108</v>
      </c>
      <c r="V271" s="53">
        <v>45938.370833333334</v>
      </c>
      <c r="W271" s="52" t="s">
        <v>892</v>
      </c>
      <c r="X271" s="53">
        <v>45933.370833333334</v>
      </c>
      <c r="Y271" s="52">
        <v>59.3</v>
      </c>
      <c r="AA271" s="52">
        <v>17</v>
      </c>
      <c r="AB271" s="52" t="s">
        <v>965</v>
      </c>
      <c r="AC271" s="52" t="s">
        <v>41</v>
      </c>
      <c r="AE271" s="52">
        <v>3</v>
      </c>
      <c r="AF271" s="52" t="s">
        <v>41</v>
      </c>
      <c r="AK271" s="52">
        <v>377</v>
      </c>
    </row>
    <row r="272" spans="1:37" x14ac:dyDescent="0.2">
      <c r="A272" s="52" t="s">
        <v>946</v>
      </c>
      <c r="B272" s="52" t="s">
        <v>3370</v>
      </c>
      <c r="C272" s="52">
        <v>19</v>
      </c>
      <c r="D272" s="52" t="s">
        <v>2899</v>
      </c>
      <c r="E272" s="52" t="s">
        <v>2900</v>
      </c>
      <c r="F272" s="52" t="s">
        <v>444</v>
      </c>
      <c r="G272" s="52" t="s">
        <v>535</v>
      </c>
      <c r="H272" s="52" t="s">
        <v>3377</v>
      </c>
      <c r="I272" s="52" t="s">
        <v>903</v>
      </c>
      <c r="J272" s="52" t="s">
        <v>884</v>
      </c>
      <c r="K272" s="52" t="s">
        <v>892</v>
      </c>
      <c r="L272" s="52" t="s">
        <v>937</v>
      </c>
      <c r="M272" s="52" t="s">
        <v>890</v>
      </c>
      <c r="N272" s="52" t="s">
        <v>461</v>
      </c>
      <c r="O272" s="52" t="s">
        <v>492</v>
      </c>
      <c r="P272" s="52" t="s">
        <v>466</v>
      </c>
      <c r="Q272" s="52">
        <v>941000030951338</v>
      </c>
      <c r="R272" s="52" t="s">
        <v>444</v>
      </c>
      <c r="S272" s="52" t="s">
        <v>885</v>
      </c>
      <c r="T272" s="53">
        <v>45390</v>
      </c>
      <c r="W272" s="52" t="s">
        <v>892</v>
      </c>
      <c r="X272" s="53">
        <v>45965.436111111114</v>
      </c>
      <c r="Y272" s="52">
        <v>27.3</v>
      </c>
      <c r="AA272" s="52">
        <v>18</v>
      </c>
      <c r="AB272" s="52" t="s">
        <v>954</v>
      </c>
      <c r="AC272" s="52" t="s">
        <v>41</v>
      </c>
      <c r="AE272" s="52">
        <v>3</v>
      </c>
      <c r="AF272" s="52" t="s">
        <v>41</v>
      </c>
      <c r="AK272" s="52">
        <v>377</v>
      </c>
    </row>
    <row r="273" spans="1:37" x14ac:dyDescent="0.2">
      <c r="A273" s="52" t="s">
        <v>946</v>
      </c>
      <c r="B273" s="52" t="s">
        <v>3370</v>
      </c>
      <c r="C273" s="52">
        <v>19</v>
      </c>
      <c r="D273" s="52" t="s">
        <v>321</v>
      </c>
      <c r="E273" s="52" t="s">
        <v>322</v>
      </c>
      <c r="F273" s="52" t="s">
        <v>444</v>
      </c>
      <c r="G273" s="52" t="s">
        <v>529</v>
      </c>
      <c r="H273" s="52" t="s">
        <v>2805</v>
      </c>
      <c r="I273" s="52" t="s">
        <v>917</v>
      </c>
      <c r="J273" s="52" t="s">
        <v>884</v>
      </c>
      <c r="K273" s="52" t="s">
        <v>884</v>
      </c>
      <c r="L273" s="52" t="s">
        <v>887</v>
      </c>
      <c r="M273" s="52" t="s">
        <v>890</v>
      </c>
      <c r="N273" s="52" t="s">
        <v>461</v>
      </c>
      <c r="O273" s="52" t="s">
        <v>492</v>
      </c>
      <c r="P273" s="52" t="s">
        <v>456</v>
      </c>
      <c r="Q273" s="52">
        <v>941000031684376</v>
      </c>
      <c r="R273" s="52" t="s">
        <v>444</v>
      </c>
      <c r="S273" s="52" t="s">
        <v>885</v>
      </c>
      <c r="T273" s="53">
        <v>45144</v>
      </c>
      <c r="V273" s="53">
        <v>45880.637499999997</v>
      </c>
      <c r="W273" s="52" t="s">
        <v>892</v>
      </c>
      <c r="X273" s="53">
        <v>45875.637499999997</v>
      </c>
      <c r="Y273" s="52">
        <v>117</v>
      </c>
      <c r="AA273" s="52">
        <v>2</v>
      </c>
      <c r="AB273" s="52" t="s">
        <v>954</v>
      </c>
      <c r="AC273" s="52" t="s">
        <v>41</v>
      </c>
      <c r="AE273" s="52">
        <v>3</v>
      </c>
      <c r="AF273" s="52" t="s">
        <v>41</v>
      </c>
      <c r="AK273" s="52">
        <v>377</v>
      </c>
    </row>
    <row r="274" spans="1:37" x14ac:dyDescent="0.2">
      <c r="A274" s="52" t="s">
        <v>946</v>
      </c>
      <c r="B274" s="52" t="s">
        <v>3370</v>
      </c>
      <c r="C274" s="52">
        <v>19</v>
      </c>
      <c r="D274" s="52" t="s">
        <v>1090</v>
      </c>
      <c r="E274" s="52" t="s">
        <v>1163</v>
      </c>
      <c r="F274" s="52" t="s">
        <v>444</v>
      </c>
      <c r="G274" s="52" t="s">
        <v>529</v>
      </c>
      <c r="H274" s="52" t="s">
        <v>3156</v>
      </c>
      <c r="I274" s="52" t="s">
        <v>932</v>
      </c>
      <c r="J274" s="52" t="s">
        <v>884</v>
      </c>
      <c r="K274" s="52" t="s">
        <v>884</v>
      </c>
      <c r="L274" s="52" t="s">
        <v>887</v>
      </c>
      <c r="M274" s="52" t="s">
        <v>886</v>
      </c>
      <c r="N274" s="52" t="s">
        <v>461</v>
      </c>
      <c r="O274" s="52" t="s">
        <v>492</v>
      </c>
      <c r="P274" s="52" t="s">
        <v>650</v>
      </c>
      <c r="Q274" s="52">
        <v>941000031684044</v>
      </c>
      <c r="R274" s="52" t="s">
        <v>444</v>
      </c>
      <c r="S274" s="52" t="s">
        <v>885</v>
      </c>
      <c r="T274" s="53">
        <v>44856</v>
      </c>
      <c r="V274" s="53">
        <v>45941.525000000001</v>
      </c>
      <c r="W274" s="52" t="s">
        <v>892</v>
      </c>
      <c r="X274" s="53">
        <v>45936.525000000001</v>
      </c>
      <c r="Y274" s="52">
        <v>56.2</v>
      </c>
      <c r="AA274" s="52">
        <v>20</v>
      </c>
      <c r="AB274" s="52" t="s">
        <v>949</v>
      </c>
      <c r="AC274" s="52" t="s">
        <v>41</v>
      </c>
      <c r="AE274" s="52">
        <v>2</v>
      </c>
      <c r="AF274" s="52" t="s">
        <v>41</v>
      </c>
      <c r="AK274" s="52">
        <v>377</v>
      </c>
    </row>
    <row r="275" spans="1:37" x14ac:dyDescent="0.2">
      <c r="A275" s="52" t="s">
        <v>946</v>
      </c>
      <c r="B275" s="52" t="s">
        <v>3370</v>
      </c>
      <c r="C275" s="52">
        <v>19</v>
      </c>
      <c r="D275" s="52" t="s">
        <v>333</v>
      </c>
      <c r="E275" s="52" t="s">
        <v>334</v>
      </c>
      <c r="F275" s="52" t="s">
        <v>444</v>
      </c>
      <c r="G275" s="52" t="s">
        <v>451</v>
      </c>
      <c r="H275" s="52" t="s">
        <v>2752</v>
      </c>
      <c r="I275" s="52" t="s">
        <v>952</v>
      </c>
      <c r="J275" s="52" t="s">
        <v>884</v>
      </c>
      <c r="K275" s="52" t="s">
        <v>884</v>
      </c>
      <c r="L275" s="52" t="s">
        <v>922</v>
      </c>
      <c r="M275" s="52" t="s">
        <v>890</v>
      </c>
      <c r="N275" s="52" t="s">
        <v>461</v>
      </c>
      <c r="O275" s="52" t="s">
        <v>492</v>
      </c>
      <c r="P275" s="52" t="s">
        <v>511</v>
      </c>
      <c r="Q275" s="52">
        <v>941000031684325</v>
      </c>
      <c r="R275" s="52" t="s">
        <v>444</v>
      </c>
      <c r="S275" s="52" t="s">
        <v>885</v>
      </c>
      <c r="T275" s="53">
        <v>44795</v>
      </c>
      <c r="V275" s="53">
        <v>45896.468055555553</v>
      </c>
      <c r="W275" s="52" t="s">
        <v>892</v>
      </c>
      <c r="X275" s="53">
        <v>45891.468055555553</v>
      </c>
      <c r="Y275" s="52">
        <v>101.2</v>
      </c>
      <c r="AA275" s="52">
        <v>3</v>
      </c>
      <c r="AB275" s="52" t="s">
        <v>919</v>
      </c>
      <c r="AC275" s="52" t="s">
        <v>41</v>
      </c>
      <c r="AE275" s="52">
        <v>3</v>
      </c>
      <c r="AF275" s="52" t="s">
        <v>41</v>
      </c>
      <c r="AK275" s="52">
        <v>377</v>
      </c>
    </row>
    <row r="276" spans="1:37" x14ac:dyDescent="0.2">
      <c r="A276" s="52" t="s">
        <v>946</v>
      </c>
      <c r="B276" s="52" t="s">
        <v>3370</v>
      </c>
      <c r="C276" s="52">
        <v>19</v>
      </c>
      <c r="D276" s="52" t="s">
        <v>849</v>
      </c>
      <c r="E276" s="52" t="s">
        <v>848</v>
      </c>
      <c r="F276" s="52" t="s">
        <v>444</v>
      </c>
      <c r="G276" s="52" t="s">
        <v>489</v>
      </c>
      <c r="H276" s="52" t="s">
        <v>3378</v>
      </c>
      <c r="I276" s="52" t="s">
        <v>906</v>
      </c>
      <c r="J276" s="52" t="s">
        <v>884</v>
      </c>
      <c r="K276" s="52" t="s">
        <v>884</v>
      </c>
      <c r="L276" s="52" t="s">
        <v>887</v>
      </c>
      <c r="M276" s="52" t="s">
        <v>890</v>
      </c>
      <c r="N276" s="52" t="s">
        <v>461</v>
      </c>
      <c r="O276" s="52" t="s">
        <v>492</v>
      </c>
      <c r="P276" s="52" t="s">
        <v>511</v>
      </c>
      <c r="Q276" s="52">
        <v>941000031683844</v>
      </c>
      <c r="R276" s="52" t="s">
        <v>444</v>
      </c>
      <c r="S276" s="52" t="s">
        <v>885</v>
      </c>
      <c r="T276" s="53">
        <v>44466</v>
      </c>
      <c r="V276" s="53">
        <v>45932.762499999997</v>
      </c>
      <c r="W276" s="52" t="s">
        <v>892</v>
      </c>
      <c r="X276" s="53">
        <v>45927.762499999997</v>
      </c>
      <c r="Y276" s="52">
        <v>64.900000000000006</v>
      </c>
      <c r="AA276" s="52">
        <v>4</v>
      </c>
      <c r="AB276" s="52" t="s">
        <v>2161</v>
      </c>
      <c r="AC276" s="52" t="s">
        <v>41</v>
      </c>
      <c r="AE276" s="52">
        <v>1</v>
      </c>
      <c r="AF276" s="52" t="s">
        <v>41</v>
      </c>
      <c r="AK276" s="52">
        <v>377</v>
      </c>
    </row>
    <row r="277" spans="1:37" x14ac:dyDescent="0.2">
      <c r="A277" s="52" t="s">
        <v>946</v>
      </c>
      <c r="B277" s="52" t="s">
        <v>3370</v>
      </c>
      <c r="C277" s="52">
        <v>19</v>
      </c>
      <c r="D277" s="52" t="s">
        <v>844</v>
      </c>
      <c r="E277" s="52" t="s">
        <v>1902</v>
      </c>
      <c r="F277" s="52" t="s">
        <v>444</v>
      </c>
      <c r="G277" s="52" t="s">
        <v>489</v>
      </c>
      <c r="H277" s="52" t="s">
        <v>3379</v>
      </c>
      <c r="I277" s="52" t="s">
        <v>932</v>
      </c>
      <c r="K277" s="52" t="s">
        <v>884</v>
      </c>
      <c r="L277" s="52" t="s">
        <v>887</v>
      </c>
      <c r="M277" s="52" t="s">
        <v>886</v>
      </c>
      <c r="N277" s="52" t="s">
        <v>494</v>
      </c>
      <c r="O277" s="52" t="s">
        <v>492</v>
      </c>
      <c r="P277" s="52" t="s">
        <v>471</v>
      </c>
      <c r="R277" s="52" t="s">
        <v>444</v>
      </c>
      <c r="S277" s="52" t="s">
        <v>885</v>
      </c>
      <c r="T277" s="53">
        <v>45590</v>
      </c>
      <c r="V277" s="53">
        <v>45931.575694444444</v>
      </c>
      <c r="W277" s="52" t="s">
        <v>884</v>
      </c>
      <c r="X277" s="53">
        <v>45926.575694444444</v>
      </c>
      <c r="Y277" s="52">
        <v>66.099999999999994</v>
      </c>
      <c r="AA277" s="52">
        <v>5</v>
      </c>
      <c r="AB277" s="52" t="s">
        <v>1485</v>
      </c>
      <c r="AC277" s="52" t="s">
        <v>41</v>
      </c>
      <c r="AE277" s="52">
        <v>1</v>
      </c>
      <c r="AF277" s="52" t="s">
        <v>41</v>
      </c>
      <c r="AK277" s="52">
        <v>377</v>
      </c>
    </row>
    <row r="278" spans="1:37" x14ac:dyDescent="0.2">
      <c r="A278" s="52" t="s">
        <v>946</v>
      </c>
      <c r="B278" s="52" t="s">
        <v>3370</v>
      </c>
      <c r="C278" s="52">
        <v>19</v>
      </c>
      <c r="D278" s="52" t="s">
        <v>715</v>
      </c>
      <c r="E278" s="52" t="s">
        <v>714</v>
      </c>
      <c r="F278" s="52" t="s">
        <v>444</v>
      </c>
      <c r="G278" s="52" t="s">
        <v>489</v>
      </c>
      <c r="H278" s="52" t="s">
        <v>3105</v>
      </c>
      <c r="I278" s="52" t="s">
        <v>917</v>
      </c>
      <c r="J278" s="52" t="s">
        <v>884</v>
      </c>
      <c r="K278" s="52" t="s">
        <v>884</v>
      </c>
      <c r="L278" s="52" t="s">
        <v>893</v>
      </c>
      <c r="M278" s="52" t="s">
        <v>886</v>
      </c>
      <c r="N278" s="52" t="s">
        <v>494</v>
      </c>
      <c r="O278" s="52" t="s">
        <v>492</v>
      </c>
      <c r="P278" s="52" t="s">
        <v>471</v>
      </c>
      <c r="R278" s="52" t="s">
        <v>444</v>
      </c>
      <c r="S278" s="52" t="s">
        <v>885</v>
      </c>
      <c r="T278" s="53">
        <v>44834</v>
      </c>
      <c r="W278" s="52" t="s">
        <v>884</v>
      </c>
      <c r="X278" s="53">
        <v>45875.455555555556</v>
      </c>
      <c r="Y278" s="52">
        <v>117.3</v>
      </c>
      <c r="AA278" s="52">
        <v>6</v>
      </c>
      <c r="AB278" s="52" t="s">
        <v>949</v>
      </c>
      <c r="AC278" s="52" t="s">
        <v>41</v>
      </c>
      <c r="AE278" s="52">
        <v>2</v>
      </c>
      <c r="AF278" s="52" t="s">
        <v>41</v>
      </c>
      <c r="AK278" s="52">
        <v>377</v>
      </c>
    </row>
    <row r="279" spans="1:37" x14ac:dyDescent="0.2">
      <c r="A279" s="52" t="s">
        <v>946</v>
      </c>
      <c r="B279" s="52" t="s">
        <v>3370</v>
      </c>
      <c r="C279" s="52">
        <v>19</v>
      </c>
      <c r="D279" s="52" t="s">
        <v>834</v>
      </c>
      <c r="E279" s="52" t="s">
        <v>833</v>
      </c>
      <c r="F279" s="52" t="s">
        <v>444</v>
      </c>
      <c r="G279" s="52" t="s">
        <v>451</v>
      </c>
      <c r="H279" s="52" t="s">
        <v>3380</v>
      </c>
      <c r="I279" s="52" t="s">
        <v>917</v>
      </c>
      <c r="J279" s="52" t="s">
        <v>884</v>
      </c>
      <c r="K279" s="52" t="s">
        <v>884</v>
      </c>
      <c r="L279" s="52" t="s">
        <v>887</v>
      </c>
      <c r="M279" s="52" t="s">
        <v>890</v>
      </c>
      <c r="N279" s="52" t="s">
        <v>461</v>
      </c>
      <c r="O279" s="52" t="s">
        <v>492</v>
      </c>
      <c r="P279" s="52" t="s">
        <v>735</v>
      </c>
      <c r="Q279" s="52">
        <v>941000031683550</v>
      </c>
      <c r="R279" s="52" t="s">
        <v>444</v>
      </c>
      <c r="S279" s="52" t="s">
        <v>885</v>
      </c>
      <c r="T279" s="53">
        <v>44462</v>
      </c>
      <c r="V279" s="53">
        <v>45927.527083333334</v>
      </c>
      <c r="W279" s="52" t="s">
        <v>892</v>
      </c>
      <c r="X279" s="53">
        <v>45922.527083333334</v>
      </c>
      <c r="Y279" s="52">
        <v>70.2</v>
      </c>
      <c r="AA279" s="52">
        <v>7</v>
      </c>
      <c r="AB279" s="52" t="s">
        <v>943</v>
      </c>
      <c r="AC279" s="52" t="s">
        <v>41</v>
      </c>
      <c r="AE279" s="52">
        <v>2</v>
      </c>
      <c r="AF279" s="52" t="s">
        <v>41</v>
      </c>
      <c r="AK279" s="52">
        <v>377</v>
      </c>
    </row>
    <row r="280" spans="1:37" x14ac:dyDescent="0.2">
      <c r="A280" s="52" t="s">
        <v>946</v>
      </c>
      <c r="B280" s="52" t="s">
        <v>3370</v>
      </c>
      <c r="C280" s="52">
        <v>19</v>
      </c>
      <c r="D280" s="52" t="s">
        <v>720</v>
      </c>
      <c r="E280" s="52" t="s">
        <v>719</v>
      </c>
      <c r="F280" s="52" t="s">
        <v>444</v>
      </c>
      <c r="G280" s="52" t="s">
        <v>529</v>
      </c>
      <c r="H280" s="52" t="s">
        <v>3381</v>
      </c>
      <c r="I280" s="52" t="s">
        <v>923</v>
      </c>
      <c r="J280" s="52" t="s">
        <v>884</v>
      </c>
      <c r="K280" s="52" t="s">
        <v>884</v>
      </c>
      <c r="L280" s="52" t="s">
        <v>893</v>
      </c>
      <c r="M280" s="52" t="s">
        <v>886</v>
      </c>
      <c r="N280" s="52" t="s">
        <v>494</v>
      </c>
      <c r="O280" s="52" t="s">
        <v>492</v>
      </c>
      <c r="P280" s="52" t="s">
        <v>716</v>
      </c>
      <c r="R280" s="52" t="s">
        <v>444</v>
      </c>
      <c r="S280" s="52" t="s">
        <v>885</v>
      </c>
      <c r="T280" s="53">
        <v>44104</v>
      </c>
      <c r="W280" s="52" t="s">
        <v>884</v>
      </c>
      <c r="X280" s="53">
        <v>45875.455555555556</v>
      </c>
      <c r="Y280" s="52">
        <v>117.3</v>
      </c>
      <c r="AA280" s="52">
        <v>8</v>
      </c>
      <c r="AB280" s="52" t="s">
        <v>947</v>
      </c>
      <c r="AC280" s="52" t="s">
        <v>41</v>
      </c>
      <c r="AE280" s="52">
        <v>2</v>
      </c>
      <c r="AF280" s="52" t="s">
        <v>41</v>
      </c>
      <c r="AK280" s="52">
        <v>377</v>
      </c>
    </row>
    <row r="281" spans="1:37" x14ac:dyDescent="0.2">
      <c r="A281" s="52" t="s">
        <v>946</v>
      </c>
      <c r="B281" s="52" t="s">
        <v>3370</v>
      </c>
      <c r="C281" s="52">
        <v>19</v>
      </c>
      <c r="D281" s="52" t="s">
        <v>718</v>
      </c>
      <c r="E281" s="52" t="s">
        <v>717</v>
      </c>
      <c r="F281" s="52" t="s">
        <v>444</v>
      </c>
      <c r="G281" s="52" t="s">
        <v>489</v>
      </c>
      <c r="H281" s="52" t="s">
        <v>3105</v>
      </c>
      <c r="I281" s="52" t="s">
        <v>935</v>
      </c>
      <c r="J281" s="52" t="s">
        <v>884</v>
      </c>
      <c r="K281" s="52" t="s">
        <v>884</v>
      </c>
      <c r="L281" s="52" t="s">
        <v>893</v>
      </c>
      <c r="M281" s="52" t="s">
        <v>886</v>
      </c>
      <c r="N281" s="52" t="s">
        <v>494</v>
      </c>
      <c r="O281" s="52" t="s">
        <v>492</v>
      </c>
      <c r="P281" s="52" t="s">
        <v>716</v>
      </c>
      <c r="R281" s="52" t="s">
        <v>444</v>
      </c>
      <c r="S281" s="52" t="s">
        <v>885</v>
      </c>
      <c r="T281" s="53">
        <v>44834</v>
      </c>
      <c r="W281" s="52" t="s">
        <v>884</v>
      </c>
      <c r="X281" s="53">
        <v>45875.455555555556</v>
      </c>
      <c r="Y281" s="52">
        <v>117.3</v>
      </c>
      <c r="AA281" s="52">
        <v>9</v>
      </c>
      <c r="AB281" s="52" t="s">
        <v>945</v>
      </c>
      <c r="AC281" s="52" t="s">
        <v>41</v>
      </c>
      <c r="AE281" s="52">
        <v>2</v>
      </c>
      <c r="AF281" s="52" t="s">
        <v>41</v>
      </c>
      <c r="AK281" s="52">
        <v>377</v>
      </c>
    </row>
    <row r="282" spans="1:37" x14ac:dyDescent="0.2">
      <c r="A282" s="52" t="s">
        <v>3382</v>
      </c>
      <c r="B282" s="52" t="s">
        <v>3383</v>
      </c>
      <c r="C282" s="52">
        <v>4</v>
      </c>
      <c r="D282" s="52" t="s">
        <v>3384</v>
      </c>
      <c r="F282" s="52" t="s">
        <v>444</v>
      </c>
      <c r="G282" s="52" t="s">
        <v>535</v>
      </c>
      <c r="H282" s="52" t="s">
        <v>3385</v>
      </c>
      <c r="I282" s="52" t="s">
        <v>903</v>
      </c>
      <c r="K282" s="52" t="s">
        <v>884</v>
      </c>
      <c r="L282" s="52" t="s">
        <v>887</v>
      </c>
      <c r="M282" s="52" t="s">
        <v>886</v>
      </c>
      <c r="N282" s="52" t="s">
        <v>749</v>
      </c>
      <c r="O282" s="52" t="s">
        <v>3386</v>
      </c>
      <c r="R282" s="52" t="s">
        <v>444</v>
      </c>
      <c r="S282" s="52" t="s">
        <v>885</v>
      </c>
      <c r="T282" s="53">
        <v>45894</v>
      </c>
      <c r="V282" s="53">
        <v>45991.607638888891</v>
      </c>
      <c r="W282" s="52" t="s">
        <v>884</v>
      </c>
      <c r="X282" s="53">
        <v>45986.607638888891</v>
      </c>
      <c r="Y282" s="52">
        <v>6.1</v>
      </c>
      <c r="AA282" s="52">
        <v>1</v>
      </c>
      <c r="AB282" s="52" t="s">
        <v>3387</v>
      </c>
      <c r="AC282" s="52" t="s">
        <v>41</v>
      </c>
      <c r="AE282" s="52">
        <v>1</v>
      </c>
      <c r="AF282" s="52" t="s">
        <v>41</v>
      </c>
      <c r="AK282" s="52">
        <v>377</v>
      </c>
    </row>
    <row r="283" spans="1:37" x14ac:dyDescent="0.2">
      <c r="A283" s="52" t="s">
        <v>3382</v>
      </c>
      <c r="B283" s="52" t="s">
        <v>3383</v>
      </c>
      <c r="C283" s="52">
        <v>4</v>
      </c>
      <c r="D283" s="52" t="s">
        <v>3388</v>
      </c>
      <c r="F283" s="52" t="s">
        <v>444</v>
      </c>
      <c r="G283" s="52" t="s">
        <v>535</v>
      </c>
      <c r="H283" s="52" t="s">
        <v>913</v>
      </c>
      <c r="I283" s="52" t="s">
        <v>917</v>
      </c>
      <c r="K283" s="52" t="s">
        <v>884</v>
      </c>
      <c r="L283" s="52" t="s">
        <v>887</v>
      </c>
      <c r="M283" s="52" t="s">
        <v>890</v>
      </c>
      <c r="N283" s="52" t="s">
        <v>749</v>
      </c>
      <c r="O283" s="52" t="s">
        <v>3386</v>
      </c>
      <c r="R283" s="52" t="s">
        <v>444</v>
      </c>
      <c r="S283" s="52" t="s">
        <v>885</v>
      </c>
      <c r="V283" s="53">
        <v>45992.40902777778</v>
      </c>
      <c r="W283" s="52" t="s">
        <v>884</v>
      </c>
      <c r="X283" s="53">
        <v>45987.40902777778</v>
      </c>
      <c r="Y283" s="52">
        <v>5.3</v>
      </c>
      <c r="AA283" s="52">
        <v>2</v>
      </c>
      <c r="AC283" s="52" t="s">
        <v>41</v>
      </c>
      <c r="AE283" s="52">
        <v>1</v>
      </c>
      <c r="AF283" s="52" t="s">
        <v>41</v>
      </c>
      <c r="AK283" s="52">
        <v>377</v>
      </c>
    </row>
    <row r="284" spans="1:37" x14ac:dyDescent="0.2">
      <c r="A284" s="52" t="s">
        <v>3382</v>
      </c>
      <c r="B284" s="52" t="s">
        <v>3383</v>
      </c>
      <c r="C284" s="52">
        <v>4</v>
      </c>
      <c r="D284" s="52" t="s">
        <v>3389</v>
      </c>
      <c r="E284" s="52" t="s">
        <v>3390</v>
      </c>
      <c r="F284" s="52" t="s">
        <v>444</v>
      </c>
      <c r="G284" s="52" t="s">
        <v>535</v>
      </c>
      <c r="H284" s="52" t="s">
        <v>3359</v>
      </c>
      <c r="I284" s="52" t="s">
        <v>917</v>
      </c>
      <c r="K284" s="52" t="s">
        <v>884</v>
      </c>
      <c r="L284" s="52" t="s">
        <v>887</v>
      </c>
      <c r="M284" s="52" t="s">
        <v>886</v>
      </c>
      <c r="N284" s="52" t="s">
        <v>749</v>
      </c>
      <c r="O284" s="52" t="s">
        <v>3386</v>
      </c>
      <c r="R284" s="52" t="s">
        <v>444</v>
      </c>
      <c r="S284" s="52" t="s">
        <v>885</v>
      </c>
      <c r="T284" s="53">
        <v>45893</v>
      </c>
      <c r="V284" s="53">
        <v>45990.670138888891</v>
      </c>
      <c r="W284" s="52" t="s">
        <v>884</v>
      </c>
      <c r="X284" s="53">
        <v>45985.670138888891</v>
      </c>
      <c r="Y284" s="52">
        <v>7</v>
      </c>
      <c r="AA284" s="52">
        <v>3</v>
      </c>
      <c r="AB284" s="52" t="s">
        <v>968</v>
      </c>
      <c r="AC284" s="52" t="s">
        <v>41</v>
      </c>
      <c r="AE284" s="52">
        <v>1</v>
      </c>
      <c r="AF284" s="52" t="s">
        <v>41</v>
      </c>
      <c r="AK284" s="52">
        <v>377</v>
      </c>
    </row>
    <row r="285" spans="1:37" x14ac:dyDescent="0.2">
      <c r="A285" s="52" t="s">
        <v>3382</v>
      </c>
      <c r="B285" s="52" t="s">
        <v>3383</v>
      </c>
      <c r="C285" s="52">
        <v>4</v>
      </c>
      <c r="D285" s="52" t="s">
        <v>3391</v>
      </c>
      <c r="E285" s="52" t="s">
        <v>3392</v>
      </c>
      <c r="F285" s="52" t="s">
        <v>444</v>
      </c>
      <c r="G285" s="52" t="s">
        <v>535</v>
      </c>
      <c r="H285" s="52" t="s">
        <v>3359</v>
      </c>
      <c r="I285" s="52" t="s">
        <v>920</v>
      </c>
      <c r="K285" s="52" t="s">
        <v>884</v>
      </c>
      <c r="L285" s="52" t="s">
        <v>887</v>
      </c>
      <c r="M285" s="52" t="s">
        <v>886</v>
      </c>
      <c r="N285" s="52" t="s">
        <v>749</v>
      </c>
      <c r="O285" s="52" t="s">
        <v>3386</v>
      </c>
      <c r="R285" s="52" t="s">
        <v>444</v>
      </c>
      <c r="S285" s="52" t="s">
        <v>885</v>
      </c>
      <c r="T285" s="53">
        <v>45893</v>
      </c>
      <c r="U285" s="52" t="s">
        <v>969</v>
      </c>
      <c r="V285" s="53">
        <v>45990.670138888891</v>
      </c>
      <c r="W285" s="52" t="s">
        <v>884</v>
      </c>
      <c r="X285" s="53">
        <v>45985.670138888891</v>
      </c>
      <c r="Y285" s="52">
        <v>7</v>
      </c>
      <c r="AA285" s="52">
        <v>4</v>
      </c>
      <c r="AB285" s="52" t="s">
        <v>3393</v>
      </c>
      <c r="AC285" s="52" t="s">
        <v>41</v>
      </c>
      <c r="AE285" s="52">
        <v>1</v>
      </c>
      <c r="AF285" s="52" t="s">
        <v>41</v>
      </c>
      <c r="AK285" s="52">
        <v>377</v>
      </c>
    </row>
    <row r="286" spans="1:37" x14ac:dyDescent="0.2">
      <c r="A286" s="52" t="s">
        <v>2112</v>
      </c>
      <c r="B286" s="52" t="s">
        <v>3394</v>
      </c>
      <c r="C286" s="52">
        <v>15</v>
      </c>
      <c r="D286" s="52" t="s">
        <v>589</v>
      </c>
      <c r="E286" s="52" t="s">
        <v>588</v>
      </c>
      <c r="F286" s="52" t="s">
        <v>443</v>
      </c>
      <c r="G286" s="52" t="s">
        <v>34</v>
      </c>
      <c r="H286" s="52" t="s">
        <v>3131</v>
      </c>
      <c r="I286" s="52" t="s">
        <v>935</v>
      </c>
      <c r="J286" s="52" t="s">
        <v>884</v>
      </c>
      <c r="K286" s="52" t="s">
        <v>884</v>
      </c>
      <c r="L286" s="52" t="s">
        <v>922</v>
      </c>
      <c r="M286" s="52" t="s">
        <v>886</v>
      </c>
      <c r="N286" s="52" t="s">
        <v>461</v>
      </c>
      <c r="O286" s="52" t="s">
        <v>496</v>
      </c>
      <c r="Q286" s="52">
        <v>941000031749599</v>
      </c>
      <c r="R286" s="52" t="s">
        <v>443</v>
      </c>
      <c r="S286" s="52" t="s">
        <v>885</v>
      </c>
      <c r="T286" s="53">
        <v>45771</v>
      </c>
      <c r="U286" s="52" t="s">
        <v>2004</v>
      </c>
      <c r="V286" s="53">
        <v>45801.65</v>
      </c>
      <c r="W286" s="52" t="s">
        <v>892</v>
      </c>
      <c r="X286" s="53">
        <v>45796.65</v>
      </c>
      <c r="Y286" s="52">
        <v>196</v>
      </c>
      <c r="AA286" s="52">
        <v>1</v>
      </c>
      <c r="AB286" s="52" t="s">
        <v>2113</v>
      </c>
      <c r="AC286" s="52" t="s">
        <v>41</v>
      </c>
      <c r="AE286" s="52">
        <v>1</v>
      </c>
      <c r="AF286" s="52" t="s">
        <v>41</v>
      </c>
      <c r="AK286" s="52">
        <v>377</v>
      </c>
    </row>
    <row r="287" spans="1:37" x14ac:dyDescent="0.2">
      <c r="A287" s="52" t="s">
        <v>2112</v>
      </c>
      <c r="B287" s="52" t="s">
        <v>3394</v>
      </c>
      <c r="C287" s="52">
        <v>15</v>
      </c>
      <c r="D287" s="52" t="s">
        <v>783</v>
      </c>
      <c r="E287" s="52" t="s">
        <v>782</v>
      </c>
      <c r="F287" s="52" t="s">
        <v>443</v>
      </c>
      <c r="G287" s="52" t="s">
        <v>34</v>
      </c>
      <c r="H287" s="52" t="s">
        <v>3395</v>
      </c>
      <c r="I287" s="52" t="s">
        <v>894</v>
      </c>
      <c r="K287" s="52" t="s">
        <v>884</v>
      </c>
      <c r="L287" s="52" t="s">
        <v>922</v>
      </c>
      <c r="M287" s="52" t="s">
        <v>886</v>
      </c>
      <c r="N287" s="52" t="s">
        <v>682</v>
      </c>
      <c r="O287" s="52" t="s">
        <v>496</v>
      </c>
      <c r="R287" s="52" t="s">
        <v>443</v>
      </c>
      <c r="S287" s="52" t="s">
        <v>885</v>
      </c>
      <c r="T287" s="53">
        <v>44470</v>
      </c>
      <c r="V287" s="53">
        <v>45913.543055555558</v>
      </c>
      <c r="W287" s="52" t="s">
        <v>884</v>
      </c>
      <c r="X287" s="53">
        <v>45908.543055555558</v>
      </c>
      <c r="Y287" s="52">
        <v>84.1</v>
      </c>
      <c r="AA287" s="52">
        <v>2</v>
      </c>
      <c r="AB287" s="52" t="s">
        <v>2114</v>
      </c>
      <c r="AC287" s="52" t="s">
        <v>41</v>
      </c>
      <c r="AE287" s="52">
        <v>1</v>
      </c>
      <c r="AF287" s="52" t="s">
        <v>41</v>
      </c>
      <c r="AK287" s="52">
        <v>377</v>
      </c>
    </row>
    <row r="288" spans="1:37" x14ac:dyDescent="0.2">
      <c r="A288" s="52" t="s">
        <v>2112</v>
      </c>
      <c r="B288" s="52" t="s">
        <v>3394</v>
      </c>
      <c r="C288" s="52">
        <v>15</v>
      </c>
      <c r="D288" s="52" t="s">
        <v>641</v>
      </c>
      <c r="E288" s="52" t="s">
        <v>640</v>
      </c>
      <c r="F288" s="52" t="s">
        <v>443</v>
      </c>
      <c r="G288" s="52" t="s">
        <v>34</v>
      </c>
      <c r="H288" s="52" t="s">
        <v>3396</v>
      </c>
      <c r="I288" s="52" t="s">
        <v>903</v>
      </c>
      <c r="K288" s="52" t="s">
        <v>884</v>
      </c>
      <c r="L288" s="52" t="s">
        <v>2116</v>
      </c>
      <c r="M288" s="52" t="s">
        <v>890</v>
      </c>
      <c r="N288" s="52" t="s">
        <v>682</v>
      </c>
      <c r="O288" s="52" t="s">
        <v>496</v>
      </c>
      <c r="R288" s="52" t="s">
        <v>443</v>
      </c>
      <c r="S288" s="52" t="s">
        <v>885</v>
      </c>
      <c r="T288" s="53">
        <v>45811</v>
      </c>
      <c r="W288" s="52" t="s">
        <v>884</v>
      </c>
      <c r="X288" s="53">
        <v>45825.50277777778</v>
      </c>
      <c r="Y288" s="52">
        <v>167.2</v>
      </c>
      <c r="AA288" s="52">
        <v>3</v>
      </c>
      <c r="AC288" s="52" t="s">
        <v>41</v>
      </c>
      <c r="AE288" s="52">
        <v>1</v>
      </c>
      <c r="AF288" s="52" t="s">
        <v>41</v>
      </c>
      <c r="AK288" s="52">
        <v>377</v>
      </c>
    </row>
    <row r="289" spans="1:37" x14ac:dyDescent="0.2">
      <c r="A289" s="52" t="s">
        <v>2112</v>
      </c>
      <c r="B289" s="52" t="s">
        <v>3394</v>
      </c>
      <c r="C289" s="52">
        <v>15</v>
      </c>
      <c r="D289" s="52" t="s">
        <v>240</v>
      </c>
      <c r="E289" s="52" t="s">
        <v>241</v>
      </c>
      <c r="F289" s="52" t="s">
        <v>443</v>
      </c>
      <c r="G289" s="52" t="s">
        <v>34</v>
      </c>
      <c r="H289" s="52" t="s">
        <v>3397</v>
      </c>
      <c r="I289" s="52" t="s">
        <v>897</v>
      </c>
      <c r="K289" s="52" t="s">
        <v>884</v>
      </c>
      <c r="L289" s="52" t="s">
        <v>922</v>
      </c>
      <c r="M289" s="52" t="s">
        <v>890</v>
      </c>
      <c r="N289" s="52" t="s">
        <v>461</v>
      </c>
      <c r="O289" s="52" t="s">
        <v>496</v>
      </c>
      <c r="R289" s="52" t="s">
        <v>443</v>
      </c>
      <c r="S289" s="52" t="s">
        <v>885</v>
      </c>
      <c r="T289" s="53">
        <v>45383</v>
      </c>
      <c r="V289" s="53">
        <v>45753.511805555558</v>
      </c>
      <c r="W289" s="52" t="s">
        <v>892</v>
      </c>
      <c r="X289" s="53">
        <v>45748.511805555558</v>
      </c>
      <c r="Y289" s="52">
        <v>244.2</v>
      </c>
      <c r="AA289" s="52">
        <v>4</v>
      </c>
      <c r="AB289" s="52" t="s">
        <v>2050</v>
      </c>
      <c r="AC289" s="52" t="s">
        <v>41</v>
      </c>
      <c r="AE289" s="52">
        <v>3</v>
      </c>
      <c r="AF289" s="52" t="s">
        <v>41</v>
      </c>
      <c r="AK289" s="52">
        <v>377</v>
      </c>
    </row>
    <row r="290" spans="1:37" x14ac:dyDescent="0.2">
      <c r="A290" s="52" t="s">
        <v>2112</v>
      </c>
      <c r="B290" s="52" t="s">
        <v>3394</v>
      </c>
      <c r="C290" s="52">
        <v>15</v>
      </c>
      <c r="D290" s="52" t="s">
        <v>1842</v>
      </c>
      <c r="E290" s="52" t="s">
        <v>2538</v>
      </c>
      <c r="F290" s="52" t="s">
        <v>443</v>
      </c>
      <c r="G290" s="52" t="s">
        <v>34</v>
      </c>
      <c r="H290" s="52" t="s">
        <v>3128</v>
      </c>
      <c r="I290" s="52" t="s">
        <v>1999</v>
      </c>
      <c r="K290" s="52" t="s">
        <v>884</v>
      </c>
      <c r="L290" s="52" t="s">
        <v>922</v>
      </c>
      <c r="M290" s="52" t="s">
        <v>890</v>
      </c>
      <c r="N290" s="52" t="s">
        <v>494</v>
      </c>
      <c r="O290" s="52" t="s">
        <v>496</v>
      </c>
      <c r="R290" s="52" t="s">
        <v>443</v>
      </c>
      <c r="S290" s="52" t="s">
        <v>885</v>
      </c>
      <c r="T290" s="53">
        <v>45875</v>
      </c>
      <c r="V290" s="53">
        <v>45956.646527777775</v>
      </c>
      <c r="W290" s="52" t="s">
        <v>884</v>
      </c>
      <c r="X290" s="53">
        <v>45951.646527777775</v>
      </c>
      <c r="Y290" s="52">
        <v>41</v>
      </c>
      <c r="AA290" s="52">
        <v>5</v>
      </c>
      <c r="AB290" s="52" t="s">
        <v>2962</v>
      </c>
      <c r="AC290" s="52" t="s">
        <v>41</v>
      </c>
      <c r="AE290" s="52">
        <v>2</v>
      </c>
      <c r="AF290" s="52" t="s">
        <v>41</v>
      </c>
      <c r="AK290" s="52">
        <v>377</v>
      </c>
    </row>
    <row r="291" spans="1:37" x14ac:dyDescent="0.2">
      <c r="A291" s="52" t="s">
        <v>2112</v>
      </c>
      <c r="B291" s="52" t="s">
        <v>3394</v>
      </c>
      <c r="C291" s="52">
        <v>15</v>
      </c>
      <c r="D291" s="52" t="s">
        <v>1836</v>
      </c>
      <c r="E291" s="52" t="s">
        <v>2528</v>
      </c>
      <c r="F291" s="52" t="s">
        <v>443</v>
      </c>
      <c r="G291" s="52" t="s">
        <v>34</v>
      </c>
      <c r="H291" s="52" t="s">
        <v>3128</v>
      </c>
      <c r="I291" s="52" t="s">
        <v>894</v>
      </c>
      <c r="K291" s="52" t="s">
        <v>884</v>
      </c>
      <c r="L291" s="52" t="s">
        <v>922</v>
      </c>
      <c r="M291" s="52" t="s">
        <v>886</v>
      </c>
      <c r="N291" s="52" t="s">
        <v>494</v>
      </c>
      <c r="O291" s="52" t="s">
        <v>496</v>
      </c>
      <c r="R291" s="52" t="s">
        <v>443</v>
      </c>
      <c r="S291" s="52" t="s">
        <v>885</v>
      </c>
      <c r="T291" s="53">
        <v>45875</v>
      </c>
      <c r="V291" s="53">
        <v>45956.646527777775</v>
      </c>
      <c r="W291" s="52" t="s">
        <v>884</v>
      </c>
      <c r="X291" s="53">
        <v>45951.646527777775</v>
      </c>
      <c r="Y291" s="52">
        <v>41</v>
      </c>
      <c r="AA291" s="52">
        <v>5</v>
      </c>
      <c r="AB291" s="52" t="s">
        <v>2965</v>
      </c>
      <c r="AC291" s="52" t="s">
        <v>41</v>
      </c>
      <c r="AE291" s="52">
        <v>1</v>
      </c>
      <c r="AF291" s="52" t="s">
        <v>41</v>
      </c>
      <c r="AK291" s="52">
        <v>377</v>
      </c>
    </row>
    <row r="292" spans="1:37" x14ac:dyDescent="0.2">
      <c r="A292" s="52" t="s">
        <v>2112</v>
      </c>
      <c r="B292" s="52" t="s">
        <v>3394</v>
      </c>
      <c r="C292" s="52">
        <v>15</v>
      </c>
      <c r="D292" s="52" t="s">
        <v>693</v>
      </c>
      <c r="E292" s="52" t="s">
        <v>692</v>
      </c>
      <c r="F292" s="52" t="s">
        <v>443</v>
      </c>
      <c r="G292" s="52" t="s">
        <v>34</v>
      </c>
      <c r="H292" s="52" t="s">
        <v>3398</v>
      </c>
      <c r="I292" s="52" t="s">
        <v>897</v>
      </c>
      <c r="K292" s="52" t="s">
        <v>884</v>
      </c>
      <c r="L292" s="52" t="s">
        <v>922</v>
      </c>
      <c r="M292" s="52" t="s">
        <v>890</v>
      </c>
      <c r="N292" s="52" t="s">
        <v>461</v>
      </c>
      <c r="O292" s="52" t="s">
        <v>496</v>
      </c>
      <c r="Q292" s="52">
        <v>941000031684194</v>
      </c>
      <c r="R292" s="52" t="s">
        <v>443</v>
      </c>
      <c r="S292" s="52" t="s">
        <v>885</v>
      </c>
      <c r="T292" s="53">
        <v>44043</v>
      </c>
      <c r="V292" s="53">
        <v>45874.520138888889</v>
      </c>
      <c r="W292" s="52" t="s">
        <v>892</v>
      </c>
      <c r="X292" s="53">
        <v>45869.520138888889</v>
      </c>
      <c r="Y292" s="52">
        <v>123.2</v>
      </c>
      <c r="AA292" s="52">
        <v>6</v>
      </c>
      <c r="AB292" s="52" t="s">
        <v>976</v>
      </c>
      <c r="AC292" s="52" t="s">
        <v>41</v>
      </c>
      <c r="AE292" s="52">
        <v>1</v>
      </c>
      <c r="AF292" s="52" t="s">
        <v>41</v>
      </c>
      <c r="AK292" s="52">
        <v>377</v>
      </c>
    </row>
    <row r="293" spans="1:37" x14ac:dyDescent="0.2">
      <c r="A293" s="52" t="s">
        <v>2112</v>
      </c>
      <c r="B293" s="52" t="s">
        <v>3394</v>
      </c>
      <c r="C293" s="52">
        <v>15</v>
      </c>
      <c r="D293" s="52" t="s">
        <v>2335</v>
      </c>
      <c r="E293" s="52" t="s">
        <v>3399</v>
      </c>
      <c r="F293" s="52" t="s">
        <v>443</v>
      </c>
      <c r="G293" s="52" t="s">
        <v>34</v>
      </c>
      <c r="H293" s="52" t="s">
        <v>3005</v>
      </c>
      <c r="I293" s="52" t="s">
        <v>897</v>
      </c>
      <c r="J293" s="52" t="s">
        <v>884</v>
      </c>
      <c r="K293" s="52" t="s">
        <v>884</v>
      </c>
      <c r="L293" s="52" t="s">
        <v>922</v>
      </c>
      <c r="M293" s="52" t="s">
        <v>890</v>
      </c>
      <c r="N293" s="52" t="s">
        <v>494</v>
      </c>
      <c r="O293" s="52" t="s">
        <v>496</v>
      </c>
      <c r="R293" s="52" t="s">
        <v>443</v>
      </c>
      <c r="S293" s="52" t="s">
        <v>885</v>
      </c>
      <c r="T293" s="53">
        <v>45888</v>
      </c>
      <c r="V293" s="53">
        <v>45976.626388888886</v>
      </c>
      <c r="W293" s="52" t="s">
        <v>884</v>
      </c>
      <c r="X293" s="53">
        <v>45971.626388888886</v>
      </c>
      <c r="Y293" s="52">
        <v>21</v>
      </c>
      <c r="AA293" s="52">
        <v>7</v>
      </c>
      <c r="AB293" s="52" t="s">
        <v>3400</v>
      </c>
      <c r="AC293" s="52" t="s">
        <v>41</v>
      </c>
      <c r="AE293" s="52">
        <v>2</v>
      </c>
      <c r="AF293" s="52" t="s">
        <v>41</v>
      </c>
      <c r="AK293" s="52">
        <v>377</v>
      </c>
    </row>
    <row r="294" spans="1:37" x14ac:dyDescent="0.2">
      <c r="A294" s="52" t="s">
        <v>2112</v>
      </c>
      <c r="B294" s="52" t="s">
        <v>3394</v>
      </c>
      <c r="C294" s="52">
        <v>15</v>
      </c>
      <c r="D294" s="52" t="s">
        <v>2333</v>
      </c>
      <c r="E294" s="52" t="s">
        <v>3401</v>
      </c>
      <c r="F294" s="52" t="s">
        <v>443</v>
      </c>
      <c r="G294" s="52" t="s">
        <v>34</v>
      </c>
      <c r="H294" s="52" t="s">
        <v>3005</v>
      </c>
      <c r="I294" s="52" t="s">
        <v>897</v>
      </c>
      <c r="J294" s="52" t="s">
        <v>884</v>
      </c>
      <c r="K294" s="52" t="s">
        <v>884</v>
      </c>
      <c r="L294" s="52" t="s">
        <v>922</v>
      </c>
      <c r="M294" s="52" t="s">
        <v>890</v>
      </c>
      <c r="N294" s="52" t="s">
        <v>494</v>
      </c>
      <c r="O294" s="52" t="s">
        <v>496</v>
      </c>
      <c r="R294" s="52" t="s">
        <v>443</v>
      </c>
      <c r="S294" s="52" t="s">
        <v>885</v>
      </c>
      <c r="T294" s="53">
        <v>45888</v>
      </c>
      <c r="V294" s="53">
        <v>45976.626388888886</v>
      </c>
      <c r="W294" s="52" t="s">
        <v>884</v>
      </c>
      <c r="X294" s="53">
        <v>45971.626388888886</v>
      </c>
      <c r="Y294" s="52">
        <v>21</v>
      </c>
      <c r="AA294" s="52">
        <v>7</v>
      </c>
      <c r="AC294" s="52" t="s">
        <v>41</v>
      </c>
      <c r="AE294" s="52">
        <v>2</v>
      </c>
      <c r="AF294" s="52" t="s">
        <v>41</v>
      </c>
      <c r="AK294" s="52">
        <v>377</v>
      </c>
    </row>
    <row r="295" spans="1:37" x14ac:dyDescent="0.2">
      <c r="A295" s="52" t="s">
        <v>2112</v>
      </c>
      <c r="B295" s="52" t="s">
        <v>3394</v>
      </c>
      <c r="C295" s="52">
        <v>15</v>
      </c>
      <c r="D295" s="52" t="s">
        <v>2331</v>
      </c>
      <c r="E295" s="52" t="s">
        <v>3402</v>
      </c>
      <c r="F295" s="52" t="s">
        <v>443</v>
      </c>
      <c r="G295" s="52" t="s">
        <v>34</v>
      </c>
      <c r="H295" s="52" t="s">
        <v>3005</v>
      </c>
      <c r="I295" s="52" t="s">
        <v>903</v>
      </c>
      <c r="J295" s="52" t="s">
        <v>884</v>
      </c>
      <c r="K295" s="52" t="s">
        <v>884</v>
      </c>
      <c r="L295" s="52" t="s">
        <v>922</v>
      </c>
      <c r="M295" s="52" t="s">
        <v>890</v>
      </c>
      <c r="N295" s="52" t="s">
        <v>494</v>
      </c>
      <c r="O295" s="52" t="s">
        <v>496</v>
      </c>
      <c r="R295" s="52" t="s">
        <v>443</v>
      </c>
      <c r="S295" s="52" t="s">
        <v>885</v>
      </c>
      <c r="T295" s="53">
        <v>45888</v>
      </c>
      <c r="V295" s="53">
        <v>45976.626388888886</v>
      </c>
      <c r="W295" s="52" t="s">
        <v>884</v>
      </c>
      <c r="X295" s="53">
        <v>45971.626388888886</v>
      </c>
      <c r="Y295" s="52">
        <v>21</v>
      </c>
      <c r="AA295" s="52">
        <v>7</v>
      </c>
      <c r="AB295" s="52" t="s">
        <v>3403</v>
      </c>
      <c r="AC295" s="52" t="s">
        <v>41</v>
      </c>
      <c r="AE295" s="52">
        <v>2</v>
      </c>
      <c r="AF295" s="52" t="s">
        <v>41</v>
      </c>
      <c r="AK295" s="52">
        <v>377</v>
      </c>
    </row>
    <row r="296" spans="1:37" x14ac:dyDescent="0.2">
      <c r="A296" s="52" t="s">
        <v>2112</v>
      </c>
      <c r="B296" s="52" t="s">
        <v>3394</v>
      </c>
      <c r="C296" s="52">
        <v>15</v>
      </c>
      <c r="D296" s="52" t="s">
        <v>2329</v>
      </c>
      <c r="E296" s="52" t="s">
        <v>3404</v>
      </c>
      <c r="F296" s="52" t="s">
        <v>443</v>
      </c>
      <c r="G296" s="52" t="s">
        <v>34</v>
      </c>
      <c r="H296" s="52" t="s">
        <v>3405</v>
      </c>
      <c r="I296" s="52" t="s">
        <v>2019</v>
      </c>
      <c r="J296" s="52" t="s">
        <v>884</v>
      </c>
      <c r="K296" s="52" t="s">
        <v>884</v>
      </c>
      <c r="L296" s="52" t="s">
        <v>922</v>
      </c>
      <c r="M296" s="52" t="s">
        <v>886</v>
      </c>
      <c r="N296" s="52" t="s">
        <v>494</v>
      </c>
      <c r="O296" s="52" t="s">
        <v>496</v>
      </c>
      <c r="R296" s="52" t="s">
        <v>443</v>
      </c>
      <c r="S296" s="52" t="s">
        <v>885</v>
      </c>
      <c r="T296" s="53">
        <v>45004</v>
      </c>
      <c r="V296" s="53">
        <v>45976.626388888886</v>
      </c>
      <c r="W296" s="52" t="s">
        <v>884</v>
      </c>
      <c r="X296" s="53">
        <v>45971.626388888886</v>
      </c>
      <c r="Y296" s="52">
        <v>21</v>
      </c>
      <c r="AA296" s="52">
        <v>7</v>
      </c>
      <c r="AB296" s="52" t="s">
        <v>3406</v>
      </c>
      <c r="AC296" s="52" t="s">
        <v>41</v>
      </c>
      <c r="AE296" s="52">
        <v>2</v>
      </c>
      <c r="AF296" s="52" t="s">
        <v>41</v>
      </c>
      <c r="AK296" s="52">
        <v>377</v>
      </c>
    </row>
    <row r="297" spans="1:37" x14ac:dyDescent="0.2">
      <c r="A297" s="52" t="s">
        <v>2112</v>
      </c>
      <c r="B297" s="52" t="s">
        <v>3394</v>
      </c>
      <c r="C297" s="52">
        <v>15</v>
      </c>
      <c r="D297" s="52" t="s">
        <v>3407</v>
      </c>
      <c r="E297" s="52" t="s">
        <v>3408</v>
      </c>
      <c r="F297" s="52" t="s">
        <v>443</v>
      </c>
      <c r="G297" s="52" t="s">
        <v>34</v>
      </c>
      <c r="H297" s="52" t="s">
        <v>3409</v>
      </c>
      <c r="I297" s="52" t="s">
        <v>2039</v>
      </c>
      <c r="K297" s="52" t="s">
        <v>884</v>
      </c>
      <c r="L297" s="52" t="s">
        <v>922</v>
      </c>
      <c r="M297" s="52" t="s">
        <v>890</v>
      </c>
      <c r="N297" s="52" t="s">
        <v>461</v>
      </c>
      <c r="O297" s="52" t="s">
        <v>496</v>
      </c>
      <c r="Q297" s="52">
        <v>941000031683983</v>
      </c>
      <c r="R297" s="52" t="s">
        <v>443</v>
      </c>
      <c r="S297" s="52" t="s">
        <v>885</v>
      </c>
      <c r="T297" s="53">
        <v>45255</v>
      </c>
      <c r="V297" s="53">
        <v>45985.511111111111</v>
      </c>
      <c r="W297" s="52" t="s">
        <v>892</v>
      </c>
      <c r="X297" s="53">
        <v>45980.511111111111</v>
      </c>
      <c r="Y297" s="52">
        <v>12.2</v>
      </c>
      <c r="AA297" s="52">
        <v>8</v>
      </c>
      <c r="AB297" s="52" t="s">
        <v>2143</v>
      </c>
      <c r="AC297" s="52" t="s">
        <v>41</v>
      </c>
      <c r="AE297" s="52">
        <v>1</v>
      </c>
      <c r="AF297" s="52" t="s">
        <v>41</v>
      </c>
      <c r="AK297" s="52">
        <v>377</v>
      </c>
    </row>
    <row r="298" spans="1:37" x14ac:dyDescent="0.2">
      <c r="A298" s="52" t="s">
        <v>2112</v>
      </c>
      <c r="B298" s="52" t="s">
        <v>3394</v>
      </c>
      <c r="C298" s="52">
        <v>15</v>
      </c>
      <c r="D298" s="52" t="s">
        <v>3410</v>
      </c>
      <c r="F298" s="52" t="s">
        <v>443</v>
      </c>
      <c r="G298" s="52" t="s">
        <v>34</v>
      </c>
      <c r="H298" s="52" t="s">
        <v>3411</v>
      </c>
      <c r="I298" s="52" t="s">
        <v>903</v>
      </c>
      <c r="J298" s="52" t="s">
        <v>884</v>
      </c>
      <c r="K298" s="52" t="s">
        <v>884</v>
      </c>
      <c r="L298" s="52" t="s">
        <v>922</v>
      </c>
      <c r="M298" s="52" t="s">
        <v>911</v>
      </c>
      <c r="N298" s="52" t="s">
        <v>494</v>
      </c>
      <c r="O298" s="52" t="s">
        <v>496</v>
      </c>
      <c r="R298" s="52" t="s">
        <v>443</v>
      </c>
      <c r="S298" s="52" t="s">
        <v>885</v>
      </c>
      <c r="T298" s="53">
        <v>45251</v>
      </c>
      <c r="V298" s="53">
        <v>45987.515972222223</v>
      </c>
      <c r="W298" s="52" t="s">
        <v>884</v>
      </c>
      <c r="X298" s="53">
        <v>45982.515972222223</v>
      </c>
      <c r="Y298" s="52">
        <v>10.199999999999999</v>
      </c>
      <c r="AA298" s="52">
        <v>9</v>
      </c>
      <c r="AC298" s="52" t="s">
        <v>41</v>
      </c>
      <c r="AE298" s="52">
        <v>1</v>
      </c>
      <c r="AF298" s="52" t="s">
        <v>41</v>
      </c>
      <c r="AK298" s="52">
        <v>377</v>
      </c>
    </row>
    <row r="299" spans="1:37" x14ac:dyDescent="0.2">
      <c r="A299" s="52" t="s">
        <v>2112</v>
      </c>
      <c r="B299" s="52" t="s">
        <v>3394</v>
      </c>
      <c r="C299" s="52">
        <v>15</v>
      </c>
      <c r="D299" s="52" t="s">
        <v>815</v>
      </c>
      <c r="E299" s="52" t="s">
        <v>1911</v>
      </c>
      <c r="F299" s="52" t="s">
        <v>443</v>
      </c>
      <c r="G299" s="52" t="s">
        <v>548</v>
      </c>
      <c r="H299" s="52" t="s">
        <v>3144</v>
      </c>
      <c r="I299" s="52" t="s">
        <v>2012</v>
      </c>
      <c r="K299" s="52" t="s">
        <v>884</v>
      </c>
      <c r="L299" s="52" t="s">
        <v>887</v>
      </c>
      <c r="M299" s="52" t="s">
        <v>886</v>
      </c>
      <c r="N299" s="52" t="s">
        <v>461</v>
      </c>
      <c r="O299" s="52" t="s">
        <v>496</v>
      </c>
      <c r="Q299" s="52">
        <v>941000031684094</v>
      </c>
      <c r="R299" s="52" t="s">
        <v>443</v>
      </c>
      <c r="S299" s="52" t="s">
        <v>885</v>
      </c>
      <c r="T299" s="53">
        <v>45881</v>
      </c>
      <c r="V299" s="53">
        <v>45921.339583333334</v>
      </c>
      <c r="W299" s="52" t="s">
        <v>892</v>
      </c>
      <c r="X299" s="53">
        <v>45916.339583333334</v>
      </c>
      <c r="Y299" s="52">
        <v>76.3</v>
      </c>
      <c r="AA299" s="52" t="s">
        <v>496</v>
      </c>
      <c r="AB299" s="52" t="s">
        <v>2014</v>
      </c>
      <c r="AC299" s="52" t="s">
        <v>41</v>
      </c>
      <c r="AE299" s="52">
        <v>2</v>
      </c>
      <c r="AF299" s="52" t="s">
        <v>41</v>
      </c>
      <c r="AK299" s="52">
        <v>377</v>
      </c>
    </row>
    <row r="300" spans="1:37" x14ac:dyDescent="0.2">
      <c r="A300" s="52" t="s">
        <v>2112</v>
      </c>
      <c r="B300" s="52" t="s">
        <v>3394</v>
      </c>
      <c r="C300" s="52">
        <v>15</v>
      </c>
      <c r="D300" s="52" t="s">
        <v>2415</v>
      </c>
      <c r="F300" s="52" t="s">
        <v>443</v>
      </c>
      <c r="G300" s="52" t="s">
        <v>34</v>
      </c>
      <c r="H300" s="52" t="s">
        <v>2011</v>
      </c>
      <c r="I300" s="52" t="s">
        <v>1999</v>
      </c>
      <c r="J300" s="52" t="s">
        <v>884</v>
      </c>
      <c r="K300" s="52" t="s">
        <v>884</v>
      </c>
      <c r="L300" s="52" t="s">
        <v>887</v>
      </c>
      <c r="M300" s="52" t="s">
        <v>890</v>
      </c>
      <c r="N300" s="52" t="s">
        <v>494</v>
      </c>
      <c r="O300" s="52" t="s">
        <v>496</v>
      </c>
      <c r="P300" s="52" t="s">
        <v>3412</v>
      </c>
      <c r="R300" s="52" t="s">
        <v>443</v>
      </c>
      <c r="S300" s="52" t="s">
        <v>885</v>
      </c>
      <c r="T300" s="53">
        <v>45909</v>
      </c>
      <c r="V300" s="53">
        <v>45970.679861111108</v>
      </c>
      <c r="W300" s="52" t="s">
        <v>884</v>
      </c>
      <c r="X300" s="53">
        <v>45965.679861111108</v>
      </c>
      <c r="Y300" s="52">
        <v>27</v>
      </c>
      <c r="AA300" s="52" t="s">
        <v>496</v>
      </c>
      <c r="AB300" s="52" t="s">
        <v>3413</v>
      </c>
      <c r="AC300" s="52" t="s">
        <v>41</v>
      </c>
      <c r="AE300" s="52">
        <v>2</v>
      </c>
      <c r="AF300" s="52" t="s">
        <v>41</v>
      </c>
      <c r="AK300" s="52">
        <v>377</v>
      </c>
    </row>
    <row r="301" spans="1:37" x14ac:dyDescent="0.2">
      <c r="A301" s="52" t="s">
        <v>930</v>
      </c>
      <c r="B301" s="52" t="s">
        <v>3414</v>
      </c>
      <c r="C301" s="52">
        <v>16</v>
      </c>
      <c r="D301" s="52" t="s">
        <v>1769</v>
      </c>
      <c r="E301" s="52" t="s">
        <v>1770</v>
      </c>
      <c r="F301" s="52" t="s">
        <v>444</v>
      </c>
      <c r="G301" s="52" t="s">
        <v>529</v>
      </c>
      <c r="H301" s="52" t="s">
        <v>3281</v>
      </c>
      <c r="I301" s="52" t="s">
        <v>2154</v>
      </c>
      <c r="J301" s="52" t="s">
        <v>884</v>
      </c>
      <c r="K301" s="52" t="s">
        <v>884</v>
      </c>
      <c r="L301" s="52" t="s">
        <v>887</v>
      </c>
      <c r="M301" s="52" t="s">
        <v>886</v>
      </c>
      <c r="N301" s="52" t="s">
        <v>494</v>
      </c>
      <c r="O301" s="52" t="s">
        <v>531</v>
      </c>
      <c r="R301" s="52" t="s">
        <v>444</v>
      </c>
      <c r="S301" s="52" t="s">
        <v>885</v>
      </c>
      <c r="T301" s="53">
        <v>45870</v>
      </c>
      <c r="V301" s="53">
        <v>45967.581250000003</v>
      </c>
      <c r="W301" s="52" t="s">
        <v>884</v>
      </c>
      <c r="X301" s="53">
        <v>45962.622916666667</v>
      </c>
      <c r="Y301" s="52">
        <v>30.1</v>
      </c>
      <c r="AA301" s="52">
        <v>1</v>
      </c>
      <c r="AB301" s="52" t="s">
        <v>2155</v>
      </c>
      <c r="AC301" s="52" t="s">
        <v>41</v>
      </c>
      <c r="AE301" s="52">
        <v>1</v>
      </c>
      <c r="AF301" s="52" t="s">
        <v>41</v>
      </c>
      <c r="AK301" s="52">
        <v>377</v>
      </c>
    </row>
    <row r="302" spans="1:37" x14ac:dyDescent="0.2">
      <c r="A302" s="52" t="s">
        <v>930</v>
      </c>
      <c r="B302" s="52" t="s">
        <v>3414</v>
      </c>
      <c r="C302" s="52">
        <v>16</v>
      </c>
      <c r="D302" s="52" t="s">
        <v>1765</v>
      </c>
      <c r="E302" s="52" t="s">
        <v>1766</v>
      </c>
      <c r="F302" s="52" t="s">
        <v>444</v>
      </c>
      <c r="G302" s="52" t="s">
        <v>529</v>
      </c>
      <c r="H302" s="52" t="s">
        <v>3305</v>
      </c>
      <c r="I302" s="52" t="s">
        <v>888</v>
      </c>
      <c r="J302" s="52" t="s">
        <v>884</v>
      </c>
      <c r="K302" s="52" t="s">
        <v>884</v>
      </c>
      <c r="L302" s="52" t="s">
        <v>887</v>
      </c>
      <c r="M302" s="52" t="s">
        <v>890</v>
      </c>
      <c r="N302" s="52" t="s">
        <v>494</v>
      </c>
      <c r="O302" s="52" t="s">
        <v>531</v>
      </c>
      <c r="R302" s="52" t="s">
        <v>444</v>
      </c>
      <c r="S302" s="52" t="s">
        <v>885</v>
      </c>
      <c r="T302" s="53">
        <v>45872</v>
      </c>
      <c r="V302" s="53">
        <v>45967.581250000003</v>
      </c>
      <c r="W302" s="52" t="s">
        <v>884</v>
      </c>
      <c r="X302" s="53">
        <v>45962.622916666667</v>
      </c>
      <c r="Y302" s="52">
        <v>30.1</v>
      </c>
      <c r="AA302" s="52">
        <v>1</v>
      </c>
      <c r="AB302" s="52" t="s">
        <v>2157</v>
      </c>
      <c r="AC302" s="52" t="s">
        <v>41</v>
      </c>
      <c r="AE302" s="52">
        <v>1</v>
      </c>
      <c r="AF302" s="52" t="s">
        <v>41</v>
      </c>
      <c r="AK302" s="52">
        <v>377</v>
      </c>
    </row>
    <row r="303" spans="1:37" x14ac:dyDescent="0.2">
      <c r="A303" s="52" t="s">
        <v>930</v>
      </c>
      <c r="B303" s="52" t="s">
        <v>3414</v>
      </c>
      <c r="C303" s="52">
        <v>16</v>
      </c>
      <c r="D303" s="52" t="s">
        <v>2259</v>
      </c>
      <c r="E303" s="52" t="s">
        <v>3415</v>
      </c>
      <c r="F303" s="52" t="s">
        <v>444</v>
      </c>
      <c r="G303" s="52" t="s">
        <v>460</v>
      </c>
      <c r="H303" s="52" t="s">
        <v>1480</v>
      </c>
      <c r="I303" s="52" t="s">
        <v>903</v>
      </c>
      <c r="K303" s="52" t="s">
        <v>884</v>
      </c>
      <c r="L303" s="52" t="s">
        <v>922</v>
      </c>
      <c r="M303" s="52" t="s">
        <v>886</v>
      </c>
      <c r="N303" s="52" t="s">
        <v>470</v>
      </c>
      <c r="O303" s="52" t="s">
        <v>531</v>
      </c>
      <c r="P303" s="52" t="s">
        <v>3416</v>
      </c>
      <c r="R303" s="52" t="s">
        <v>444</v>
      </c>
      <c r="S303" s="52" t="s">
        <v>885</v>
      </c>
      <c r="T303" s="53">
        <v>44884</v>
      </c>
      <c r="V303" s="53">
        <v>45983.507638888892</v>
      </c>
      <c r="W303" s="52" t="s">
        <v>884</v>
      </c>
      <c r="X303" s="53">
        <v>45978.507638888892</v>
      </c>
      <c r="Y303" s="52">
        <v>14.2</v>
      </c>
      <c r="AA303" s="52">
        <v>10</v>
      </c>
      <c r="AB303" s="52" t="s">
        <v>3417</v>
      </c>
      <c r="AC303" s="52" t="s">
        <v>41</v>
      </c>
      <c r="AE303" s="52">
        <v>1</v>
      </c>
      <c r="AF303" s="52" t="s">
        <v>41</v>
      </c>
      <c r="AK303" s="52">
        <v>377</v>
      </c>
    </row>
    <row r="304" spans="1:37" x14ac:dyDescent="0.2">
      <c r="A304" s="52" t="s">
        <v>930</v>
      </c>
      <c r="B304" s="52" t="s">
        <v>3414</v>
      </c>
      <c r="C304" s="52">
        <v>16</v>
      </c>
      <c r="D304" s="52" t="s">
        <v>3418</v>
      </c>
      <c r="E304" s="52" t="s">
        <v>3419</v>
      </c>
      <c r="F304" s="52" t="s">
        <v>444</v>
      </c>
      <c r="G304" s="52" t="s">
        <v>535</v>
      </c>
      <c r="H304" s="52" t="s">
        <v>2123</v>
      </c>
      <c r="I304" s="52" t="s">
        <v>958</v>
      </c>
      <c r="J304" s="52" t="s">
        <v>884</v>
      </c>
      <c r="K304" s="52" t="s">
        <v>884</v>
      </c>
      <c r="L304" s="52" t="s">
        <v>887</v>
      </c>
      <c r="M304" s="52" t="s">
        <v>886</v>
      </c>
      <c r="N304" s="52" t="s">
        <v>470</v>
      </c>
      <c r="O304" s="52" t="s">
        <v>531</v>
      </c>
      <c r="P304" s="52" t="s">
        <v>716</v>
      </c>
      <c r="R304" s="52" t="s">
        <v>444</v>
      </c>
      <c r="S304" s="52" t="s">
        <v>885</v>
      </c>
      <c r="T304" s="53">
        <v>45248</v>
      </c>
      <c r="U304" s="52" t="s">
        <v>969</v>
      </c>
      <c r="V304" s="53">
        <v>45984.649305555555</v>
      </c>
      <c r="W304" s="52" t="s">
        <v>884</v>
      </c>
      <c r="X304" s="53">
        <v>45979.649305555555</v>
      </c>
      <c r="Y304" s="52">
        <v>13</v>
      </c>
      <c r="AA304" s="52">
        <v>11</v>
      </c>
      <c r="AB304" s="52" t="s">
        <v>925</v>
      </c>
      <c r="AC304" s="52" t="s">
        <v>41</v>
      </c>
      <c r="AE304" s="52">
        <v>1</v>
      </c>
      <c r="AF304" s="52" t="s">
        <v>41</v>
      </c>
      <c r="AK304" s="52">
        <v>377</v>
      </c>
    </row>
    <row r="305" spans="1:37" x14ac:dyDescent="0.2">
      <c r="A305" s="52" t="s">
        <v>930</v>
      </c>
      <c r="B305" s="52" t="s">
        <v>3414</v>
      </c>
      <c r="C305" s="52">
        <v>16</v>
      </c>
      <c r="D305" s="52" t="s">
        <v>3420</v>
      </c>
      <c r="E305" s="52" t="s">
        <v>3421</v>
      </c>
      <c r="F305" s="52" t="s">
        <v>444</v>
      </c>
      <c r="G305" s="52" t="s">
        <v>529</v>
      </c>
      <c r="H305" s="52" t="s">
        <v>1480</v>
      </c>
      <c r="I305" s="52" t="s">
        <v>2065</v>
      </c>
      <c r="J305" s="52" t="s">
        <v>884</v>
      </c>
      <c r="K305" s="52" t="s">
        <v>884</v>
      </c>
      <c r="L305" s="52" t="s">
        <v>887</v>
      </c>
      <c r="M305" s="52" t="s">
        <v>890</v>
      </c>
      <c r="N305" s="52" t="s">
        <v>470</v>
      </c>
      <c r="O305" s="52" t="s">
        <v>531</v>
      </c>
      <c r="P305" s="52" t="s">
        <v>3422</v>
      </c>
      <c r="R305" s="52" t="s">
        <v>444</v>
      </c>
      <c r="S305" s="52" t="s">
        <v>885</v>
      </c>
      <c r="T305" s="53">
        <v>44884</v>
      </c>
      <c r="V305" s="53">
        <v>45985.647916666669</v>
      </c>
      <c r="W305" s="52" t="s">
        <v>884</v>
      </c>
      <c r="X305" s="53">
        <v>45980.647916666669</v>
      </c>
      <c r="Y305" s="52">
        <v>12</v>
      </c>
      <c r="AA305" s="52">
        <v>13</v>
      </c>
      <c r="AB305" s="52" t="s">
        <v>3423</v>
      </c>
      <c r="AC305" s="52" t="s">
        <v>41</v>
      </c>
      <c r="AE305" s="52">
        <v>1</v>
      </c>
      <c r="AF305" s="52" t="s">
        <v>41</v>
      </c>
      <c r="AK305" s="52">
        <v>377</v>
      </c>
    </row>
    <row r="306" spans="1:37" x14ac:dyDescent="0.2">
      <c r="A306" s="52" t="s">
        <v>930</v>
      </c>
      <c r="B306" s="52" t="s">
        <v>3414</v>
      </c>
      <c r="C306" s="52">
        <v>16</v>
      </c>
      <c r="D306" s="52" t="s">
        <v>2440</v>
      </c>
      <c r="F306" s="52" t="s">
        <v>444</v>
      </c>
      <c r="G306" s="52" t="s">
        <v>529</v>
      </c>
      <c r="H306" s="52" t="s">
        <v>2954</v>
      </c>
      <c r="I306" s="52" t="s">
        <v>2129</v>
      </c>
      <c r="K306" s="52" t="s">
        <v>884</v>
      </c>
      <c r="L306" s="52" t="s">
        <v>887</v>
      </c>
      <c r="M306" s="52" t="s">
        <v>890</v>
      </c>
      <c r="N306" s="52" t="s">
        <v>470</v>
      </c>
      <c r="O306" s="52" t="s">
        <v>531</v>
      </c>
      <c r="R306" s="52" t="s">
        <v>444</v>
      </c>
      <c r="S306" s="52" t="s">
        <v>885</v>
      </c>
      <c r="T306" s="53">
        <v>45234</v>
      </c>
      <c r="V306" s="53">
        <v>45970.490972222222</v>
      </c>
      <c r="W306" s="52" t="s">
        <v>884</v>
      </c>
      <c r="X306" s="53">
        <v>45965.490972222222</v>
      </c>
      <c r="Y306" s="52">
        <v>27.2</v>
      </c>
      <c r="AA306" s="52">
        <v>14</v>
      </c>
      <c r="AC306" s="52" t="s">
        <v>41</v>
      </c>
      <c r="AE306" s="52">
        <v>1</v>
      </c>
      <c r="AF306" s="52" t="s">
        <v>41</v>
      </c>
      <c r="AK306" s="52">
        <v>377</v>
      </c>
    </row>
    <row r="307" spans="1:37" x14ac:dyDescent="0.2">
      <c r="A307" s="52" t="s">
        <v>930</v>
      </c>
      <c r="B307" s="52" t="s">
        <v>3414</v>
      </c>
      <c r="C307" s="52">
        <v>16</v>
      </c>
      <c r="D307" s="52" t="s">
        <v>2337</v>
      </c>
      <c r="E307" s="52" t="s">
        <v>2338</v>
      </c>
      <c r="F307" s="52" t="s">
        <v>444</v>
      </c>
      <c r="G307" s="52" t="s">
        <v>529</v>
      </c>
      <c r="H307" s="52" t="s">
        <v>3064</v>
      </c>
      <c r="I307" s="52" t="s">
        <v>888</v>
      </c>
      <c r="K307" s="52" t="s">
        <v>884</v>
      </c>
      <c r="L307" s="52" t="s">
        <v>887</v>
      </c>
      <c r="M307" s="52" t="s">
        <v>886</v>
      </c>
      <c r="N307" s="52" t="s">
        <v>494</v>
      </c>
      <c r="O307" s="52" t="s">
        <v>531</v>
      </c>
      <c r="P307" s="52" t="s">
        <v>735</v>
      </c>
      <c r="R307" s="52" t="s">
        <v>444</v>
      </c>
      <c r="S307" s="52" t="s">
        <v>885</v>
      </c>
      <c r="T307" s="53">
        <v>44878</v>
      </c>
      <c r="V307" s="53">
        <v>45972.697916666664</v>
      </c>
      <c r="W307" s="52" t="s">
        <v>884</v>
      </c>
      <c r="X307" s="53">
        <v>45967.697916666664</v>
      </c>
      <c r="Y307" s="52">
        <v>25</v>
      </c>
      <c r="AA307" s="52">
        <v>2</v>
      </c>
      <c r="AB307" s="52" t="s">
        <v>997</v>
      </c>
      <c r="AC307" s="52" t="s">
        <v>41</v>
      </c>
      <c r="AE307" s="52">
        <v>1</v>
      </c>
      <c r="AF307" s="52" t="s">
        <v>41</v>
      </c>
      <c r="AK307" s="52">
        <v>377</v>
      </c>
    </row>
    <row r="308" spans="1:37" x14ac:dyDescent="0.2">
      <c r="A308" s="52" t="s">
        <v>930</v>
      </c>
      <c r="B308" s="52" t="s">
        <v>3414</v>
      </c>
      <c r="C308" s="52">
        <v>16</v>
      </c>
      <c r="D308" s="52" t="s">
        <v>1127</v>
      </c>
      <c r="E308" s="52" t="s">
        <v>1128</v>
      </c>
      <c r="F308" s="52" t="s">
        <v>444</v>
      </c>
      <c r="G308" s="52" t="s">
        <v>529</v>
      </c>
      <c r="H308" s="52" t="s">
        <v>3424</v>
      </c>
      <c r="I308" s="52" t="s">
        <v>897</v>
      </c>
      <c r="J308" s="52" t="s">
        <v>884</v>
      </c>
      <c r="K308" s="52" t="s">
        <v>884</v>
      </c>
      <c r="L308" s="52" t="s">
        <v>887</v>
      </c>
      <c r="M308" s="52" t="s">
        <v>886</v>
      </c>
      <c r="N308" s="52" t="s">
        <v>494</v>
      </c>
      <c r="O308" s="52" t="s">
        <v>531</v>
      </c>
      <c r="P308" s="52" t="s">
        <v>471</v>
      </c>
      <c r="R308" s="52" t="s">
        <v>444</v>
      </c>
      <c r="S308" s="52" t="s">
        <v>885</v>
      </c>
      <c r="T308" s="53">
        <v>45213</v>
      </c>
      <c r="V308" s="53">
        <v>45947.463194444441</v>
      </c>
      <c r="W308" s="52" t="s">
        <v>884</v>
      </c>
      <c r="X308" s="53">
        <v>45942.463194444441</v>
      </c>
      <c r="Y308" s="52">
        <v>50.2</v>
      </c>
      <c r="AA308" s="52">
        <v>3</v>
      </c>
      <c r="AB308" s="52" t="s">
        <v>916</v>
      </c>
      <c r="AC308" s="52" t="s">
        <v>41</v>
      </c>
      <c r="AE308" s="52">
        <v>3</v>
      </c>
      <c r="AF308" s="52" t="s">
        <v>41</v>
      </c>
      <c r="AK308" s="52">
        <v>377</v>
      </c>
    </row>
    <row r="309" spans="1:37" x14ac:dyDescent="0.2">
      <c r="A309" s="52" t="s">
        <v>930</v>
      </c>
      <c r="B309" s="52" t="s">
        <v>3414</v>
      </c>
      <c r="C309" s="52">
        <v>16</v>
      </c>
      <c r="D309" s="52" t="s">
        <v>1841</v>
      </c>
      <c r="E309" s="52" t="s">
        <v>2536</v>
      </c>
      <c r="F309" s="52" t="s">
        <v>443</v>
      </c>
      <c r="G309" s="52" t="s">
        <v>34</v>
      </c>
      <c r="H309" s="52" t="s">
        <v>3128</v>
      </c>
      <c r="I309" s="52" t="s">
        <v>1999</v>
      </c>
      <c r="K309" s="52" t="s">
        <v>884</v>
      </c>
      <c r="L309" s="52" t="s">
        <v>922</v>
      </c>
      <c r="M309" s="52" t="s">
        <v>890</v>
      </c>
      <c r="N309" s="52" t="s">
        <v>494</v>
      </c>
      <c r="O309" s="52" t="s">
        <v>531</v>
      </c>
      <c r="R309" s="52" t="s">
        <v>443</v>
      </c>
      <c r="S309" s="52" t="s">
        <v>885</v>
      </c>
      <c r="T309" s="53">
        <v>45875</v>
      </c>
      <c r="V309" s="53">
        <v>45956.646527777775</v>
      </c>
      <c r="W309" s="52" t="s">
        <v>884</v>
      </c>
      <c r="X309" s="53">
        <v>45951.646527777775</v>
      </c>
      <c r="Y309" s="52">
        <v>41</v>
      </c>
      <c r="AA309" s="52">
        <v>5</v>
      </c>
      <c r="AB309" s="52" t="s">
        <v>2963</v>
      </c>
      <c r="AC309" s="52" t="s">
        <v>41</v>
      </c>
      <c r="AE309" s="52">
        <v>2</v>
      </c>
      <c r="AF309" s="52" t="s">
        <v>41</v>
      </c>
      <c r="AK309" s="52">
        <v>377</v>
      </c>
    </row>
    <row r="310" spans="1:37" x14ac:dyDescent="0.2">
      <c r="A310" s="52" t="s">
        <v>930</v>
      </c>
      <c r="B310" s="52" t="s">
        <v>3414</v>
      </c>
      <c r="C310" s="52">
        <v>16</v>
      </c>
      <c r="D310" s="52" t="s">
        <v>2290</v>
      </c>
      <c r="E310" s="52" t="s">
        <v>2291</v>
      </c>
      <c r="F310" s="52" t="s">
        <v>444</v>
      </c>
      <c r="G310" s="52" t="s">
        <v>1158</v>
      </c>
      <c r="H310" s="52" t="s">
        <v>3425</v>
      </c>
      <c r="I310" s="52" t="s">
        <v>3046</v>
      </c>
      <c r="K310" s="52" t="s">
        <v>884</v>
      </c>
      <c r="L310" s="52" t="s">
        <v>937</v>
      </c>
      <c r="M310" s="52" t="s">
        <v>890</v>
      </c>
      <c r="N310" s="52" t="s">
        <v>494</v>
      </c>
      <c r="O310" s="52" t="s">
        <v>531</v>
      </c>
      <c r="P310" s="52" t="s">
        <v>679</v>
      </c>
      <c r="R310" s="52" t="s">
        <v>444</v>
      </c>
      <c r="S310" s="52" t="s">
        <v>885</v>
      </c>
      <c r="T310" s="53">
        <v>45610</v>
      </c>
      <c r="W310" s="52" t="s">
        <v>884</v>
      </c>
      <c r="X310" s="53">
        <v>45975.613888888889</v>
      </c>
      <c r="Y310" s="52">
        <v>17.100000000000001</v>
      </c>
      <c r="AA310" s="52">
        <v>6</v>
      </c>
      <c r="AB310" s="52" t="s">
        <v>3426</v>
      </c>
      <c r="AC310" s="52" t="s">
        <v>41</v>
      </c>
      <c r="AE310" s="52">
        <v>1</v>
      </c>
      <c r="AF310" s="52" t="s">
        <v>41</v>
      </c>
      <c r="AK310" s="52">
        <v>377</v>
      </c>
    </row>
    <row r="311" spans="1:37" x14ac:dyDescent="0.2">
      <c r="A311" s="52" t="s">
        <v>930</v>
      </c>
      <c r="B311" s="52" t="s">
        <v>3414</v>
      </c>
      <c r="C311" s="52">
        <v>16</v>
      </c>
      <c r="D311" s="52" t="s">
        <v>2287</v>
      </c>
      <c r="E311" s="52" t="s">
        <v>2288</v>
      </c>
      <c r="F311" s="52" t="s">
        <v>444</v>
      </c>
      <c r="G311" s="52" t="s">
        <v>1158</v>
      </c>
      <c r="H311" s="52" t="s">
        <v>3425</v>
      </c>
      <c r="I311" s="52" t="s">
        <v>920</v>
      </c>
      <c r="K311" s="52" t="s">
        <v>884</v>
      </c>
      <c r="L311" s="52" t="s">
        <v>937</v>
      </c>
      <c r="M311" s="52" t="s">
        <v>890</v>
      </c>
      <c r="N311" s="52" t="s">
        <v>494</v>
      </c>
      <c r="O311" s="52" t="s">
        <v>531</v>
      </c>
      <c r="P311" s="52" t="s">
        <v>679</v>
      </c>
      <c r="R311" s="52" t="s">
        <v>444</v>
      </c>
      <c r="S311" s="52" t="s">
        <v>885</v>
      </c>
      <c r="T311" s="53">
        <v>45610</v>
      </c>
      <c r="W311" s="52" t="s">
        <v>884</v>
      </c>
      <c r="X311" s="53">
        <v>45975.613888888889</v>
      </c>
      <c r="Y311" s="52">
        <v>17.100000000000001</v>
      </c>
      <c r="AA311" s="52">
        <v>6</v>
      </c>
      <c r="AB311" s="52" t="s">
        <v>3427</v>
      </c>
      <c r="AC311" s="52" t="s">
        <v>41</v>
      </c>
      <c r="AE311" s="52">
        <v>1</v>
      </c>
      <c r="AF311" s="52" t="s">
        <v>41</v>
      </c>
      <c r="AK311" s="52">
        <v>377</v>
      </c>
    </row>
    <row r="312" spans="1:37" x14ac:dyDescent="0.2">
      <c r="A312" s="52" t="s">
        <v>930</v>
      </c>
      <c r="B312" s="52" t="s">
        <v>3414</v>
      </c>
      <c r="C312" s="52">
        <v>16</v>
      </c>
      <c r="D312" s="52" t="s">
        <v>2283</v>
      </c>
      <c r="E312" s="52" t="s">
        <v>2284</v>
      </c>
      <c r="F312" s="52" t="s">
        <v>444</v>
      </c>
      <c r="G312" s="52" t="s">
        <v>1158</v>
      </c>
      <c r="H312" s="52" t="s">
        <v>3428</v>
      </c>
      <c r="I312" s="52" t="s">
        <v>897</v>
      </c>
      <c r="K312" s="52" t="s">
        <v>884</v>
      </c>
      <c r="L312" s="52" t="s">
        <v>937</v>
      </c>
      <c r="M312" s="52" t="s">
        <v>886</v>
      </c>
      <c r="N312" s="52" t="s">
        <v>494</v>
      </c>
      <c r="O312" s="52" t="s">
        <v>531</v>
      </c>
      <c r="P312" s="52" t="s">
        <v>679</v>
      </c>
      <c r="R312" s="52" t="s">
        <v>444</v>
      </c>
      <c r="S312" s="52" t="s">
        <v>885</v>
      </c>
      <c r="T312" s="53">
        <v>45706</v>
      </c>
      <c r="W312" s="52" t="s">
        <v>884</v>
      </c>
      <c r="X312" s="53">
        <v>45975.613888888889</v>
      </c>
      <c r="Y312" s="52">
        <v>17.100000000000001</v>
      </c>
      <c r="AA312" s="52">
        <v>6</v>
      </c>
      <c r="AB312" s="52" t="s">
        <v>3429</v>
      </c>
      <c r="AC312" s="52" t="s">
        <v>41</v>
      </c>
      <c r="AE312" s="52">
        <v>1</v>
      </c>
      <c r="AF312" s="52" t="s">
        <v>41</v>
      </c>
      <c r="AK312" s="52">
        <v>377</v>
      </c>
    </row>
    <row r="313" spans="1:37" x14ac:dyDescent="0.2">
      <c r="A313" s="52" t="s">
        <v>930</v>
      </c>
      <c r="B313" s="52" t="s">
        <v>3414</v>
      </c>
      <c r="C313" s="52">
        <v>16</v>
      </c>
      <c r="D313" s="52" t="s">
        <v>2946</v>
      </c>
      <c r="E313" s="52" t="s">
        <v>2947</v>
      </c>
      <c r="F313" s="52" t="s">
        <v>444</v>
      </c>
      <c r="G313" s="52" t="s">
        <v>468</v>
      </c>
      <c r="H313" s="52" t="s">
        <v>3430</v>
      </c>
      <c r="I313" s="52" t="s">
        <v>917</v>
      </c>
      <c r="J313" s="52" t="s">
        <v>884</v>
      </c>
      <c r="K313" s="52" t="s">
        <v>892</v>
      </c>
      <c r="L313" s="52" t="s">
        <v>993</v>
      </c>
      <c r="M313" s="52" t="s">
        <v>890</v>
      </c>
      <c r="N313" s="52" t="s">
        <v>1771</v>
      </c>
      <c r="O313" s="52" t="s">
        <v>531</v>
      </c>
      <c r="P313" s="52" t="s">
        <v>2950</v>
      </c>
      <c r="Q313" s="52">
        <v>982091070182789</v>
      </c>
      <c r="R313" s="52" t="s">
        <v>444</v>
      </c>
      <c r="S313" s="52" t="s">
        <v>885</v>
      </c>
      <c r="T313" s="53">
        <v>44195</v>
      </c>
      <c r="U313" s="52" t="s">
        <v>950</v>
      </c>
      <c r="W313" s="52" t="s">
        <v>892</v>
      </c>
      <c r="X313" s="53">
        <v>45968.45</v>
      </c>
      <c r="Y313" s="52">
        <v>24.3</v>
      </c>
      <c r="AA313" s="52">
        <v>8</v>
      </c>
      <c r="AB313" s="52" t="s">
        <v>3050</v>
      </c>
      <c r="AC313" s="52" t="s">
        <v>41</v>
      </c>
      <c r="AE313" s="52">
        <v>3</v>
      </c>
      <c r="AF313" s="52" t="s">
        <v>41</v>
      </c>
      <c r="AK313" s="52">
        <v>377</v>
      </c>
    </row>
    <row r="314" spans="1:37" x14ac:dyDescent="0.2">
      <c r="A314" s="52" t="s">
        <v>930</v>
      </c>
      <c r="B314" s="52" t="s">
        <v>3414</v>
      </c>
      <c r="C314" s="52">
        <v>16</v>
      </c>
      <c r="D314" s="52" t="s">
        <v>3431</v>
      </c>
      <c r="E314" s="52" t="s">
        <v>3432</v>
      </c>
      <c r="F314" s="52" t="s">
        <v>444</v>
      </c>
      <c r="G314" s="52" t="s">
        <v>638</v>
      </c>
      <c r="H314" s="52" t="s">
        <v>3342</v>
      </c>
      <c r="I314" s="52" t="s">
        <v>3433</v>
      </c>
      <c r="J314" s="52" t="s">
        <v>884</v>
      </c>
      <c r="K314" s="52" t="s">
        <v>892</v>
      </c>
      <c r="L314" s="52" t="s">
        <v>887</v>
      </c>
      <c r="M314" s="52" t="s">
        <v>886</v>
      </c>
      <c r="N314" s="52" t="s">
        <v>852</v>
      </c>
      <c r="O314" s="52" t="s">
        <v>531</v>
      </c>
      <c r="P314" s="52" t="s">
        <v>511</v>
      </c>
      <c r="Q314" s="52">
        <v>982091071616744</v>
      </c>
      <c r="R314" s="52" t="s">
        <v>444</v>
      </c>
      <c r="S314" s="52" t="s">
        <v>885</v>
      </c>
      <c r="T314" s="53">
        <v>44885</v>
      </c>
      <c r="V314" s="53">
        <v>45986.524305555555</v>
      </c>
      <c r="W314" s="52" t="s">
        <v>892</v>
      </c>
      <c r="X314" s="53">
        <v>45981.524305555555</v>
      </c>
      <c r="Y314" s="52">
        <v>11.2</v>
      </c>
      <c r="AA314" s="52">
        <v>9</v>
      </c>
      <c r="AB314" s="52" t="s">
        <v>997</v>
      </c>
      <c r="AC314" s="52" t="s">
        <v>41</v>
      </c>
      <c r="AE314" s="52">
        <v>1</v>
      </c>
      <c r="AF314" s="52" t="s">
        <v>41</v>
      </c>
      <c r="AK314" s="52">
        <v>377</v>
      </c>
    </row>
    <row r="315" spans="1:37" x14ac:dyDescent="0.2">
      <c r="A315" s="52" t="s">
        <v>930</v>
      </c>
      <c r="B315" s="52" t="s">
        <v>3414</v>
      </c>
      <c r="C315" s="52">
        <v>16</v>
      </c>
      <c r="D315" s="52" t="s">
        <v>3434</v>
      </c>
      <c r="E315" s="52" t="s">
        <v>3435</v>
      </c>
      <c r="F315" s="52" t="s">
        <v>444</v>
      </c>
      <c r="G315" s="52" t="s">
        <v>529</v>
      </c>
      <c r="H315" s="52" t="s">
        <v>3436</v>
      </c>
      <c r="I315" s="52" t="s">
        <v>897</v>
      </c>
      <c r="J315" s="52" t="s">
        <v>884</v>
      </c>
      <c r="K315" s="52" t="s">
        <v>884</v>
      </c>
      <c r="L315" s="52" t="s">
        <v>887</v>
      </c>
      <c r="M315" s="52" t="s">
        <v>890</v>
      </c>
      <c r="N315" s="52" t="s">
        <v>470</v>
      </c>
      <c r="O315" s="52" t="s">
        <v>531</v>
      </c>
      <c r="P315" s="52" t="s">
        <v>3422</v>
      </c>
      <c r="R315" s="52" t="s">
        <v>444</v>
      </c>
      <c r="S315" s="52" t="s">
        <v>885</v>
      </c>
      <c r="T315" s="53">
        <v>44883</v>
      </c>
      <c r="V315" s="53">
        <v>45984.656944444447</v>
      </c>
      <c r="W315" s="52" t="s">
        <v>884</v>
      </c>
      <c r="X315" s="53">
        <v>45979.656944444447</v>
      </c>
      <c r="Y315" s="52">
        <v>13</v>
      </c>
      <c r="AA315" s="52" t="s">
        <v>2342</v>
      </c>
      <c r="AB315" s="52" t="s">
        <v>3437</v>
      </c>
      <c r="AC315" s="52" t="s">
        <v>41</v>
      </c>
      <c r="AE315" s="52">
        <v>1</v>
      </c>
      <c r="AF315" s="52" t="s">
        <v>41</v>
      </c>
      <c r="AK315" s="52">
        <v>377</v>
      </c>
    </row>
    <row r="316" spans="1:37" x14ac:dyDescent="0.2">
      <c r="A316" s="52" t="s">
        <v>930</v>
      </c>
      <c r="B316" s="52" t="s">
        <v>3414</v>
      </c>
      <c r="C316" s="52">
        <v>16</v>
      </c>
      <c r="D316" s="52" t="s">
        <v>1829</v>
      </c>
      <c r="E316" s="52" t="s">
        <v>2489</v>
      </c>
      <c r="F316" s="52" t="s">
        <v>444</v>
      </c>
      <c r="G316" s="52" t="s">
        <v>535</v>
      </c>
      <c r="H316" s="52" t="s">
        <v>3438</v>
      </c>
      <c r="I316" s="52" t="s">
        <v>932</v>
      </c>
      <c r="J316" s="52" t="s">
        <v>884</v>
      </c>
      <c r="K316" s="52" t="s">
        <v>884</v>
      </c>
      <c r="L316" s="52" t="s">
        <v>2121</v>
      </c>
      <c r="M316" s="52" t="s">
        <v>890</v>
      </c>
      <c r="N316" s="52" t="s">
        <v>461</v>
      </c>
      <c r="O316" s="52" t="s">
        <v>531</v>
      </c>
      <c r="Q316" s="52">
        <v>941000031749780</v>
      </c>
      <c r="R316" s="52" t="s">
        <v>444</v>
      </c>
      <c r="S316" s="52" t="s">
        <v>885</v>
      </c>
      <c r="T316" s="53">
        <v>45799</v>
      </c>
      <c r="W316" s="52" t="s">
        <v>892</v>
      </c>
      <c r="X316" s="53">
        <v>45952.590277777781</v>
      </c>
      <c r="Y316" s="52">
        <v>40.1</v>
      </c>
      <c r="AA316" s="52" t="s">
        <v>2522</v>
      </c>
      <c r="AB316" s="52" t="s">
        <v>995</v>
      </c>
      <c r="AC316" s="52" t="s">
        <v>41</v>
      </c>
      <c r="AE316" s="52">
        <v>1</v>
      </c>
      <c r="AF316" s="52" t="s">
        <v>41</v>
      </c>
      <c r="AK316" s="52">
        <v>377</v>
      </c>
    </row>
    <row r="317" spans="1:37" x14ac:dyDescent="0.2">
      <c r="A317" s="52" t="s">
        <v>924</v>
      </c>
      <c r="B317" s="52" t="s">
        <v>3439</v>
      </c>
      <c r="C317" s="52">
        <v>3</v>
      </c>
      <c r="D317" s="52" t="s">
        <v>1869</v>
      </c>
      <c r="E317" s="52" t="s">
        <v>2561</v>
      </c>
      <c r="F317" s="52" t="s">
        <v>444</v>
      </c>
      <c r="G317" s="52" t="s">
        <v>468</v>
      </c>
      <c r="H317" s="52" t="s">
        <v>3438</v>
      </c>
      <c r="I317" s="52" t="s">
        <v>932</v>
      </c>
      <c r="J317" s="52" t="s">
        <v>884</v>
      </c>
      <c r="K317" s="52" t="s">
        <v>884</v>
      </c>
      <c r="L317" s="52" t="s">
        <v>2121</v>
      </c>
      <c r="M317" s="52" t="s">
        <v>890</v>
      </c>
      <c r="N317" s="52" t="s">
        <v>461</v>
      </c>
      <c r="O317" s="52" t="s">
        <v>737</v>
      </c>
      <c r="P317" s="52" t="s">
        <v>471</v>
      </c>
      <c r="Q317" s="52">
        <v>941000031749614</v>
      </c>
      <c r="R317" s="52" t="s">
        <v>444</v>
      </c>
      <c r="S317" s="52" t="s">
        <v>885</v>
      </c>
      <c r="T317" s="53">
        <v>45799</v>
      </c>
      <c r="W317" s="52" t="s">
        <v>892</v>
      </c>
      <c r="X317" s="53">
        <v>45950.519444444442</v>
      </c>
      <c r="Y317" s="52">
        <v>42.2</v>
      </c>
      <c r="AA317" s="52" t="s">
        <v>737</v>
      </c>
      <c r="AB317" s="52" t="s">
        <v>3440</v>
      </c>
      <c r="AC317" s="52" t="s">
        <v>41</v>
      </c>
      <c r="AE317" s="52">
        <v>2</v>
      </c>
      <c r="AF317" s="52" t="s">
        <v>41</v>
      </c>
      <c r="AK317" s="52">
        <v>377</v>
      </c>
    </row>
    <row r="318" spans="1:37" x14ac:dyDescent="0.2">
      <c r="A318" s="52" t="s">
        <v>924</v>
      </c>
      <c r="B318" s="52" t="s">
        <v>3439</v>
      </c>
      <c r="C318" s="52">
        <v>3</v>
      </c>
      <c r="D318" s="52" t="s">
        <v>1865</v>
      </c>
      <c r="E318" s="52" t="s">
        <v>1866</v>
      </c>
      <c r="F318" s="52" t="s">
        <v>444</v>
      </c>
      <c r="G318" s="52" t="s">
        <v>510</v>
      </c>
      <c r="H318" s="52" t="s">
        <v>3107</v>
      </c>
      <c r="I318" s="52" t="s">
        <v>948</v>
      </c>
      <c r="J318" s="52" t="s">
        <v>884</v>
      </c>
      <c r="K318" s="52" t="s">
        <v>884</v>
      </c>
      <c r="L318" s="52" t="s">
        <v>922</v>
      </c>
      <c r="M318" s="52" t="s">
        <v>886</v>
      </c>
      <c r="N318" s="52" t="s">
        <v>494</v>
      </c>
      <c r="O318" s="52" t="s">
        <v>737</v>
      </c>
      <c r="P318" s="52" t="s">
        <v>735</v>
      </c>
      <c r="R318" s="52" t="s">
        <v>444</v>
      </c>
      <c r="S318" s="52" t="s">
        <v>885</v>
      </c>
      <c r="T318" s="53">
        <v>44855</v>
      </c>
      <c r="V318" s="53">
        <v>45955.609722222223</v>
      </c>
      <c r="W318" s="52" t="s">
        <v>884</v>
      </c>
      <c r="X318" s="53">
        <v>45950.609722222223</v>
      </c>
      <c r="Y318" s="52">
        <v>42.1</v>
      </c>
      <c r="AA318" s="52" t="s">
        <v>737</v>
      </c>
      <c r="AB318" s="52" t="s">
        <v>916</v>
      </c>
      <c r="AC318" s="52" t="s">
        <v>41</v>
      </c>
      <c r="AE318" s="52">
        <v>3</v>
      </c>
      <c r="AF318" s="52" t="s">
        <v>41</v>
      </c>
      <c r="AK318" s="52">
        <v>377</v>
      </c>
    </row>
    <row r="319" spans="1:37" x14ac:dyDescent="0.2">
      <c r="A319" s="52" t="s">
        <v>924</v>
      </c>
      <c r="B319" s="52" t="s">
        <v>3439</v>
      </c>
      <c r="C319" s="52">
        <v>3</v>
      </c>
      <c r="D319" s="52" t="s">
        <v>2358</v>
      </c>
      <c r="E319" s="52" t="s">
        <v>3174</v>
      </c>
      <c r="F319" s="52" t="s">
        <v>444</v>
      </c>
      <c r="G319" s="52" t="s">
        <v>397</v>
      </c>
      <c r="H319" s="52" t="s">
        <v>3441</v>
      </c>
      <c r="I319" s="52" t="s">
        <v>2129</v>
      </c>
      <c r="K319" s="52" t="s">
        <v>884</v>
      </c>
      <c r="L319" s="52" t="s">
        <v>887</v>
      </c>
      <c r="M319" s="52" t="s">
        <v>886</v>
      </c>
      <c r="N319" s="52" t="s">
        <v>470</v>
      </c>
      <c r="O319" s="52" t="s">
        <v>737</v>
      </c>
      <c r="P319" s="52" t="s">
        <v>716</v>
      </c>
      <c r="R319" s="52" t="s">
        <v>444</v>
      </c>
      <c r="S319" s="52" t="s">
        <v>885</v>
      </c>
      <c r="T319" s="53">
        <v>43423</v>
      </c>
      <c r="V319" s="53">
        <v>45975.570138888892</v>
      </c>
      <c r="W319" s="52" t="s">
        <v>884</v>
      </c>
      <c r="X319" s="53">
        <v>45970.570138888892</v>
      </c>
      <c r="Y319" s="52">
        <v>22.1</v>
      </c>
      <c r="AA319" s="52" t="s">
        <v>737</v>
      </c>
      <c r="AB319" s="52" t="s">
        <v>972</v>
      </c>
      <c r="AC319" s="52" t="s">
        <v>41</v>
      </c>
      <c r="AE319" s="52">
        <v>1</v>
      </c>
      <c r="AF319" s="52" t="s">
        <v>41</v>
      </c>
      <c r="AK319" s="52">
        <v>377</v>
      </c>
    </row>
    <row r="320" spans="1:37" x14ac:dyDescent="0.2">
      <c r="A320" s="52" t="s">
        <v>2134</v>
      </c>
      <c r="B320" s="52" t="s">
        <v>3442</v>
      </c>
      <c r="C320" s="52">
        <v>22</v>
      </c>
      <c r="D320" s="52" t="s">
        <v>2409</v>
      </c>
      <c r="E320" s="52" t="s">
        <v>2410</v>
      </c>
      <c r="F320" s="52" t="s">
        <v>443</v>
      </c>
      <c r="G320" s="52" t="s">
        <v>34</v>
      </c>
      <c r="H320" s="52" t="s">
        <v>3280</v>
      </c>
      <c r="I320" s="52" t="s">
        <v>903</v>
      </c>
      <c r="K320" s="52" t="s">
        <v>884</v>
      </c>
      <c r="L320" s="52" t="s">
        <v>922</v>
      </c>
      <c r="M320" s="52" t="s">
        <v>890</v>
      </c>
      <c r="N320" s="52" t="s">
        <v>461</v>
      </c>
      <c r="O320" s="52" t="s">
        <v>502</v>
      </c>
      <c r="Q320" s="52">
        <v>941000031683761</v>
      </c>
      <c r="R320" s="52" t="s">
        <v>443</v>
      </c>
      <c r="S320" s="52" t="s">
        <v>885</v>
      </c>
      <c r="T320" s="53">
        <v>45874</v>
      </c>
      <c r="V320" s="53">
        <v>45971.487500000003</v>
      </c>
      <c r="W320" s="52" t="s">
        <v>892</v>
      </c>
      <c r="X320" s="53">
        <v>45966.487500000003</v>
      </c>
      <c r="Y320" s="52">
        <v>26.2</v>
      </c>
      <c r="AA320" s="52">
        <v>1</v>
      </c>
      <c r="AB320" s="52" t="s">
        <v>3057</v>
      </c>
      <c r="AC320" s="52" t="s">
        <v>41</v>
      </c>
      <c r="AE320" s="52">
        <v>2</v>
      </c>
      <c r="AF320" s="52" t="s">
        <v>41</v>
      </c>
      <c r="AK320" s="52">
        <v>377</v>
      </c>
    </row>
    <row r="321" spans="1:37" x14ac:dyDescent="0.2">
      <c r="A321" s="52" t="s">
        <v>2134</v>
      </c>
      <c r="B321" s="52" t="s">
        <v>3442</v>
      </c>
      <c r="C321" s="52">
        <v>22</v>
      </c>
      <c r="D321" s="52" t="s">
        <v>2406</v>
      </c>
      <c r="E321" s="52" t="s">
        <v>2407</v>
      </c>
      <c r="F321" s="52" t="s">
        <v>443</v>
      </c>
      <c r="G321" s="52" t="s">
        <v>34</v>
      </c>
      <c r="H321" s="52" t="s">
        <v>3280</v>
      </c>
      <c r="I321" s="52" t="s">
        <v>897</v>
      </c>
      <c r="K321" s="52" t="s">
        <v>884</v>
      </c>
      <c r="L321" s="52" t="s">
        <v>922</v>
      </c>
      <c r="M321" s="52" t="s">
        <v>886</v>
      </c>
      <c r="N321" s="52" t="s">
        <v>461</v>
      </c>
      <c r="O321" s="52" t="s">
        <v>502</v>
      </c>
      <c r="Q321" s="52">
        <v>941000031683858</v>
      </c>
      <c r="R321" s="52" t="s">
        <v>443</v>
      </c>
      <c r="S321" s="52" t="s">
        <v>885</v>
      </c>
      <c r="T321" s="53">
        <v>45874</v>
      </c>
      <c r="V321" s="53">
        <v>45971.487500000003</v>
      </c>
      <c r="W321" s="52" t="s">
        <v>892</v>
      </c>
      <c r="X321" s="53">
        <v>45966.487500000003</v>
      </c>
      <c r="Y321" s="52">
        <v>26.2</v>
      </c>
      <c r="AA321" s="52">
        <v>1</v>
      </c>
      <c r="AB321" s="52" t="s">
        <v>3058</v>
      </c>
      <c r="AC321" s="52" t="s">
        <v>41</v>
      </c>
      <c r="AE321" s="52">
        <v>2</v>
      </c>
      <c r="AF321" s="52" t="s">
        <v>41</v>
      </c>
      <c r="AK321" s="52">
        <v>377</v>
      </c>
    </row>
    <row r="322" spans="1:37" x14ac:dyDescent="0.2">
      <c r="A322" s="52" t="s">
        <v>2134</v>
      </c>
      <c r="B322" s="52" t="s">
        <v>3442</v>
      </c>
      <c r="C322" s="52">
        <v>22</v>
      </c>
      <c r="D322" s="52" t="s">
        <v>2402</v>
      </c>
      <c r="E322" s="52" t="s">
        <v>2403</v>
      </c>
      <c r="F322" s="52" t="s">
        <v>443</v>
      </c>
      <c r="G322" s="52" t="s">
        <v>34</v>
      </c>
      <c r="H322" s="52" t="s">
        <v>3280</v>
      </c>
      <c r="I322" s="52" t="s">
        <v>897</v>
      </c>
      <c r="K322" s="52" t="s">
        <v>884</v>
      </c>
      <c r="L322" s="52" t="s">
        <v>922</v>
      </c>
      <c r="M322" s="52" t="s">
        <v>890</v>
      </c>
      <c r="N322" s="52" t="s">
        <v>461</v>
      </c>
      <c r="O322" s="52" t="s">
        <v>502</v>
      </c>
      <c r="Q322" s="52">
        <v>941000031683967</v>
      </c>
      <c r="R322" s="52" t="s">
        <v>443</v>
      </c>
      <c r="S322" s="52" t="s">
        <v>885</v>
      </c>
      <c r="T322" s="53">
        <v>45874</v>
      </c>
      <c r="V322" s="53">
        <v>45971.487500000003</v>
      </c>
      <c r="W322" s="52" t="s">
        <v>892</v>
      </c>
      <c r="X322" s="53">
        <v>45966.487500000003</v>
      </c>
      <c r="Y322" s="52">
        <v>26.2</v>
      </c>
      <c r="AA322" s="52">
        <v>1</v>
      </c>
      <c r="AB322" s="52" t="s">
        <v>3059</v>
      </c>
      <c r="AC322" s="52" t="s">
        <v>41</v>
      </c>
      <c r="AE322" s="52">
        <v>2</v>
      </c>
      <c r="AF322" s="52" t="s">
        <v>41</v>
      </c>
      <c r="AK322" s="52">
        <v>377</v>
      </c>
    </row>
    <row r="323" spans="1:37" x14ac:dyDescent="0.2">
      <c r="A323" s="52" t="s">
        <v>2134</v>
      </c>
      <c r="B323" s="52" t="s">
        <v>3442</v>
      </c>
      <c r="C323" s="52">
        <v>22</v>
      </c>
      <c r="D323" s="52" t="s">
        <v>806</v>
      </c>
      <c r="E323" s="52" t="s">
        <v>805</v>
      </c>
      <c r="F323" s="52" t="s">
        <v>443</v>
      </c>
      <c r="G323" s="52" t="s">
        <v>34</v>
      </c>
      <c r="H323" s="52" t="s">
        <v>3443</v>
      </c>
      <c r="I323" s="52" t="s">
        <v>894</v>
      </c>
      <c r="K323" s="52" t="s">
        <v>884</v>
      </c>
      <c r="L323" s="52" t="s">
        <v>887</v>
      </c>
      <c r="M323" s="52" t="s">
        <v>886</v>
      </c>
      <c r="N323" s="52" t="s">
        <v>461</v>
      </c>
      <c r="O323" s="52" t="s">
        <v>502</v>
      </c>
      <c r="Q323" s="52">
        <v>941000031684158</v>
      </c>
      <c r="R323" s="52" t="s">
        <v>443</v>
      </c>
      <c r="S323" s="52" t="s">
        <v>885</v>
      </c>
      <c r="T323" s="53">
        <v>44835</v>
      </c>
      <c r="V323" s="53">
        <v>45920.652777777781</v>
      </c>
      <c r="W323" s="52" t="s">
        <v>892</v>
      </c>
      <c r="X323" s="53">
        <v>45915.652777777781</v>
      </c>
      <c r="Y323" s="52">
        <v>77</v>
      </c>
      <c r="AA323" s="52">
        <v>2</v>
      </c>
      <c r="AB323" s="52" t="s">
        <v>2003</v>
      </c>
      <c r="AC323" s="52" t="s">
        <v>41</v>
      </c>
      <c r="AE323" s="52">
        <v>1</v>
      </c>
      <c r="AF323" s="52" t="s">
        <v>41</v>
      </c>
      <c r="AK323" s="52">
        <v>377</v>
      </c>
    </row>
    <row r="324" spans="1:37" x14ac:dyDescent="0.2">
      <c r="A324" s="52" t="s">
        <v>2134</v>
      </c>
      <c r="B324" s="52" t="s">
        <v>3442</v>
      </c>
      <c r="C324" s="52">
        <v>22</v>
      </c>
      <c r="D324" s="52" t="s">
        <v>808</v>
      </c>
      <c r="E324" s="52" t="s">
        <v>807</v>
      </c>
      <c r="F324" s="52" t="s">
        <v>443</v>
      </c>
      <c r="G324" s="52" t="s">
        <v>34</v>
      </c>
      <c r="H324" s="52" t="s">
        <v>3282</v>
      </c>
      <c r="I324" s="52" t="s">
        <v>894</v>
      </c>
      <c r="K324" s="52" t="s">
        <v>884</v>
      </c>
      <c r="L324" s="52" t="s">
        <v>887</v>
      </c>
      <c r="M324" s="52" t="s">
        <v>886</v>
      </c>
      <c r="N324" s="52" t="s">
        <v>731</v>
      </c>
      <c r="O324" s="52" t="s">
        <v>502</v>
      </c>
      <c r="R324" s="52" t="s">
        <v>443</v>
      </c>
      <c r="S324" s="52" t="s">
        <v>885</v>
      </c>
      <c r="T324" s="53">
        <v>45901</v>
      </c>
      <c r="V324" s="53">
        <v>45920.652777777781</v>
      </c>
      <c r="W324" s="52" t="s">
        <v>884</v>
      </c>
      <c r="X324" s="53">
        <v>45915.652777777781</v>
      </c>
      <c r="Y324" s="52">
        <v>77</v>
      </c>
      <c r="AA324" s="52">
        <v>2</v>
      </c>
      <c r="AB324" s="52" t="s">
        <v>2135</v>
      </c>
      <c r="AC324" s="52" t="s">
        <v>41</v>
      </c>
      <c r="AE324" s="52">
        <v>2</v>
      </c>
      <c r="AF324" s="52" t="s">
        <v>41</v>
      </c>
      <c r="AK324" s="52">
        <v>377</v>
      </c>
    </row>
    <row r="325" spans="1:37" x14ac:dyDescent="0.2">
      <c r="A325" s="52" t="s">
        <v>2134</v>
      </c>
      <c r="B325" s="52" t="s">
        <v>3442</v>
      </c>
      <c r="C325" s="52">
        <v>22</v>
      </c>
      <c r="D325" s="52" t="s">
        <v>809</v>
      </c>
      <c r="E325" s="52" t="s">
        <v>2693</v>
      </c>
      <c r="F325" s="52" t="s">
        <v>443</v>
      </c>
      <c r="G325" s="52" t="s">
        <v>34</v>
      </c>
      <c r="H325" s="52" t="s">
        <v>3282</v>
      </c>
      <c r="I325" s="52" t="s">
        <v>894</v>
      </c>
      <c r="K325" s="52" t="s">
        <v>884</v>
      </c>
      <c r="L325" s="52" t="s">
        <v>887</v>
      </c>
      <c r="M325" s="52" t="s">
        <v>890</v>
      </c>
      <c r="N325" s="52" t="s">
        <v>461</v>
      </c>
      <c r="O325" s="52" t="s">
        <v>502</v>
      </c>
      <c r="Q325" s="52">
        <v>941000031683830</v>
      </c>
      <c r="R325" s="52" t="s">
        <v>443</v>
      </c>
      <c r="S325" s="52" t="s">
        <v>885</v>
      </c>
      <c r="T325" s="53">
        <v>45901</v>
      </c>
      <c r="V325" s="53">
        <v>45920.657638888886</v>
      </c>
      <c r="W325" s="52" t="s">
        <v>892</v>
      </c>
      <c r="X325" s="53">
        <v>45915.657638888886</v>
      </c>
      <c r="Y325" s="52">
        <v>77</v>
      </c>
      <c r="AA325" s="52">
        <v>2</v>
      </c>
      <c r="AB325" s="52" t="s">
        <v>2090</v>
      </c>
      <c r="AC325" s="52" t="s">
        <v>41</v>
      </c>
      <c r="AE325" s="52">
        <v>2</v>
      </c>
      <c r="AF325" s="52" t="s">
        <v>41</v>
      </c>
      <c r="AK325" s="52">
        <v>377</v>
      </c>
    </row>
    <row r="326" spans="1:37" x14ac:dyDescent="0.2">
      <c r="A326" s="52" t="s">
        <v>2134</v>
      </c>
      <c r="B326" s="52" t="s">
        <v>3442</v>
      </c>
      <c r="C326" s="52">
        <v>22</v>
      </c>
      <c r="D326" s="52" t="s">
        <v>811</v>
      </c>
      <c r="E326" s="52" t="s">
        <v>810</v>
      </c>
      <c r="F326" s="52" t="s">
        <v>443</v>
      </c>
      <c r="G326" s="52" t="s">
        <v>34</v>
      </c>
      <c r="H326" s="52" t="s">
        <v>3282</v>
      </c>
      <c r="I326" s="52" t="s">
        <v>2019</v>
      </c>
      <c r="K326" s="52" t="s">
        <v>884</v>
      </c>
      <c r="L326" s="52" t="s">
        <v>887</v>
      </c>
      <c r="M326" s="52" t="s">
        <v>890</v>
      </c>
      <c r="N326" s="52" t="s">
        <v>461</v>
      </c>
      <c r="O326" s="52" t="s">
        <v>502</v>
      </c>
      <c r="Q326" s="52">
        <v>941000031683788</v>
      </c>
      <c r="R326" s="52" t="s">
        <v>443</v>
      </c>
      <c r="S326" s="52" t="s">
        <v>885</v>
      </c>
      <c r="T326" s="53">
        <v>45901</v>
      </c>
      <c r="V326" s="53">
        <v>45920.657638888886</v>
      </c>
      <c r="W326" s="52" t="s">
        <v>892</v>
      </c>
      <c r="X326" s="53">
        <v>45915.657638888886</v>
      </c>
      <c r="Y326" s="52">
        <v>77</v>
      </c>
      <c r="AA326" s="52">
        <v>2</v>
      </c>
      <c r="AB326" s="52" t="s">
        <v>2090</v>
      </c>
      <c r="AC326" s="52" t="s">
        <v>41</v>
      </c>
      <c r="AE326" s="52">
        <v>2</v>
      </c>
      <c r="AF326" s="52" t="s">
        <v>41</v>
      </c>
      <c r="AK326" s="52">
        <v>377</v>
      </c>
    </row>
    <row r="327" spans="1:37" x14ac:dyDescent="0.2">
      <c r="A327" s="52" t="s">
        <v>2134</v>
      </c>
      <c r="B327" s="52" t="s">
        <v>3442</v>
      </c>
      <c r="C327" s="52">
        <v>22</v>
      </c>
      <c r="D327" s="52" t="s">
        <v>813</v>
      </c>
      <c r="E327" s="52" t="s">
        <v>812</v>
      </c>
      <c r="F327" s="52" t="s">
        <v>443</v>
      </c>
      <c r="G327" s="52" t="s">
        <v>34</v>
      </c>
      <c r="H327" s="52" t="s">
        <v>3282</v>
      </c>
      <c r="I327" s="52" t="s">
        <v>894</v>
      </c>
      <c r="J327" s="52" t="s">
        <v>884</v>
      </c>
      <c r="K327" s="52" t="s">
        <v>884</v>
      </c>
      <c r="L327" s="52" t="s">
        <v>887</v>
      </c>
      <c r="M327" s="52" t="s">
        <v>890</v>
      </c>
      <c r="N327" s="52" t="s">
        <v>461</v>
      </c>
      <c r="O327" s="52" t="s">
        <v>502</v>
      </c>
      <c r="Q327" s="52">
        <v>941000031683504</v>
      </c>
      <c r="R327" s="52" t="s">
        <v>443</v>
      </c>
      <c r="S327" s="52" t="s">
        <v>885</v>
      </c>
      <c r="T327" s="53">
        <v>45901</v>
      </c>
      <c r="V327" s="53">
        <v>45920.657638888886</v>
      </c>
      <c r="W327" s="52" t="s">
        <v>892</v>
      </c>
      <c r="X327" s="53">
        <v>45915.657638888886</v>
      </c>
      <c r="Y327" s="52">
        <v>77</v>
      </c>
      <c r="AA327" s="52">
        <v>2</v>
      </c>
      <c r="AB327" s="52" t="s">
        <v>2090</v>
      </c>
      <c r="AC327" s="52" t="s">
        <v>41</v>
      </c>
      <c r="AE327" s="52">
        <v>2</v>
      </c>
      <c r="AF327" s="52" t="s">
        <v>41</v>
      </c>
      <c r="AK327" s="52">
        <v>377</v>
      </c>
    </row>
    <row r="328" spans="1:37" x14ac:dyDescent="0.2">
      <c r="A328" s="52" t="s">
        <v>2134</v>
      </c>
      <c r="B328" s="52" t="s">
        <v>3442</v>
      </c>
      <c r="C328" s="52">
        <v>22</v>
      </c>
      <c r="D328" s="52" t="s">
        <v>1852</v>
      </c>
      <c r="E328" s="52" t="s">
        <v>1853</v>
      </c>
      <c r="F328" s="52" t="s">
        <v>443</v>
      </c>
      <c r="G328" s="52" t="s">
        <v>34</v>
      </c>
      <c r="H328" s="52" t="s">
        <v>2977</v>
      </c>
      <c r="I328" s="52" t="s">
        <v>897</v>
      </c>
      <c r="K328" s="52" t="s">
        <v>884</v>
      </c>
      <c r="L328" s="52" t="s">
        <v>922</v>
      </c>
      <c r="M328" s="52" t="s">
        <v>886</v>
      </c>
      <c r="N328" s="52" t="s">
        <v>731</v>
      </c>
      <c r="O328" s="52" t="s">
        <v>502</v>
      </c>
      <c r="R328" s="52" t="s">
        <v>443</v>
      </c>
      <c r="S328" s="52" t="s">
        <v>885</v>
      </c>
      <c r="T328" s="53">
        <v>45910</v>
      </c>
      <c r="V328" s="53">
        <v>45956.593055555553</v>
      </c>
      <c r="W328" s="52" t="s">
        <v>884</v>
      </c>
      <c r="X328" s="53">
        <v>45951.593055555553</v>
      </c>
      <c r="Y328" s="52">
        <v>41.1</v>
      </c>
      <c r="AA328" s="52">
        <v>3</v>
      </c>
      <c r="AB328" s="52" t="s">
        <v>2137</v>
      </c>
      <c r="AC328" s="52" t="s">
        <v>41</v>
      </c>
      <c r="AE328" s="52">
        <v>2</v>
      </c>
      <c r="AF328" s="52" t="s">
        <v>41</v>
      </c>
      <c r="AK328" s="52">
        <v>377</v>
      </c>
    </row>
    <row r="329" spans="1:37" x14ac:dyDescent="0.2">
      <c r="A329" s="52" t="s">
        <v>2134</v>
      </c>
      <c r="B329" s="52" t="s">
        <v>3442</v>
      </c>
      <c r="C329" s="52">
        <v>22</v>
      </c>
      <c r="D329" s="52" t="s">
        <v>1850</v>
      </c>
      <c r="E329" s="52" t="s">
        <v>1851</v>
      </c>
      <c r="F329" s="52" t="s">
        <v>443</v>
      </c>
      <c r="G329" s="52" t="s">
        <v>34</v>
      </c>
      <c r="H329" s="52" t="s">
        <v>2977</v>
      </c>
      <c r="I329" s="52" t="s">
        <v>897</v>
      </c>
      <c r="K329" s="52" t="s">
        <v>884</v>
      </c>
      <c r="L329" s="52" t="s">
        <v>922</v>
      </c>
      <c r="M329" s="52" t="s">
        <v>890</v>
      </c>
      <c r="N329" s="52" t="s">
        <v>731</v>
      </c>
      <c r="O329" s="52" t="s">
        <v>502</v>
      </c>
      <c r="R329" s="52" t="s">
        <v>443</v>
      </c>
      <c r="S329" s="52" t="s">
        <v>885</v>
      </c>
      <c r="T329" s="53">
        <v>45910</v>
      </c>
      <c r="V329" s="53">
        <v>45956.593055555553</v>
      </c>
      <c r="W329" s="52" t="s">
        <v>884</v>
      </c>
      <c r="X329" s="53">
        <v>45951.593055555553</v>
      </c>
      <c r="Y329" s="52">
        <v>41.1</v>
      </c>
      <c r="AA329" s="52">
        <v>3</v>
      </c>
      <c r="AB329" s="52" t="s">
        <v>2138</v>
      </c>
      <c r="AC329" s="52" t="s">
        <v>41</v>
      </c>
      <c r="AE329" s="52">
        <v>2</v>
      </c>
      <c r="AF329" s="52" t="s">
        <v>41</v>
      </c>
      <c r="AK329" s="52">
        <v>377</v>
      </c>
    </row>
    <row r="330" spans="1:37" x14ac:dyDescent="0.2">
      <c r="A330" s="52" t="s">
        <v>2134</v>
      </c>
      <c r="B330" s="52" t="s">
        <v>3442</v>
      </c>
      <c r="C330" s="52">
        <v>22</v>
      </c>
      <c r="D330" s="52" t="s">
        <v>1848</v>
      </c>
      <c r="E330" s="52" t="s">
        <v>1849</v>
      </c>
      <c r="F330" s="52" t="s">
        <v>443</v>
      </c>
      <c r="G330" s="52" t="s">
        <v>34</v>
      </c>
      <c r="H330" s="52" t="s">
        <v>2977</v>
      </c>
      <c r="I330" s="52" t="s">
        <v>1999</v>
      </c>
      <c r="K330" s="52" t="s">
        <v>884</v>
      </c>
      <c r="L330" s="52" t="s">
        <v>922</v>
      </c>
      <c r="M330" s="52" t="s">
        <v>890</v>
      </c>
      <c r="N330" s="52" t="s">
        <v>461</v>
      </c>
      <c r="O330" s="52" t="s">
        <v>502</v>
      </c>
      <c r="Q330" s="52">
        <v>941000031684107</v>
      </c>
      <c r="R330" s="52" t="s">
        <v>443</v>
      </c>
      <c r="S330" s="52" t="s">
        <v>885</v>
      </c>
      <c r="T330" s="53">
        <v>45910</v>
      </c>
      <c r="V330" s="53">
        <v>45956.593055555553</v>
      </c>
      <c r="W330" s="52" t="s">
        <v>892</v>
      </c>
      <c r="X330" s="53">
        <v>45951.593055555553</v>
      </c>
      <c r="Y330" s="52">
        <v>41.1</v>
      </c>
      <c r="AA330" s="52">
        <v>3</v>
      </c>
      <c r="AB330" s="52" t="s">
        <v>2139</v>
      </c>
      <c r="AC330" s="52" t="s">
        <v>41</v>
      </c>
      <c r="AE330" s="52">
        <v>2</v>
      </c>
      <c r="AF330" s="52" t="s">
        <v>41</v>
      </c>
      <c r="AK330" s="52">
        <v>377</v>
      </c>
    </row>
    <row r="331" spans="1:37" x14ac:dyDescent="0.2">
      <c r="A331" s="52" t="s">
        <v>2134</v>
      </c>
      <c r="B331" s="52" t="s">
        <v>3442</v>
      </c>
      <c r="C331" s="52">
        <v>22</v>
      </c>
      <c r="D331" s="52" t="s">
        <v>1846</v>
      </c>
      <c r="E331" s="52" t="s">
        <v>1847</v>
      </c>
      <c r="F331" s="52" t="s">
        <v>443</v>
      </c>
      <c r="G331" s="52" t="s">
        <v>34</v>
      </c>
      <c r="H331" s="52" t="s">
        <v>2977</v>
      </c>
      <c r="I331" s="52" t="s">
        <v>1999</v>
      </c>
      <c r="K331" s="52" t="s">
        <v>884</v>
      </c>
      <c r="L331" s="52" t="s">
        <v>922</v>
      </c>
      <c r="M331" s="52" t="s">
        <v>890</v>
      </c>
      <c r="N331" s="52" t="s">
        <v>461</v>
      </c>
      <c r="O331" s="52" t="s">
        <v>502</v>
      </c>
      <c r="Q331" s="52">
        <v>941000031683667</v>
      </c>
      <c r="R331" s="52" t="s">
        <v>443</v>
      </c>
      <c r="S331" s="52" t="s">
        <v>885</v>
      </c>
      <c r="T331" s="53">
        <v>45910</v>
      </c>
      <c r="V331" s="53">
        <v>45956.593055555553</v>
      </c>
      <c r="W331" s="52" t="s">
        <v>892</v>
      </c>
      <c r="X331" s="53">
        <v>45951.593055555553</v>
      </c>
      <c r="Y331" s="52">
        <v>41.1</v>
      </c>
      <c r="AA331" s="52">
        <v>3</v>
      </c>
      <c r="AB331" s="52" t="s">
        <v>2140</v>
      </c>
      <c r="AC331" s="52" t="s">
        <v>41</v>
      </c>
      <c r="AE331" s="52">
        <v>2</v>
      </c>
      <c r="AF331" s="52" t="s">
        <v>41</v>
      </c>
      <c r="AK331" s="52">
        <v>377</v>
      </c>
    </row>
    <row r="332" spans="1:37" x14ac:dyDescent="0.2">
      <c r="A332" s="52" t="s">
        <v>2134</v>
      </c>
      <c r="B332" s="52" t="s">
        <v>3442</v>
      </c>
      <c r="C332" s="52">
        <v>22</v>
      </c>
      <c r="D332" s="52" t="s">
        <v>2369</v>
      </c>
      <c r="E332" s="52" t="s">
        <v>3444</v>
      </c>
      <c r="F332" s="52" t="s">
        <v>443</v>
      </c>
      <c r="G332" s="52" t="s">
        <v>34</v>
      </c>
      <c r="H332" s="52" t="s">
        <v>3445</v>
      </c>
      <c r="I332" s="52" t="s">
        <v>1999</v>
      </c>
      <c r="K332" s="52" t="s">
        <v>884</v>
      </c>
      <c r="L332" s="52" t="s">
        <v>922</v>
      </c>
      <c r="M332" s="52" t="s">
        <v>890</v>
      </c>
      <c r="N332" s="52" t="s">
        <v>461</v>
      </c>
      <c r="O332" s="52" t="s">
        <v>502</v>
      </c>
      <c r="Q332" s="52">
        <v>941000031684118</v>
      </c>
      <c r="R332" s="52" t="s">
        <v>443</v>
      </c>
      <c r="S332" s="52" t="s">
        <v>885</v>
      </c>
      <c r="T332" s="53">
        <v>45797</v>
      </c>
      <c r="V332" s="53">
        <v>45973.580555555556</v>
      </c>
      <c r="W332" s="52" t="s">
        <v>892</v>
      </c>
      <c r="X332" s="53">
        <v>45968.580555555556</v>
      </c>
      <c r="Y332" s="52">
        <v>24.1</v>
      </c>
      <c r="AA332" s="52" t="s">
        <v>1837</v>
      </c>
      <c r="AB332" s="52" t="s">
        <v>2057</v>
      </c>
      <c r="AC332" s="52" t="s">
        <v>41</v>
      </c>
      <c r="AE332" s="52">
        <v>2</v>
      </c>
      <c r="AF332" s="52" t="s">
        <v>41</v>
      </c>
      <c r="AK332" s="52">
        <v>377</v>
      </c>
    </row>
    <row r="333" spans="1:37" x14ac:dyDescent="0.2">
      <c r="A333" s="52" t="s">
        <v>2134</v>
      </c>
      <c r="B333" s="52" t="s">
        <v>3442</v>
      </c>
      <c r="C333" s="52">
        <v>22</v>
      </c>
      <c r="D333" s="52" t="s">
        <v>2367</v>
      </c>
      <c r="E333" s="52" t="s">
        <v>3446</v>
      </c>
      <c r="F333" s="52" t="s">
        <v>443</v>
      </c>
      <c r="G333" s="52" t="s">
        <v>34</v>
      </c>
      <c r="H333" s="52" t="s">
        <v>3445</v>
      </c>
      <c r="I333" s="52" t="s">
        <v>2039</v>
      </c>
      <c r="K333" s="52" t="s">
        <v>884</v>
      </c>
      <c r="L333" s="52" t="s">
        <v>922</v>
      </c>
      <c r="M333" s="52" t="s">
        <v>890</v>
      </c>
      <c r="N333" s="52" t="s">
        <v>461</v>
      </c>
      <c r="O333" s="52" t="s">
        <v>502</v>
      </c>
      <c r="Q333" s="52">
        <v>941000031683890</v>
      </c>
      <c r="R333" s="52" t="s">
        <v>443</v>
      </c>
      <c r="S333" s="52" t="s">
        <v>885</v>
      </c>
      <c r="T333" s="53">
        <v>45797</v>
      </c>
      <c r="V333" s="53">
        <v>45973.580555555556</v>
      </c>
      <c r="W333" s="52" t="s">
        <v>892</v>
      </c>
      <c r="X333" s="53">
        <v>45968.580555555556</v>
      </c>
      <c r="Y333" s="52">
        <v>24.1</v>
      </c>
      <c r="AA333" s="52" t="s">
        <v>1837</v>
      </c>
      <c r="AB333" s="52" t="s">
        <v>3400</v>
      </c>
      <c r="AC333" s="52" t="s">
        <v>41</v>
      </c>
      <c r="AE333" s="52">
        <v>2</v>
      </c>
      <c r="AF333" s="52" t="s">
        <v>41</v>
      </c>
      <c r="AK333" s="52">
        <v>377</v>
      </c>
    </row>
    <row r="334" spans="1:37" x14ac:dyDescent="0.2">
      <c r="A334" s="52" t="s">
        <v>2134</v>
      </c>
      <c r="B334" s="52" t="s">
        <v>3442</v>
      </c>
      <c r="C334" s="52">
        <v>22</v>
      </c>
      <c r="D334" s="52" t="s">
        <v>2364</v>
      </c>
      <c r="E334" s="52" t="s">
        <v>3447</v>
      </c>
      <c r="F334" s="52" t="s">
        <v>443</v>
      </c>
      <c r="G334" s="52" t="s">
        <v>34</v>
      </c>
      <c r="H334" s="52" t="s">
        <v>3445</v>
      </c>
      <c r="I334" s="52" t="s">
        <v>935</v>
      </c>
      <c r="K334" s="52" t="s">
        <v>884</v>
      </c>
      <c r="L334" s="52" t="s">
        <v>922</v>
      </c>
      <c r="M334" s="52" t="s">
        <v>886</v>
      </c>
      <c r="N334" s="52" t="s">
        <v>461</v>
      </c>
      <c r="O334" s="52" t="s">
        <v>502</v>
      </c>
      <c r="Q334" s="52">
        <v>941000031684395</v>
      </c>
      <c r="R334" s="52" t="s">
        <v>443</v>
      </c>
      <c r="S334" s="52" t="s">
        <v>885</v>
      </c>
      <c r="T334" s="53">
        <v>45797</v>
      </c>
      <c r="U334" s="52" t="s">
        <v>2013</v>
      </c>
      <c r="V334" s="53">
        <v>45973.580555555556</v>
      </c>
      <c r="W334" s="52" t="s">
        <v>892</v>
      </c>
      <c r="X334" s="53">
        <v>45968.580555555556</v>
      </c>
      <c r="Y334" s="52">
        <v>24.1</v>
      </c>
      <c r="AA334" s="52" t="s">
        <v>1837</v>
      </c>
      <c r="AB334" s="52" t="s">
        <v>3448</v>
      </c>
      <c r="AC334" s="52" t="s">
        <v>41</v>
      </c>
      <c r="AE334" s="52">
        <v>2</v>
      </c>
      <c r="AF334" s="52" t="s">
        <v>41</v>
      </c>
      <c r="AK334" s="52">
        <v>377</v>
      </c>
    </row>
    <row r="335" spans="1:37" x14ac:dyDescent="0.2">
      <c r="A335" s="52" t="s">
        <v>2134</v>
      </c>
      <c r="B335" s="52" t="s">
        <v>3442</v>
      </c>
      <c r="C335" s="52">
        <v>22</v>
      </c>
      <c r="D335" s="52" t="s">
        <v>1843</v>
      </c>
      <c r="E335" s="52" t="s">
        <v>3449</v>
      </c>
      <c r="F335" s="52" t="s">
        <v>443</v>
      </c>
      <c r="G335" s="52" t="s">
        <v>34</v>
      </c>
      <c r="H335" s="52" t="s">
        <v>3450</v>
      </c>
      <c r="I335" s="52" t="s">
        <v>2030</v>
      </c>
      <c r="K335" s="52" t="s">
        <v>884</v>
      </c>
      <c r="L335" s="52" t="s">
        <v>922</v>
      </c>
      <c r="M335" s="52" t="s">
        <v>890</v>
      </c>
      <c r="N335" s="52" t="s">
        <v>494</v>
      </c>
      <c r="O335" s="52" t="s">
        <v>502</v>
      </c>
      <c r="R335" s="52" t="s">
        <v>443</v>
      </c>
      <c r="S335" s="52" t="s">
        <v>885</v>
      </c>
      <c r="T335" s="53">
        <v>44890</v>
      </c>
      <c r="V335" s="53">
        <v>45956.646527777775</v>
      </c>
      <c r="W335" s="52" t="s">
        <v>884</v>
      </c>
      <c r="X335" s="53">
        <v>45951.646527777775</v>
      </c>
      <c r="Y335" s="52">
        <v>41</v>
      </c>
      <c r="AA335" s="52" t="s">
        <v>501</v>
      </c>
      <c r="AB335" s="52" t="s">
        <v>2036</v>
      </c>
      <c r="AC335" s="52" t="s">
        <v>41</v>
      </c>
      <c r="AE335" s="52">
        <v>1</v>
      </c>
      <c r="AF335" s="52" t="s">
        <v>41</v>
      </c>
      <c r="AK335" s="52">
        <v>377</v>
      </c>
    </row>
    <row r="336" spans="1:37" x14ac:dyDescent="0.2">
      <c r="A336" s="52" t="s">
        <v>2134</v>
      </c>
      <c r="B336" s="52" t="s">
        <v>3442</v>
      </c>
      <c r="C336" s="52">
        <v>22</v>
      </c>
      <c r="D336" s="52" t="s">
        <v>2356</v>
      </c>
      <c r="E336" s="52" t="s">
        <v>3451</v>
      </c>
      <c r="F336" s="52" t="s">
        <v>443</v>
      </c>
      <c r="G336" s="52" t="s">
        <v>34</v>
      </c>
      <c r="H336" s="52" t="s">
        <v>3445</v>
      </c>
      <c r="I336" s="52" t="s">
        <v>1999</v>
      </c>
      <c r="K336" s="52" t="s">
        <v>884</v>
      </c>
      <c r="L336" s="52" t="s">
        <v>887</v>
      </c>
      <c r="M336" s="52" t="s">
        <v>890</v>
      </c>
      <c r="N336" s="52" t="s">
        <v>494</v>
      </c>
      <c r="O336" s="52" t="s">
        <v>502</v>
      </c>
      <c r="R336" s="52" t="s">
        <v>443</v>
      </c>
      <c r="S336" s="52" t="s">
        <v>885</v>
      </c>
      <c r="T336" s="53">
        <v>45797</v>
      </c>
      <c r="V336" s="53">
        <v>45975.574305555558</v>
      </c>
      <c r="W336" s="52" t="s">
        <v>892</v>
      </c>
      <c r="X336" s="53">
        <v>45970.574305555558</v>
      </c>
      <c r="Y336" s="52">
        <v>22.1</v>
      </c>
      <c r="AA336" s="52" t="s">
        <v>501</v>
      </c>
      <c r="AB336" s="52" t="s">
        <v>3452</v>
      </c>
      <c r="AC336" s="52" t="s">
        <v>41</v>
      </c>
      <c r="AE336" s="52">
        <v>1</v>
      </c>
      <c r="AF336" s="52" t="s">
        <v>41</v>
      </c>
      <c r="AK336" s="52">
        <v>377</v>
      </c>
    </row>
    <row r="337" spans="1:37" x14ac:dyDescent="0.2">
      <c r="A337" s="52" t="s">
        <v>2134</v>
      </c>
      <c r="B337" s="52" t="s">
        <v>3442</v>
      </c>
      <c r="C337" s="52">
        <v>22</v>
      </c>
      <c r="D337" s="52" t="s">
        <v>2347</v>
      </c>
      <c r="E337" s="52" t="s">
        <v>3453</v>
      </c>
      <c r="F337" s="52" t="s">
        <v>443</v>
      </c>
      <c r="G337" s="52" t="s">
        <v>34</v>
      </c>
      <c r="H337" s="52" t="s">
        <v>3454</v>
      </c>
      <c r="I337" s="52" t="s">
        <v>935</v>
      </c>
      <c r="K337" s="52" t="s">
        <v>884</v>
      </c>
      <c r="L337" s="52" t="s">
        <v>922</v>
      </c>
      <c r="M337" s="52" t="s">
        <v>886</v>
      </c>
      <c r="N337" s="52" t="s">
        <v>461</v>
      </c>
      <c r="O337" s="52" t="s">
        <v>502</v>
      </c>
      <c r="Q337" s="52">
        <v>941000031684111</v>
      </c>
      <c r="R337" s="52" t="s">
        <v>443</v>
      </c>
      <c r="S337" s="52" t="s">
        <v>885</v>
      </c>
      <c r="T337" s="53">
        <v>45858</v>
      </c>
      <c r="U337" s="52" t="s">
        <v>2013</v>
      </c>
      <c r="V337" s="53">
        <v>45976.501388888886</v>
      </c>
      <c r="W337" s="52" t="s">
        <v>892</v>
      </c>
      <c r="X337" s="53">
        <v>45971.501388888886</v>
      </c>
      <c r="Y337" s="52">
        <v>21.2</v>
      </c>
      <c r="AA337" s="52" t="s">
        <v>501</v>
      </c>
      <c r="AB337" s="52" t="s">
        <v>3406</v>
      </c>
      <c r="AC337" s="52" t="s">
        <v>41</v>
      </c>
      <c r="AE337" s="52">
        <v>1</v>
      </c>
      <c r="AF337" s="52" t="s">
        <v>41</v>
      </c>
      <c r="AK337" s="52">
        <v>377</v>
      </c>
    </row>
    <row r="338" spans="1:37" x14ac:dyDescent="0.2">
      <c r="A338" s="52" t="s">
        <v>2134</v>
      </c>
      <c r="B338" s="52" t="s">
        <v>3442</v>
      </c>
      <c r="C338" s="52">
        <v>22</v>
      </c>
      <c r="D338" s="52" t="s">
        <v>2383</v>
      </c>
      <c r="E338" s="52" t="s">
        <v>3455</v>
      </c>
      <c r="F338" s="52" t="s">
        <v>443</v>
      </c>
      <c r="G338" s="52" t="s">
        <v>34</v>
      </c>
      <c r="H338" s="52" t="s">
        <v>3409</v>
      </c>
      <c r="I338" s="52" t="s">
        <v>897</v>
      </c>
      <c r="K338" s="52" t="s">
        <v>884</v>
      </c>
      <c r="L338" s="52" t="s">
        <v>922</v>
      </c>
      <c r="M338" s="52" t="s">
        <v>890</v>
      </c>
      <c r="N338" s="52" t="s">
        <v>494</v>
      </c>
      <c r="O338" s="52" t="s">
        <v>502</v>
      </c>
      <c r="R338" s="52" t="s">
        <v>443</v>
      </c>
      <c r="S338" s="52" t="s">
        <v>885</v>
      </c>
      <c r="T338" s="53">
        <v>45255</v>
      </c>
      <c r="V338" s="53">
        <v>45972.59375</v>
      </c>
      <c r="W338" s="52" t="s">
        <v>892</v>
      </c>
      <c r="X338" s="53">
        <v>45967.59375</v>
      </c>
      <c r="Y338" s="52">
        <v>25.1</v>
      </c>
      <c r="AA338" s="52" t="s">
        <v>778</v>
      </c>
      <c r="AC338" s="52" t="s">
        <v>41</v>
      </c>
      <c r="AE338" s="52">
        <v>2</v>
      </c>
      <c r="AF338" s="52" t="s">
        <v>41</v>
      </c>
      <c r="AK338" s="52">
        <v>377</v>
      </c>
    </row>
    <row r="339" spans="1:37" x14ac:dyDescent="0.2">
      <c r="A339" s="52" t="s">
        <v>2134</v>
      </c>
      <c r="B339" s="52" t="s">
        <v>3442</v>
      </c>
      <c r="C339" s="52">
        <v>22</v>
      </c>
      <c r="D339" s="52" t="s">
        <v>2381</v>
      </c>
      <c r="E339" s="52" t="s">
        <v>3455</v>
      </c>
      <c r="F339" s="52" t="s">
        <v>443</v>
      </c>
      <c r="G339" s="52" t="s">
        <v>34</v>
      </c>
      <c r="H339" s="52" t="s">
        <v>3409</v>
      </c>
      <c r="I339" s="52" t="s">
        <v>923</v>
      </c>
      <c r="K339" s="52" t="s">
        <v>884</v>
      </c>
      <c r="L339" s="52" t="s">
        <v>922</v>
      </c>
      <c r="M339" s="52" t="s">
        <v>890</v>
      </c>
      <c r="N339" s="52" t="s">
        <v>494</v>
      </c>
      <c r="O339" s="52" t="s">
        <v>502</v>
      </c>
      <c r="R339" s="52" t="s">
        <v>443</v>
      </c>
      <c r="S339" s="52" t="s">
        <v>885</v>
      </c>
      <c r="T339" s="53">
        <v>45255</v>
      </c>
      <c r="V339" s="53">
        <v>45972.59375</v>
      </c>
      <c r="W339" s="52" t="s">
        <v>892</v>
      </c>
      <c r="X339" s="53">
        <v>45967.59375</v>
      </c>
      <c r="Y339" s="52">
        <v>25.1</v>
      </c>
      <c r="AA339" s="52" t="s">
        <v>778</v>
      </c>
      <c r="AC339" s="52" t="s">
        <v>41</v>
      </c>
      <c r="AE339" s="52">
        <v>2</v>
      </c>
      <c r="AF339" s="52" t="s">
        <v>41</v>
      </c>
      <c r="AK339" s="52">
        <v>377</v>
      </c>
    </row>
    <row r="340" spans="1:37" x14ac:dyDescent="0.2">
      <c r="A340" s="52" t="s">
        <v>2134</v>
      </c>
      <c r="B340" s="52" t="s">
        <v>3442</v>
      </c>
      <c r="C340" s="52">
        <v>22</v>
      </c>
      <c r="D340" s="52" t="s">
        <v>2361</v>
      </c>
      <c r="E340" s="52" t="s">
        <v>3455</v>
      </c>
      <c r="F340" s="52" t="s">
        <v>443</v>
      </c>
      <c r="G340" s="52" t="s">
        <v>34</v>
      </c>
      <c r="H340" s="52" t="s">
        <v>3409</v>
      </c>
      <c r="I340" s="52" t="s">
        <v>897</v>
      </c>
      <c r="K340" s="52" t="s">
        <v>884</v>
      </c>
      <c r="L340" s="52" t="s">
        <v>922</v>
      </c>
      <c r="M340" s="52" t="s">
        <v>890</v>
      </c>
      <c r="N340" s="52" t="s">
        <v>494</v>
      </c>
      <c r="O340" s="52" t="s">
        <v>502</v>
      </c>
      <c r="R340" s="52" t="s">
        <v>443</v>
      </c>
      <c r="S340" s="52" t="s">
        <v>885</v>
      </c>
      <c r="T340" s="53">
        <v>45255</v>
      </c>
      <c r="V340" s="53">
        <v>45973.617361111108</v>
      </c>
      <c r="W340" s="52" t="s">
        <v>884</v>
      </c>
      <c r="X340" s="53">
        <v>45968.617361111108</v>
      </c>
      <c r="Y340" s="52">
        <v>24.1</v>
      </c>
      <c r="AA340" s="52" t="s">
        <v>778</v>
      </c>
      <c r="AC340" s="52" t="s">
        <v>41</v>
      </c>
      <c r="AE340" s="52">
        <v>1</v>
      </c>
      <c r="AF340" s="52" t="s">
        <v>41</v>
      </c>
      <c r="AK340" s="52">
        <v>377</v>
      </c>
    </row>
    <row r="341" spans="1:37" x14ac:dyDescent="0.2">
      <c r="A341" s="52" t="s">
        <v>2134</v>
      </c>
      <c r="B341" s="52" t="s">
        <v>3442</v>
      </c>
      <c r="C341" s="52">
        <v>22</v>
      </c>
      <c r="D341" s="52" t="s">
        <v>2344</v>
      </c>
      <c r="E341" s="52" t="s">
        <v>3456</v>
      </c>
      <c r="F341" s="52" t="s">
        <v>443</v>
      </c>
      <c r="G341" s="52" t="s">
        <v>34</v>
      </c>
      <c r="H341" s="52" t="s">
        <v>3457</v>
      </c>
      <c r="I341" s="52" t="s">
        <v>923</v>
      </c>
      <c r="K341" s="52" t="s">
        <v>884</v>
      </c>
      <c r="L341" s="52" t="s">
        <v>922</v>
      </c>
      <c r="M341" s="52" t="s">
        <v>886</v>
      </c>
      <c r="N341" s="52" t="s">
        <v>494</v>
      </c>
      <c r="O341" s="52" t="s">
        <v>502</v>
      </c>
      <c r="R341" s="52" t="s">
        <v>443</v>
      </c>
      <c r="S341" s="52" t="s">
        <v>885</v>
      </c>
      <c r="T341" s="53">
        <v>44520</v>
      </c>
      <c r="V341" s="53">
        <v>45976.504166666666</v>
      </c>
      <c r="W341" s="52" t="s">
        <v>884</v>
      </c>
      <c r="X341" s="53">
        <v>45971.504166666666</v>
      </c>
      <c r="Y341" s="52">
        <v>21.2</v>
      </c>
      <c r="AA341" s="52" t="s">
        <v>778</v>
      </c>
      <c r="AB341" s="52" t="s">
        <v>3458</v>
      </c>
      <c r="AC341" s="52" t="s">
        <v>41</v>
      </c>
      <c r="AE341" s="52">
        <v>1</v>
      </c>
      <c r="AF341" s="52" t="s">
        <v>41</v>
      </c>
      <c r="AK341" s="52">
        <v>377</v>
      </c>
    </row>
    <row r="342" spans="1:37" x14ac:dyDescent="0.2">
      <c r="A342" s="52" t="s">
        <v>2142</v>
      </c>
      <c r="B342" s="52" t="s">
        <v>3439</v>
      </c>
      <c r="C342" s="52">
        <v>11</v>
      </c>
      <c r="D342" s="52" t="s">
        <v>1815</v>
      </c>
      <c r="E342" s="52" t="s">
        <v>1816</v>
      </c>
      <c r="F342" s="52" t="s">
        <v>443</v>
      </c>
      <c r="G342" s="52" t="s">
        <v>34</v>
      </c>
      <c r="H342" s="52" t="s">
        <v>3248</v>
      </c>
      <c r="I342" s="52" t="s">
        <v>897</v>
      </c>
      <c r="K342" s="52" t="s">
        <v>884</v>
      </c>
      <c r="L342" s="52" t="s">
        <v>922</v>
      </c>
      <c r="M342" s="52" t="s">
        <v>886</v>
      </c>
      <c r="N342" s="52" t="s">
        <v>461</v>
      </c>
      <c r="O342" s="52" t="s">
        <v>639</v>
      </c>
      <c r="Q342" s="52">
        <v>941000031683831</v>
      </c>
      <c r="R342" s="52" t="s">
        <v>443</v>
      </c>
      <c r="S342" s="52" t="s">
        <v>885</v>
      </c>
      <c r="T342" s="53">
        <v>44865</v>
      </c>
      <c r="V342" s="53">
        <v>45959.469444444447</v>
      </c>
      <c r="W342" s="52" t="s">
        <v>892</v>
      </c>
      <c r="X342" s="53">
        <v>45954.469444444447</v>
      </c>
      <c r="Y342" s="52">
        <v>38.200000000000003</v>
      </c>
      <c r="AA342" s="52">
        <v>2</v>
      </c>
      <c r="AB342" s="52" t="s">
        <v>2067</v>
      </c>
      <c r="AC342" s="52" t="s">
        <v>41</v>
      </c>
      <c r="AE342" s="52">
        <v>1</v>
      </c>
      <c r="AF342" s="52" t="s">
        <v>41</v>
      </c>
      <c r="AK342" s="52">
        <v>377</v>
      </c>
    </row>
    <row r="343" spans="1:37" x14ac:dyDescent="0.2">
      <c r="A343" s="52" t="s">
        <v>2142</v>
      </c>
      <c r="B343" s="52" t="s">
        <v>3439</v>
      </c>
      <c r="C343" s="52">
        <v>11</v>
      </c>
      <c r="D343" s="52" t="s">
        <v>3459</v>
      </c>
      <c r="E343" s="52" t="s">
        <v>3460</v>
      </c>
      <c r="F343" s="52" t="s">
        <v>443</v>
      </c>
      <c r="G343" s="52" t="s">
        <v>34</v>
      </c>
      <c r="H343" s="52" t="s">
        <v>3250</v>
      </c>
      <c r="I343" s="52" t="s">
        <v>897</v>
      </c>
      <c r="K343" s="52" t="s">
        <v>884</v>
      </c>
      <c r="L343" s="52" t="s">
        <v>922</v>
      </c>
      <c r="M343" s="52" t="s">
        <v>886</v>
      </c>
      <c r="N343" s="52" t="s">
        <v>461</v>
      </c>
      <c r="O343" s="52" t="s">
        <v>639</v>
      </c>
      <c r="Q343" s="52">
        <v>941000031684103</v>
      </c>
      <c r="R343" s="52" t="s">
        <v>443</v>
      </c>
      <c r="S343" s="52" t="s">
        <v>885</v>
      </c>
      <c r="T343" s="53">
        <v>45249</v>
      </c>
      <c r="V343" s="53">
        <v>45985.628472222219</v>
      </c>
      <c r="W343" s="52" t="s">
        <v>892</v>
      </c>
      <c r="X343" s="53">
        <v>45980.628472222219</v>
      </c>
      <c r="Y343" s="52">
        <v>12</v>
      </c>
      <c r="AA343" s="52">
        <v>3</v>
      </c>
      <c r="AB343" s="52" t="s">
        <v>3461</v>
      </c>
      <c r="AC343" s="52" t="s">
        <v>41</v>
      </c>
      <c r="AE343" s="52">
        <v>1</v>
      </c>
      <c r="AF343" s="52" t="s">
        <v>41</v>
      </c>
      <c r="AK343" s="52">
        <v>377</v>
      </c>
    </row>
    <row r="344" spans="1:37" x14ac:dyDescent="0.2">
      <c r="A344" s="52" t="s">
        <v>2142</v>
      </c>
      <c r="B344" s="52" t="s">
        <v>3439</v>
      </c>
      <c r="C344" s="52">
        <v>11</v>
      </c>
      <c r="D344" s="52" t="s">
        <v>3462</v>
      </c>
      <c r="E344" s="52" t="s">
        <v>3463</v>
      </c>
      <c r="F344" s="52" t="s">
        <v>443</v>
      </c>
      <c r="G344" s="52" t="s">
        <v>34</v>
      </c>
      <c r="H344" s="52" t="s">
        <v>3250</v>
      </c>
      <c r="I344" s="52" t="s">
        <v>923</v>
      </c>
      <c r="K344" s="52" t="s">
        <v>884</v>
      </c>
      <c r="L344" s="52" t="s">
        <v>922</v>
      </c>
      <c r="M344" s="52" t="s">
        <v>886</v>
      </c>
      <c r="N344" s="52" t="s">
        <v>461</v>
      </c>
      <c r="O344" s="52" t="s">
        <v>639</v>
      </c>
      <c r="Q344" s="52">
        <v>941000031683879</v>
      </c>
      <c r="R344" s="52" t="s">
        <v>443</v>
      </c>
      <c r="S344" s="52" t="s">
        <v>885</v>
      </c>
      <c r="T344" s="53">
        <v>45249</v>
      </c>
      <c r="V344" s="53">
        <v>45985.628472222219</v>
      </c>
      <c r="W344" s="52" t="s">
        <v>892</v>
      </c>
      <c r="X344" s="53">
        <v>45980.628472222219</v>
      </c>
      <c r="Y344" s="52">
        <v>12</v>
      </c>
      <c r="AA344" s="52">
        <v>3</v>
      </c>
      <c r="AB344" s="52" t="s">
        <v>2063</v>
      </c>
      <c r="AC344" s="52" t="s">
        <v>41</v>
      </c>
      <c r="AE344" s="52">
        <v>1</v>
      </c>
      <c r="AF344" s="52" t="s">
        <v>41</v>
      </c>
      <c r="AK344" s="52">
        <v>377</v>
      </c>
    </row>
    <row r="345" spans="1:37" x14ac:dyDescent="0.2">
      <c r="A345" s="52" t="s">
        <v>2142</v>
      </c>
      <c r="B345" s="52" t="s">
        <v>3439</v>
      </c>
      <c r="C345" s="52">
        <v>11</v>
      </c>
      <c r="D345" s="52" t="s">
        <v>2412</v>
      </c>
      <c r="E345" s="52" t="s">
        <v>3464</v>
      </c>
      <c r="F345" s="52" t="s">
        <v>443</v>
      </c>
      <c r="G345" s="52" t="s">
        <v>34</v>
      </c>
      <c r="H345" s="52" t="s">
        <v>2059</v>
      </c>
      <c r="I345" s="52" t="s">
        <v>2019</v>
      </c>
      <c r="K345" s="52" t="s">
        <v>884</v>
      </c>
      <c r="L345" s="52" t="s">
        <v>937</v>
      </c>
      <c r="M345" s="52" t="s">
        <v>890</v>
      </c>
      <c r="N345" s="52" t="s">
        <v>461</v>
      </c>
      <c r="O345" s="52" t="s">
        <v>639</v>
      </c>
      <c r="Q345" s="52">
        <v>941000031683601</v>
      </c>
      <c r="R345" s="52" t="s">
        <v>443</v>
      </c>
      <c r="S345" s="52" t="s">
        <v>885</v>
      </c>
      <c r="T345" s="53">
        <v>45616</v>
      </c>
      <c r="W345" s="52" t="s">
        <v>892</v>
      </c>
      <c r="X345" s="53">
        <v>45966.479166666664</v>
      </c>
      <c r="Y345" s="52">
        <v>26.2</v>
      </c>
      <c r="AA345" s="52">
        <v>4</v>
      </c>
      <c r="AB345" s="52" t="s">
        <v>3067</v>
      </c>
      <c r="AC345" s="52" t="s">
        <v>41</v>
      </c>
      <c r="AE345" s="52">
        <v>1</v>
      </c>
      <c r="AF345" s="52" t="s">
        <v>41</v>
      </c>
      <c r="AK345" s="52">
        <v>377</v>
      </c>
    </row>
    <row r="346" spans="1:37" x14ac:dyDescent="0.2">
      <c r="A346" s="52" t="s">
        <v>2142</v>
      </c>
      <c r="B346" s="52" t="s">
        <v>3439</v>
      </c>
      <c r="C346" s="52">
        <v>11</v>
      </c>
      <c r="D346" s="52" t="s">
        <v>743</v>
      </c>
      <c r="E346" s="52" t="s">
        <v>1868</v>
      </c>
      <c r="F346" s="52" t="s">
        <v>443</v>
      </c>
      <c r="G346" s="52" t="s">
        <v>34</v>
      </c>
      <c r="H346" s="52" t="s">
        <v>1479</v>
      </c>
      <c r="I346" s="52" t="s">
        <v>910</v>
      </c>
      <c r="K346" s="52" t="s">
        <v>884</v>
      </c>
      <c r="L346" s="52" t="s">
        <v>922</v>
      </c>
      <c r="M346" s="52" t="s">
        <v>886</v>
      </c>
      <c r="N346" s="52" t="s">
        <v>461</v>
      </c>
      <c r="O346" s="52" t="s">
        <v>639</v>
      </c>
      <c r="Q346" s="52">
        <v>941000031683862</v>
      </c>
      <c r="R346" s="52" t="s">
        <v>443</v>
      </c>
      <c r="S346" s="52" t="s">
        <v>885</v>
      </c>
      <c r="T346" s="53">
        <v>45856</v>
      </c>
      <c r="U346" s="52" t="s">
        <v>2004</v>
      </c>
      <c r="V346" s="53">
        <v>45896.538194444445</v>
      </c>
      <c r="W346" s="52" t="s">
        <v>892</v>
      </c>
      <c r="X346" s="53">
        <v>45891.538194444445</v>
      </c>
      <c r="Y346" s="52">
        <v>101.2</v>
      </c>
      <c r="AA346" s="52">
        <v>5</v>
      </c>
      <c r="AB346" s="52" t="s">
        <v>2146</v>
      </c>
      <c r="AC346" s="52" t="s">
        <v>41</v>
      </c>
      <c r="AE346" s="52">
        <v>1</v>
      </c>
      <c r="AF346" s="52" t="s">
        <v>41</v>
      </c>
      <c r="AK346" s="52">
        <v>377</v>
      </c>
    </row>
    <row r="347" spans="1:37" x14ac:dyDescent="0.2">
      <c r="A347" s="52" t="s">
        <v>2142</v>
      </c>
      <c r="B347" s="52" t="s">
        <v>3439</v>
      </c>
      <c r="C347" s="52">
        <v>11</v>
      </c>
      <c r="D347" s="52" t="s">
        <v>2397</v>
      </c>
      <c r="E347" s="52" t="s">
        <v>3465</v>
      </c>
      <c r="F347" s="52" t="s">
        <v>443</v>
      </c>
      <c r="G347" s="52" t="s">
        <v>34</v>
      </c>
      <c r="H347" s="52" t="s">
        <v>3466</v>
      </c>
      <c r="I347" s="52" t="s">
        <v>910</v>
      </c>
      <c r="K347" s="52" t="s">
        <v>884</v>
      </c>
      <c r="L347" s="52" t="s">
        <v>922</v>
      </c>
      <c r="M347" s="52" t="s">
        <v>890</v>
      </c>
      <c r="N347" s="52" t="s">
        <v>682</v>
      </c>
      <c r="O347" s="52" t="s">
        <v>639</v>
      </c>
      <c r="R347" s="52" t="s">
        <v>443</v>
      </c>
      <c r="S347" s="52" t="s">
        <v>885</v>
      </c>
      <c r="T347" s="53">
        <v>44155</v>
      </c>
      <c r="U347" s="52" t="s">
        <v>2004</v>
      </c>
      <c r="V347" s="53">
        <v>45972.470833333333</v>
      </c>
      <c r="W347" s="52" t="s">
        <v>892</v>
      </c>
      <c r="X347" s="53">
        <v>45967.470833333333</v>
      </c>
      <c r="Y347" s="52">
        <v>25.2</v>
      </c>
      <c r="AA347" s="52">
        <v>6</v>
      </c>
      <c r="AB347" s="52" t="s">
        <v>2063</v>
      </c>
      <c r="AC347" s="52" t="s">
        <v>41</v>
      </c>
      <c r="AE347" s="52">
        <v>1</v>
      </c>
      <c r="AF347" s="52" t="s">
        <v>41</v>
      </c>
      <c r="AK347" s="52">
        <v>377</v>
      </c>
    </row>
    <row r="348" spans="1:37" x14ac:dyDescent="0.2">
      <c r="A348" s="52" t="s">
        <v>2142</v>
      </c>
      <c r="B348" s="52" t="s">
        <v>3439</v>
      </c>
      <c r="C348" s="52">
        <v>11</v>
      </c>
      <c r="D348" s="52" t="s">
        <v>1789</v>
      </c>
      <c r="E348" s="52" t="s">
        <v>1790</v>
      </c>
      <c r="F348" s="52" t="s">
        <v>443</v>
      </c>
      <c r="G348" s="52" t="s">
        <v>34</v>
      </c>
      <c r="H348" s="52" t="s">
        <v>3127</v>
      </c>
      <c r="I348" s="52" t="s">
        <v>2019</v>
      </c>
      <c r="K348" s="52" t="s">
        <v>884</v>
      </c>
      <c r="L348" s="52" t="s">
        <v>922</v>
      </c>
      <c r="M348" s="52" t="s">
        <v>886</v>
      </c>
      <c r="N348" s="52" t="s">
        <v>461</v>
      </c>
      <c r="O348" s="52" t="s">
        <v>639</v>
      </c>
      <c r="Q348" s="52">
        <v>941000031683971</v>
      </c>
      <c r="R348" s="52" t="s">
        <v>443</v>
      </c>
      <c r="S348" s="52" t="s">
        <v>885</v>
      </c>
      <c r="T348" s="53">
        <v>45595</v>
      </c>
      <c r="V348" s="53">
        <v>45965.507638888892</v>
      </c>
      <c r="W348" s="52" t="s">
        <v>892</v>
      </c>
      <c r="X348" s="53">
        <v>45960.549305555556</v>
      </c>
      <c r="Y348" s="52">
        <v>32.1</v>
      </c>
      <c r="AA348" s="52">
        <v>7</v>
      </c>
      <c r="AB348" s="52" t="s">
        <v>2143</v>
      </c>
      <c r="AC348" s="52" t="s">
        <v>41</v>
      </c>
      <c r="AE348" s="52">
        <v>1</v>
      </c>
      <c r="AF348" s="52" t="s">
        <v>41</v>
      </c>
      <c r="AK348" s="52">
        <v>377</v>
      </c>
    </row>
    <row r="349" spans="1:37" x14ac:dyDescent="0.2">
      <c r="A349" s="52" t="s">
        <v>2142</v>
      </c>
      <c r="B349" s="52" t="s">
        <v>3439</v>
      </c>
      <c r="C349" s="52">
        <v>11</v>
      </c>
      <c r="D349" s="52" t="s">
        <v>1118</v>
      </c>
      <c r="E349" s="52" t="s">
        <v>3467</v>
      </c>
      <c r="F349" s="52" t="s">
        <v>443</v>
      </c>
      <c r="G349" s="52" t="s">
        <v>34</v>
      </c>
      <c r="H349" s="52" t="s">
        <v>3468</v>
      </c>
      <c r="I349" s="52" t="s">
        <v>2027</v>
      </c>
      <c r="K349" s="52" t="s">
        <v>884</v>
      </c>
      <c r="L349" s="52" t="s">
        <v>922</v>
      </c>
      <c r="M349" s="52" t="s">
        <v>886</v>
      </c>
      <c r="N349" s="52" t="s">
        <v>461</v>
      </c>
      <c r="O349" s="52" t="s">
        <v>639</v>
      </c>
      <c r="Q349" s="52">
        <v>941000031684356</v>
      </c>
      <c r="R349" s="52" t="s">
        <v>443</v>
      </c>
      <c r="S349" s="52" t="s">
        <v>885</v>
      </c>
      <c r="T349" s="53">
        <v>45214</v>
      </c>
      <c r="V349" s="53">
        <v>45950.497916666667</v>
      </c>
      <c r="W349" s="52" t="s">
        <v>892</v>
      </c>
      <c r="X349" s="53">
        <v>45945.497916666667</v>
      </c>
      <c r="Y349" s="52">
        <v>47.2</v>
      </c>
      <c r="AA349" s="52">
        <v>8</v>
      </c>
      <c r="AC349" s="52" t="s">
        <v>41</v>
      </c>
      <c r="AE349" s="52">
        <v>1</v>
      </c>
      <c r="AF349" s="52" t="s">
        <v>41</v>
      </c>
      <c r="AK349" s="52">
        <v>377</v>
      </c>
    </row>
    <row r="350" spans="1:37" x14ac:dyDescent="0.2">
      <c r="A350" s="52" t="s">
        <v>2142</v>
      </c>
      <c r="B350" s="52" t="s">
        <v>3439</v>
      </c>
      <c r="C350" s="52">
        <v>11</v>
      </c>
      <c r="D350" s="52" t="s">
        <v>1776</v>
      </c>
      <c r="E350" s="52" t="s">
        <v>1777</v>
      </c>
      <c r="F350" s="52" t="s">
        <v>443</v>
      </c>
      <c r="G350" s="52" t="s">
        <v>34</v>
      </c>
      <c r="H350" s="52" t="s">
        <v>2124</v>
      </c>
      <c r="I350" s="52" t="s">
        <v>903</v>
      </c>
      <c r="K350" s="52" t="s">
        <v>884</v>
      </c>
      <c r="L350" s="52" t="s">
        <v>922</v>
      </c>
      <c r="M350" s="52" t="s">
        <v>890</v>
      </c>
      <c r="N350" s="52" t="s">
        <v>461</v>
      </c>
      <c r="O350" s="52" t="s">
        <v>639</v>
      </c>
      <c r="Q350" s="52">
        <v>941000031683927</v>
      </c>
      <c r="R350" s="52" t="s">
        <v>443</v>
      </c>
      <c r="S350" s="52" t="s">
        <v>885</v>
      </c>
      <c r="T350" s="53">
        <v>45905</v>
      </c>
      <c r="U350" s="52" t="s">
        <v>2000</v>
      </c>
      <c r="V350" s="53">
        <v>45966.45208333333</v>
      </c>
      <c r="W350" s="52" t="s">
        <v>892</v>
      </c>
      <c r="X350" s="53">
        <v>45961.493750000001</v>
      </c>
      <c r="Y350" s="52">
        <v>31.2</v>
      </c>
      <c r="AA350" s="52" t="s">
        <v>501</v>
      </c>
      <c r="AB350" s="52" t="s">
        <v>2151</v>
      </c>
      <c r="AC350" s="52" t="s">
        <v>41</v>
      </c>
      <c r="AE350" s="52">
        <v>1</v>
      </c>
      <c r="AF350" s="52" t="s">
        <v>41</v>
      </c>
      <c r="AK350" s="52">
        <v>377</v>
      </c>
    </row>
    <row r="351" spans="1:37" x14ac:dyDescent="0.2">
      <c r="A351" s="52" t="s">
        <v>2142</v>
      </c>
      <c r="B351" s="52" t="s">
        <v>3439</v>
      </c>
      <c r="C351" s="52">
        <v>11</v>
      </c>
      <c r="D351" s="52" t="s">
        <v>1773</v>
      </c>
      <c r="E351" s="52" t="s">
        <v>2452</v>
      </c>
      <c r="F351" s="52" t="s">
        <v>443</v>
      </c>
      <c r="G351" s="52" t="s">
        <v>34</v>
      </c>
      <c r="H351" s="52" t="s">
        <v>1478</v>
      </c>
      <c r="I351" s="52" t="s">
        <v>935</v>
      </c>
      <c r="K351" s="52" t="s">
        <v>884</v>
      </c>
      <c r="L351" s="52" t="s">
        <v>922</v>
      </c>
      <c r="M351" s="52" t="s">
        <v>886</v>
      </c>
      <c r="N351" s="52" t="s">
        <v>494</v>
      </c>
      <c r="O351" s="52" t="s">
        <v>639</v>
      </c>
      <c r="R351" s="52" t="s">
        <v>443</v>
      </c>
      <c r="S351" s="52" t="s">
        <v>885</v>
      </c>
      <c r="T351" s="53">
        <v>44870</v>
      </c>
      <c r="U351" s="52" t="s">
        <v>2013</v>
      </c>
      <c r="V351" s="53">
        <v>45966.565972222219</v>
      </c>
      <c r="W351" s="52" t="s">
        <v>884</v>
      </c>
      <c r="X351" s="53">
        <v>45961.607638888891</v>
      </c>
      <c r="Y351" s="52">
        <v>31.1</v>
      </c>
      <c r="AA351" s="52" t="s">
        <v>501</v>
      </c>
      <c r="AB351" s="52" t="s">
        <v>2149</v>
      </c>
      <c r="AC351" s="52" t="s">
        <v>41</v>
      </c>
      <c r="AE351" s="52">
        <v>1</v>
      </c>
      <c r="AF351" s="52" t="s">
        <v>41</v>
      </c>
      <c r="AK351" s="52">
        <v>377</v>
      </c>
    </row>
    <row r="352" spans="1:37" x14ac:dyDescent="0.2">
      <c r="A352" s="52" t="s">
        <v>2142</v>
      </c>
      <c r="B352" s="52" t="s">
        <v>3439</v>
      </c>
      <c r="C352" s="52">
        <v>11</v>
      </c>
      <c r="D352" s="52" t="s">
        <v>2427</v>
      </c>
      <c r="E352" s="52" t="s">
        <v>2428</v>
      </c>
      <c r="F352" s="52" t="s">
        <v>443</v>
      </c>
      <c r="G352" s="52" t="s">
        <v>34</v>
      </c>
      <c r="H352" s="52" t="s">
        <v>3469</v>
      </c>
      <c r="I352" s="52" t="s">
        <v>903</v>
      </c>
      <c r="K352" s="52" t="s">
        <v>884</v>
      </c>
      <c r="L352" s="52" t="s">
        <v>922</v>
      </c>
      <c r="M352" s="52" t="s">
        <v>890</v>
      </c>
      <c r="N352" s="52" t="s">
        <v>461</v>
      </c>
      <c r="O352" s="52" t="s">
        <v>639</v>
      </c>
      <c r="Q352" s="52">
        <v>941000031684323</v>
      </c>
      <c r="R352" s="52" t="s">
        <v>443</v>
      </c>
      <c r="S352" s="52" t="s">
        <v>885</v>
      </c>
      <c r="T352" s="53">
        <v>44688</v>
      </c>
      <c r="V352" s="53">
        <v>45970.611111111109</v>
      </c>
      <c r="W352" s="52" t="s">
        <v>892</v>
      </c>
      <c r="X352" s="53">
        <v>45965.611111111109</v>
      </c>
      <c r="Y352" s="52">
        <v>27.1</v>
      </c>
      <c r="AA352" s="52" t="s">
        <v>501</v>
      </c>
      <c r="AB352" s="52" t="s">
        <v>3067</v>
      </c>
      <c r="AC352" s="52" t="s">
        <v>41</v>
      </c>
      <c r="AE352" s="52">
        <v>1</v>
      </c>
      <c r="AF352" s="52" t="s">
        <v>41</v>
      </c>
      <c r="AK352" s="52">
        <v>377</v>
      </c>
    </row>
    <row r="353" spans="1:37" x14ac:dyDescent="0.2">
      <c r="A353" s="52" t="s">
        <v>918</v>
      </c>
      <c r="B353" s="52" t="s">
        <v>3470</v>
      </c>
      <c r="C353" s="52">
        <v>3</v>
      </c>
      <c r="D353" s="52" t="s">
        <v>1806</v>
      </c>
      <c r="F353" s="52" t="s">
        <v>444</v>
      </c>
      <c r="G353" s="52" t="s">
        <v>451</v>
      </c>
      <c r="H353" s="52" t="s">
        <v>3471</v>
      </c>
      <c r="I353" s="52" t="s">
        <v>910</v>
      </c>
      <c r="J353" s="52" t="s">
        <v>884</v>
      </c>
      <c r="K353" s="52" t="s">
        <v>884</v>
      </c>
      <c r="L353" s="52" t="s">
        <v>2052</v>
      </c>
      <c r="M353" s="52" t="s">
        <v>886</v>
      </c>
      <c r="N353" s="52" t="s">
        <v>470</v>
      </c>
      <c r="O353" s="52" t="s">
        <v>832</v>
      </c>
      <c r="R353" s="52" t="s">
        <v>444</v>
      </c>
      <c r="S353" s="52" t="s">
        <v>885</v>
      </c>
      <c r="T353" s="53">
        <v>44862</v>
      </c>
      <c r="V353" s="53">
        <v>45956.645138888889</v>
      </c>
      <c r="W353" s="52" t="s">
        <v>884</v>
      </c>
      <c r="X353" s="53">
        <v>45951.645138888889</v>
      </c>
      <c r="Y353" s="52">
        <v>41</v>
      </c>
      <c r="AA353" s="52" t="s">
        <v>475</v>
      </c>
      <c r="AC353" s="52" t="s">
        <v>41</v>
      </c>
      <c r="AE353" s="52">
        <v>0</v>
      </c>
      <c r="AF353" s="52" t="s">
        <v>41</v>
      </c>
      <c r="AK353" s="52">
        <v>377</v>
      </c>
    </row>
    <row r="354" spans="1:37" x14ac:dyDescent="0.2">
      <c r="A354" s="52" t="s">
        <v>918</v>
      </c>
      <c r="B354" s="52" t="s">
        <v>3470</v>
      </c>
      <c r="C354" s="52">
        <v>3</v>
      </c>
      <c r="D354" s="52" t="s">
        <v>3472</v>
      </c>
      <c r="F354" s="52" t="s">
        <v>444</v>
      </c>
      <c r="G354" s="52" t="s">
        <v>529</v>
      </c>
      <c r="H354" s="52" t="s">
        <v>3473</v>
      </c>
      <c r="I354" s="52" t="s">
        <v>903</v>
      </c>
      <c r="K354" s="52" t="s">
        <v>884</v>
      </c>
      <c r="L354" s="52" t="s">
        <v>887</v>
      </c>
      <c r="M354" s="52" t="s">
        <v>890</v>
      </c>
      <c r="N354" s="52" t="s">
        <v>749</v>
      </c>
      <c r="O354" s="52" t="s">
        <v>832</v>
      </c>
      <c r="R354" s="52" t="s">
        <v>444</v>
      </c>
      <c r="S354" s="52" t="s">
        <v>885</v>
      </c>
      <c r="T354" s="53">
        <v>43794</v>
      </c>
      <c r="V354" s="53">
        <v>45991.686111111114</v>
      </c>
      <c r="W354" s="52" t="s">
        <v>884</v>
      </c>
      <c r="X354" s="53">
        <v>45986.686111111114</v>
      </c>
      <c r="Y354" s="52">
        <v>6</v>
      </c>
      <c r="AA354" s="52" t="s">
        <v>724</v>
      </c>
      <c r="AC354" s="52" t="s">
        <v>41</v>
      </c>
      <c r="AE354" s="52">
        <v>1</v>
      </c>
      <c r="AF354" s="52" t="s">
        <v>41</v>
      </c>
      <c r="AK354" s="52">
        <v>377</v>
      </c>
    </row>
    <row r="355" spans="1:37" x14ac:dyDescent="0.2">
      <c r="A355" s="52" t="s">
        <v>918</v>
      </c>
      <c r="B355" s="52" t="s">
        <v>3470</v>
      </c>
      <c r="C355" s="52">
        <v>3</v>
      </c>
      <c r="D355" s="52" t="s">
        <v>858</v>
      </c>
      <c r="E355" s="52" t="s">
        <v>856</v>
      </c>
      <c r="F355" s="52" t="s">
        <v>444</v>
      </c>
      <c r="G355" s="52" t="s">
        <v>857</v>
      </c>
      <c r="H355" s="52" t="s">
        <v>3474</v>
      </c>
      <c r="I355" s="52" t="s">
        <v>935</v>
      </c>
      <c r="J355" s="52" t="s">
        <v>884</v>
      </c>
      <c r="K355" s="52" t="s">
        <v>884</v>
      </c>
      <c r="L355" s="52" t="s">
        <v>912</v>
      </c>
      <c r="M355" s="52" t="s">
        <v>886</v>
      </c>
      <c r="N355" s="52" t="s">
        <v>494</v>
      </c>
      <c r="O355" s="52" t="s">
        <v>832</v>
      </c>
      <c r="P355" s="52" t="s">
        <v>716</v>
      </c>
      <c r="R355" s="52" t="s">
        <v>444</v>
      </c>
      <c r="S355" s="52" t="s">
        <v>885</v>
      </c>
      <c r="T355" s="53">
        <v>44106</v>
      </c>
      <c r="W355" s="52" t="s">
        <v>884</v>
      </c>
      <c r="X355" s="53">
        <v>45930.679861111108</v>
      </c>
      <c r="Y355" s="52">
        <v>62</v>
      </c>
      <c r="AA355" s="52" t="s">
        <v>831</v>
      </c>
      <c r="AB355" s="52" t="s">
        <v>986</v>
      </c>
      <c r="AC355" s="52" t="s">
        <v>41</v>
      </c>
      <c r="AE355" s="52">
        <v>1</v>
      </c>
      <c r="AF355" s="52" t="s">
        <v>41</v>
      </c>
      <c r="AK355" s="52">
        <v>377</v>
      </c>
    </row>
    <row r="356" spans="1:37" x14ac:dyDescent="0.2">
      <c r="A356" s="52" t="s">
        <v>2152</v>
      </c>
      <c r="B356" s="52" t="s">
        <v>3475</v>
      </c>
      <c r="C356" s="52">
        <v>2</v>
      </c>
      <c r="D356" s="52" t="s">
        <v>208</v>
      </c>
      <c r="E356" s="52" t="s">
        <v>1945</v>
      </c>
      <c r="F356" s="52" t="s">
        <v>443</v>
      </c>
      <c r="G356" s="52" t="s">
        <v>34</v>
      </c>
      <c r="H356" s="52" t="s">
        <v>3145</v>
      </c>
      <c r="I356" s="52" t="s">
        <v>2055</v>
      </c>
      <c r="J356" s="52" t="s">
        <v>884</v>
      </c>
      <c r="K356" s="52" t="s">
        <v>884</v>
      </c>
      <c r="L356" s="52" t="s">
        <v>922</v>
      </c>
      <c r="M356" s="52" t="s">
        <v>890</v>
      </c>
      <c r="N356" s="52" t="s">
        <v>461</v>
      </c>
      <c r="O356" s="52" t="s">
        <v>1944</v>
      </c>
      <c r="Q356" s="52">
        <v>941000031683713</v>
      </c>
      <c r="R356" s="52" t="s">
        <v>443</v>
      </c>
      <c r="S356" s="52" t="s">
        <v>885</v>
      </c>
      <c r="T356" s="53">
        <v>45761</v>
      </c>
      <c r="V356" s="53">
        <v>45787.57708333333</v>
      </c>
      <c r="W356" s="52" t="s">
        <v>892</v>
      </c>
      <c r="X356" s="53">
        <v>45782.57708333333</v>
      </c>
      <c r="Y356" s="52">
        <v>210.1</v>
      </c>
      <c r="AA356" s="52" t="s">
        <v>1944</v>
      </c>
      <c r="AC356" s="52" t="s">
        <v>41</v>
      </c>
      <c r="AE356" s="52">
        <v>2</v>
      </c>
      <c r="AF356" s="52" t="s">
        <v>41</v>
      </c>
      <c r="AK356" s="52">
        <v>377</v>
      </c>
    </row>
    <row r="357" spans="1:37" x14ac:dyDescent="0.2">
      <c r="A357" s="52" t="s">
        <v>2152</v>
      </c>
      <c r="B357" s="52" t="s">
        <v>3475</v>
      </c>
      <c r="C357" s="52">
        <v>2</v>
      </c>
      <c r="D357" s="52" t="s">
        <v>223</v>
      </c>
      <c r="E357" s="52" t="s">
        <v>1943</v>
      </c>
      <c r="F357" s="52" t="s">
        <v>443</v>
      </c>
      <c r="G357" s="52" t="s">
        <v>34</v>
      </c>
      <c r="H357" s="52" t="s">
        <v>3145</v>
      </c>
      <c r="I357" s="52" t="s">
        <v>2012</v>
      </c>
      <c r="J357" s="52" t="s">
        <v>884</v>
      </c>
      <c r="K357" s="52" t="s">
        <v>884</v>
      </c>
      <c r="L357" s="52" t="s">
        <v>922</v>
      </c>
      <c r="M357" s="52" t="s">
        <v>890</v>
      </c>
      <c r="N357" s="52" t="s">
        <v>461</v>
      </c>
      <c r="O357" s="52" t="s">
        <v>1944</v>
      </c>
      <c r="Q357" s="52">
        <v>941000031684380</v>
      </c>
      <c r="R357" s="52" t="s">
        <v>443</v>
      </c>
      <c r="S357" s="52" t="s">
        <v>885</v>
      </c>
      <c r="T357" s="53">
        <v>45761</v>
      </c>
      <c r="U357" s="52" t="s">
        <v>2028</v>
      </c>
      <c r="V357" s="53">
        <v>45787.57708333333</v>
      </c>
      <c r="W357" s="52" t="s">
        <v>892</v>
      </c>
      <c r="X357" s="53">
        <v>45782.57708333333</v>
      </c>
      <c r="Y357" s="52">
        <v>210.1</v>
      </c>
      <c r="AA357" s="52" t="s">
        <v>1944</v>
      </c>
      <c r="AC357" s="52" t="s">
        <v>41</v>
      </c>
      <c r="AE357" s="52">
        <v>3</v>
      </c>
      <c r="AF357" s="52" t="s">
        <v>41</v>
      </c>
      <c r="AK357" s="52">
        <v>377</v>
      </c>
    </row>
    <row r="358" spans="1:37" x14ac:dyDescent="0.2">
      <c r="A358" s="52" t="s">
        <v>908</v>
      </c>
      <c r="B358" s="52" t="s">
        <v>3414</v>
      </c>
      <c r="C358" s="52">
        <v>5</v>
      </c>
      <c r="D358" s="52" t="s">
        <v>2257</v>
      </c>
      <c r="E358" s="52" t="s">
        <v>3476</v>
      </c>
      <c r="F358" s="52" t="s">
        <v>444</v>
      </c>
      <c r="G358" s="52" t="s">
        <v>535</v>
      </c>
      <c r="H358" s="52" t="s">
        <v>3477</v>
      </c>
      <c r="I358" s="52" t="s">
        <v>920</v>
      </c>
      <c r="J358" s="52" t="s">
        <v>884</v>
      </c>
      <c r="K358" s="52" t="s">
        <v>884</v>
      </c>
      <c r="L358" s="52" t="s">
        <v>922</v>
      </c>
      <c r="M358" s="52" t="s">
        <v>890</v>
      </c>
      <c r="N358" s="52" t="s">
        <v>494</v>
      </c>
      <c r="O358" s="52" t="s">
        <v>681</v>
      </c>
      <c r="P358" s="52" t="s">
        <v>471</v>
      </c>
      <c r="R358" s="52" t="s">
        <v>444</v>
      </c>
      <c r="S358" s="52" t="s">
        <v>885</v>
      </c>
      <c r="T358" s="53">
        <v>44519</v>
      </c>
      <c r="V358" s="53">
        <v>45983.536111111112</v>
      </c>
      <c r="W358" s="52" t="s">
        <v>884</v>
      </c>
      <c r="X358" s="53">
        <v>45978.536111111112</v>
      </c>
      <c r="Y358" s="52">
        <v>14.2</v>
      </c>
      <c r="AA358" s="52" t="s">
        <v>680</v>
      </c>
      <c r="AB358" s="52" t="s">
        <v>940</v>
      </c>
      <c r="AC358" s="52" t="s">
        <v>41</v>
      </c>
      <c r="AE358" s="52">
        <v>1</v>
      </c>
      <c r="AF358" s="52" t="s">
        <v>41</v>
      </c>
      <c r="AK358" s="52">
        <v>377</v>
      </c>
    </row>
    <row r="359" spans="1:37" x14ac:dyDescent="0.2">
      <c r="A359" s="52" t="s">
        <v>908</v>
      </c>
      <c r="B359" s="52" t="s">
        <v>3414</v>
      </c>
      <c r="C359" s="52">
        <v>5</v>
      </c>
      <c r="D359" s="52" t="s">
        <v>2255</v>
      </c>
      <c r="E359" s="52" t="s">
        <v>3478</v>
      </c>
      <c r="F359" s="52" t="s">
        <v>444</v>
      </c>
      <c r="G359" s="52" t="s">
        <v>535</v>
      </c>
      <c r="H359" s="52" t="s">
        <v>3477</v>
      </c>
      <c r="I359" s="52" t="s">
        <v>920</v>
      </c>
      <c r="K359" s="52" t="s">
        <v>884</v>
      </c>
      <c r="L359" s="52" t="s">
        <v>922</v>
      </c>
      <c r="M359" s="52" t="s">
        <v>890</v>
      </c>
      <c r="N359" s="52" t="s">
        <v>494</v>
      </c>
      <c r="O359" s="52" t="s">
        <v>681</v>
      </c>
      <c r="P359" s="52" t="s">
        <v>471</v>
      </c>
      <c r="R359" s="52" t="s">
        <v>444</v>
      </c>
      <c r="S359" s="52" t="s">
        <v>885</v>
      </c>
      <c r="T359" s="53">
        <v>44519</v>
      </c>
      <c r="V359" s="53">
        <v>45983.536111111112</v>
      </c>
      <c r="W359" s="52" t="s">
        <v>884</v>
      </c>
      <c r="X359" s="53">
        <v>45978.536111111112</v>
      </c>
      <c r="Y359" s="52">
        <v>14.2</v>
      </c>
      <c r="AA359" s="52" t="s">
        <v>680</v>
      </c>
      <c r="AB359" s="52" t="s">
        <v>1097</v>
      </c>
      <c r="AC359" s="52" t="s">
        <v>41</v>
      </c>
      <c r="AE359" s="52">
        <v>1</v>
      </c>
      <c r="AF359" s="52" t="s">
        <v>41</v>
      </c>
      <c r="AK359" s="52">
        <v>377</v>
      </c>
    </row>
    <row r="360" spans="1:37" x14ac:dyDescent="0.2">
      <c r="A360" s="52" t="s">
        <v>908</v>
      </c>
      <c r="B360" s="52" t="s">
        <v>3414</v>
      </c>
      <c r="C360" s="52">
        <v>5</v>
      </c>
      <c r="D360" s="52" t="s">
        <v>863</v>
      </c>
      <c r="E360" s="52" t="s">
        <v>1898</v>
      </c>
      <c r="F360" s="52" t="s">
        <v>444</v>
      </c>
      <c r="G360" s="52" t="s">
        <v>857</v>
      </c>
      <c r="H360" s="52" t="s">
        <v>3479</v>
      </c>
      <c r="I360" s="52" t="s">
        <v>897</v>
      </c>
      <c r="J360" s="52" t="s">
        <v>884</v>
      </c>
      <c r="K360" s="52" t="s">
        <v>884</v>
      </c>
      <c r="L360" s="52" t="s">
        <v>912</v>
      </c>
      <c r="M360" s="52" t="s">
        <v>886</v>
      </c>
      <c r="N360" s="52" t="s">
        <v>494</v>
      </c>
      <c r="O360" s="52" t="s">
        <v>681</v>
      </c>
      <c r="P360" s="52" t="s">
        <v>511</v>
      </c>
      <c r="R360" s="52" t="s">
        <v>444</v>
      </c>
      <c r="S360" s="52" t="s">
        <v>885</v>
      </c>
      <c r="T360" s="53">
        <v>43765</v>
      </c>
      <c r="W360" s="52" t="s">
        <v>884</v>
      </c>
      <c r="X360" s="53">
        <v>45932.61041666667</v>
      </c>
      <c r="Y360" s="52">
        <v>60.1</v>
      </c>
      <c r="AA360" s="52" t="s">
        <v>862</v>
      </c>
      <c r="AB360" s="52" t="s">
        <v>2153</v>
      </c>
      <c r="AC360" s="52" t="s">
        <v>41</v>
      </c>
      <c r="AE360" s="52">
        <v>1</v>
      </c>
      <c r="AF360" s="52" t="s">
        <v>41</v>
      </c>
      <c r="AK360" s="52">
        <v>377</v>
      </c>
    </row>
    <row r="361" spans="1:37" x14ac:dyDescent="0.2">
      <c r="A361" s="52" t="s">
        <v>908</v>
      </c>
      <c r="B361" s="52" t="s">
        <v>3414</v>
      </c>
      <c r="C361" s="52">
        <v>5</v>
      </c>
      <c r="D361" s="52" t="s">
        <v>2379</v>
      </c>
      <c r="E361" s="52" t="s">
        <v>3480</v>
      </c>
      <c r="F361" s="52" t="s">
        <v>444</v>
      </c>
      <c r="G361" s="52" t="s">
        <v>633</v>
      </c>
      <c r="H361" s="52" t="s">
        <v>3065</v>
      </c>
      <c r="I361" s="52" t="s">
        <v>907</v>
      </c>
      <c r="J361" s="52" t="s">
        <v>884</v>
      </c>
      <c r="K361" s="52" t="s">
        <v>884</v>
      </c>
      <c r="L361" s="52" t="s">
        <v>922</v>
      </c>
      <c r="M361" s="52" t="s">
        <v>890</v>
      </c>
      <c r="N361" s="52" t="s">
        <v>470</v>
      </c>
      <c r="O361" s="52" t="s">
        <v>681</v>
      </c>
      <c r="P361" s="52" t="s">
        <v>511</v>
      </c>
      <c r="R361" s="52" t="s">
        <v>444</v>
      </c>
      <c r="S361" s="52" t="s">
        <v>885</v>
      </c>
      <c r="T361" s="53">
        <v>45236</v>
      </c>
      <c r="V361" s="53">
        <v>45972.636111111111</v>
      </c>
      <c r="W361" s="52" t="s">
        <v>884</v>
      </c>
      <c r="X361" s="53">
        <v>45967.636111111111</v>
      </c>
      <c r="Y361" s="52">
        <v>25</v>
      </c>
      <c r="AA361" s="52" t="s">
        <v>824</v>
      </c>
      <c r="AB361" s="52" t="s">
        <v>3072</v>
      </c>
      <c r="AC361" s="52" t="s">
        <v>41</v>
      </c>
      <c r="AE361" s="52">
        <v>1</v>
      </c>
      <c r="AF361" s="52" t="s">
        <v>41</v>
      </c>
      <c r="AK361" s="52">
        <v>377</v>
      </c>
    </row>
    <row r="362" spans="1:37" x14ac:dyDescent="0.2">
      <c r="A362" s="52" t="s">
        <v>908</v>
      </c>
      <c r="B362" s="52" t="s">
        <v>3414</v>
      </c>
      <c r="C362" s="52">
        <v>5</v>
      </c>
      <c r="D362" s="52" t="s">
        <v>3481</v>
      </c>
      <c r="E362" s="52" t="s">
        <v>3482</v>
      </c>
      <c r="F362" s="52" t="s">
        <v>444</v>
      </c>
      <c r="G362" s="52" t="s">
        <v>633</v>
      </c>
      <c r="H362" s="52" t="s">
        <v>3483</v>
      </c>
      <c r="I362" s="52" t="s">
        <v>920</v>
      </c>
      <c r="K362" s="52" t="s">
        <v>884</v>
      </c>
      <c r="L362" s="52" t="s">
        <v>887</v>
      </c>
      <c r="M362" s="52" t="s">
        <v>890</v>
      </c>
      <c r="N362" s="52" t="s">
        <v>749</v>
      </c>
      <c r="O362" s="52" t="s">
        <v>681</v>
      </c>
      <c r="R362" s="52" t="s">
        <v>444</v>
      </c>
      <c r="S362" s="52" t="s">
        <v>885</v>
      </c>
      <c r="T362" s="53">
        <v>44160</v>
      </c>
      <c r="V362" s="53">
        <v>45991.587500000001</v>
      </c>
      <c r="W362" s="52" t="s">
        <v>884</v>
      </c>
      <c r="X362" s="53">
        <v>45986.587500000001</v>
      </c>
      <c r="Y362" s="52">
        <v>6.1</v>
      </c>
      <c r="AA362" s="52" t="s">
        <v>3484</v>
      </c>
      <c r="AC362" s="52" t="s">
        <v>41</v>
      </c>
      <c r="AE362" s="52">
        <v>1</v>
      </c>
      <c r="AF362" s="52" t="s">
        <v>41</v>
      </c>
      <c r="AK362" s="52">
        <v>377</v>
      </c>
    </row>
    <row r="363" spans="1:37" x14ac:dyDescent="0.2">
      <c r="A363" s="52" t="s">
        <v>2158</v>
      </c>
      <c r="B363" s="52" t="s">
        <v>3485</v>
      </c>
      <c r="C363" s="52">
        <v>11</v>
      </c>
      <c r="D363" s="52" t="s">
        <v>750</v>
      </c>
      <c r="E363" s="52" t="s">
        <v>747</v>
      </c>
      <c r="F363" s="52" t="s">
        <v>2159</v>
      </c>
      <c r="G363" s="52" t="s">
        <v>568</v>
      </c>
      <c r="H363" s="52" t="s">
        <v>3327</v>
      </c>
      <c r="I363" s="52" t="s">
        <v>903</v>
      </c>
      <c r="K363" s="52" t="s">
        <v>884</v>
      </c>
      <c r="L363" s="52" t="s">
        <v>2119</v>
      </c>
      <c r="M363" s="52" t="s">
        <v>886</v>
      </c>
      <c r="N363" s="52" t="s">
        <v>749</v>
      </c>
      <c r="O363" s="52" t="s">
        <v>566</v>
      </c>
      <c r="P363" s="52" t="s">
        <v>747</v>
      </c>
      <c r="R363" s="52" t="s">
        <v>569</v>
      </c>
      <c r="S363" s="52" t="s">
        <v>568</v>
      </c>
      <c r="T363" s="53">
        <v>45883</v>
      </c>
      <c r="U363" s="52" t="s">
        <v>901</v>
      </c>
      <c r="W363" s="52" t="s">
        <v>884</v>
      </c>
      <c r="X363" s="53">
        <v>45897.472916666666</v>
      </c>
      <c r="Y363" s="52">
        <v>95.2</v>
      </c>
      <c r="AA363" s="52" t="s">
        <v>748</v>
      </c>
      <c r="AC363" s="52" t="s">
        <v>41</v>
      </c>
      <c r="AE363" s="52">
        <v>1</v>
      </c>
      <c r="AF363" s="52" t="s">
        <v>41</v>
      </c>
      <c r="AK363" s="52">
        <v>377</v>
      </c>
    </row>
    <row r="364" spans="1:37" x14ac:dyDescent="0.2">
      <c r="A364" s="52" t="s">
        <v>2158</v>
      </c>
      <c r="B364" s="52" t="s">
        <v>3485</v>
      </c>
      <c r="C364" s="52">
        <v>11</v>
      </c>
      <c r="D364" s="52" t="s">
        <v>752</v>
      </c>
      <c r="E364" s="52" t="s">
        <v>751</v>
      </c>
      <c r="F364" s="52" t="s">
        <v>2159</v>
      </c>
      <c r="G364" s="52" t="s">
        <v>568</v>
      </c>
      <c r="H364" s="52" t="s">
        <v>3327</v>
      </c>
      <c r="I364" s="52" t="s">
        <v>935</v>
      </c>
      <c r="K364" s="52" t="s">
        <v>884</v>
      </c>
      <c r="L364" s="52" t="s">
        <v>2119</v>
      </c>
      <c r="M364" s="52" t="s">
        <v>890</v>
      </c>
      <c r="N364" s="52" t="s">
        <v>749</v>
      </c>
      <c r="O364" s="52" t="s">
        <v>566</v>
      </c>
      <c r="P364" s="52" t="s">
        <v>751</v>
      </c>
      <c r="R364" s="52" t="s">
        <v>569</v>
      </c>
      <c r="S364" s="52" t="s">
        <v>568</v>
      </c>
      <c r="T364" s="53">
        <v>45883</v>
      </c>
      <c r="U364" s="52" t="s">
        <v>901</v>
      </c>
      <c r="W364" s="52" t="s">
        <v>884</v>
      </c>
      <c r="X364" s="53">
        <v>45897.472916666666</v>
      </c>
      <c r="Y364" s="52">
        <v>95.2</v>
      </c>
      <c r="AA364" s="52" t="s">
        <v>748</v>
      </c>
      <c r="AC364" s="52" t="s">
        <v>41</v>
      </c>
      <c r="AE364" s="52">
        <v>1</v>
      </c>
      <c r="AF364" s="52" t="s">
        <v>41</v>
      </c>
      <c r="AK364" s="52">
        <v>377</v>
      </c>
    </row>
    <row r="365" spans="1:37" x14ac:dyDescent="0.2">
      <c r="A365" s="52" t="s">
        <v>2158</v>
      </c>
      <c r="B365" s="52" t="s">
        <v>3485</v>
      </c>
      <c r="C365" s="52">
        <v>11</v>
      </c>
      <c r="D365" s="52" t="s">
        <v>755</v>
      </c>
      <c r="E365" s="52" t="s">
        <v>754</v>
      </c>
      <c r="F365" s="52" t="s">
        <v>2159</v>
      </c>
      <c r="G365" s="52" t="s">
        <v>568</v>
      </c>
      <c r="H365" s="52" t="s">
        <v>3327</v>
      </c>
      <c r="I365" s="52" t="s">
        <v>935</v>
      </c>
      <c r="K365" s="52" t="s">
        <v>884</v>
      </c>
      <c r="L365" s="52" t="s">
        <v>2119</v>
      </c>
      <c r="M365" s="52" t="s">
        <v>886</v>
      </c>
      <c r="N365" s="52" t="s">
        <v>749</v>
      </c>
      <c r="O365" s="52" t="s">
        <v>566</v>
      </c>
      <c r="P365" s="52" t="s">
        <v>753</v>
      </c>
      <c r="R365" s="52" t="s">
        <v>569</v>
      </c>
      <c r="S365" s="52" t="s">
        <v>568</v>
      </c>
      <c r="T365" s="53">
        <v>45883</v>
      </c>
      <c r="U365" s="52" t="s">
        <v>901</v>
      </c>
      <c r="W365" s="52" t="s">
        <v>884</v>
      </c>
      <c r="X365" s="53">
        <v>45897.472916666666</v>
      </c>
      <c r="Y365" s="52">
        <v>95.2</v>
      </c>
      <c r="AA365" s="52" t="s">
        <v>748</v>
      </c>
      <c r="AC365" s="52" t="s">
        <v>41</v>
      </c>
      <c r="AE365" s="52">
        <v>1</v>
      </c>
      <c r="AF365" s="52" t="s">
        <v>41</v>
      </c>
      <c r="AK365" s="52">
        <v>377</v>
      </c>
    </row>
    <row r="366" spans="1:37" x14ac:dyDescent="0.2">
      <c r="A366" s="52" t="s">
        <v>2158</v>
      </c>
      <c r="B366" s="52" t="s">
        <v>3485</v>
      </c>
      <c r="C366" s="52">
        <v>11</v>
      </c>
      <c r="D366" s="52" t="s">
        <v>757</v>
      </c>
      <c r="E366" s="52" t="s">
        <v>756</v>
      </c>
      <c r="F366" s="52" t="s">
        <v>2159</v>
      </c>
      <c r="G366" s="52" t="s">
        <v>568</v>
      </c>
      <c r="H366" s="52" t="s">
        <v>3327</v>
      </c>
      <c r="I366" s="52" t="s">
        <v>935</v>
      </c>
      <c r="K366" s="52" t="s">
        <v>884</v>
      </c>
      <c r="L366" s="52" t="s">
        <v>2119</v>
      </c>
      <c r="M366" s="52" t="s">
        <v>890</v>
      </c>
      <c r="N366" s="52" t="s">
        <v>749</v>
      </c>
      <c r="O366" s="52" t="s">
        <v>566</v>
      </c>
      <c r="P366" s="52" t="s">
        <v>756</v>
      </c>
      <c r="R366" s="52" t="s">
        <v>569</v>
      </c>
      <c r="S366" s="52" t="s">
        <v>568</v>
      </c>
      <c r="T366" s="53">
        <v>45883</v>
      </c>
      <c r="U366" s="52" t="s">
        <v>901</v>
      </c>
      <c r="W366" s="52" t="s">
        <v>884</v>
      </c>
      <c r="X366" s="53">
        <v>45897.472916666666</v>
      </c>
      <c r="Y366" s="52">
        <v>95.2</v>
      </c>
      <c r="AA366" s="52" t="s">
        <v>748</v>
      </c>
      <c r="AC366" s="52" t="s">
        <v>41</v>
      </c>
      <c r="AE366" s="52">
        <v>1</v>
      </c>
      <c r="AF366" s="52" t="s">
        <v>41</v>
      </c>
      <c r="AK366" s="52">
        <v>377</v>
      </c>
    </row>
    <row r="367" spans="1:37" x14ac:dyDescent="0.2">
      <c r="A367" s="52" t="s">
        <v>2158</v>
      </c>
      <c r="B367" s="52" t="s">
        <v>3485</v>
      </c>
      <c r="C367" s="52">
        <v>11</v>
      </c>
      <c r="D367" s="52" t="s">
        <v>759</v>
      </c>
      <c r="E367" s="52" t="s">
        <v>758</v>
      </c>
      <c r="F367" s="52" t="s">
        <v>2159</v>
      </c>
      <c r="G367" s="52" t="s">
        <v>568</v>
      </c>
      <c r="H367" s="52" t="s">
        <v>3327</v>
      </c>
      <c r="I367" s="52" t="s">
        <v>1211</v>
      </c>
      <c r="K367" s="52" t="s">
        <v>884</v>
      </c>
      <c r="L367" s="52" t="s">
        <v>2119</v>
      </c>
      <c r="M367" s="52" t="s">
        <v>886</v>
      </c>
      <c r="N367" s="52" t="s">
        <v>749</v>
      </c>
      <c r="O367" s="52" t="s">
        <v>566</v>
      </c>
      <c r="P367" s="52" t="s">
        <v>758</v>
      </c>
      <c r="R367" s="52" t="s">
        <v>569</v>
      </c>
      <c r="S367" s="52" t="s">
        <v>568</v>
      </c>
      <c r="T367" s="53">
        <v>45883</v>
      </c>
      <c r="U367" s="52" t="s">
        <v>901</v>
      </c>
      <c r="W367" s="52" t="s">
        <v>884</v>
      </c>
      <c r="X367" s="53">
        <v>45897.472916666666</v>
      </c>
      <c r="Y367" s="52">
        <v>95.2</v>
      </c>
      <c r="AA367" s="52" t="s">
        <v>748</v>
      </c>
      <c r="AC367" s="52" t="s">
        <v>41</v>
      </c>
      <c r="AE367" s="52">
        <v>1</v>
      </c>
      <c r="AF367" s="52" t="s">
        <v>41</v>
      </c>
      <c r="AK367" s="52">
        <v>377</v>
      </c>
    </row>
    <row r="368" spans="1:37" x14ac:dyDescent="0.2">
      <c r="A368" s="52" t="s">
        <v>2158</v>
      </c>
      <c r="B368" s="52" t="s">
        <v>3485</v>
      </c>
      <c r="C368" s="52">
        <v>11</v>
      </c>
      <c r="D368" s="52" t="s">
        <v>573</v>
      </c>
      <c r="E368" s="52" t="s">
        <v>1941</v>
      </c>
      <c r="F368" s="52" t="s">
        <v>2159</v>
      </c>
      <c r="G368" s="52" t="s">
        <v>568</v>
      </c>
      <c r="H368" s="52" t="s">
        <v>3486</v>
      </c>
      <c r="I368" s="52" t="s">
        <v>923</v>
      </c>
      <c r="J368" s="52" t="s">
        <v>884</v>
      </c>
      <c r="K368" s="52" t="s">
        <v>884</v>
      </c>
      <c r="L368" s="52" t="s">
        <v>2121</v>
      </c>
      <c r="M368" s="52" t="s">
        <v>890</v>
      </c>
      <c r="N368" s="52" t="s">
        <v>461</v>
      </c>
      <c r="O368" s="52" t="s">
        <v>566</v>
      </c>
      <c r="R368" s="52" t="s">
        <v>569</v>
      </c>
      <c r="S368" s="52" t="s">
        <v>568</v>
      </c>
      <c r="T368" s="53">
        <v>45593</v>
      </c>
      <c r="W368" s="52" t="s">
        <v>884</v>
      </c>
      <c r="X368" s="53">
        <v>45777.4375</v>
      </c>
      <c r="Y368" s="52">
        <v>215.3</v>
      </c>
      <c r="AA368" s="52" t="s">
        <v>760</v>
      </c>
      <c r="AC368" s="52" t="s">
        <v>41</v>
      </c>
      <c r="AE368" s="52">
        <v>2</v>
      </c>
      <c r="AF368" s="52" t="s">
        <v>41</v>
      </c>
      <c r="AK368" s="52">
        <v>377</v>
      </c>
    </row>
    <row r="369" spans="1:37" x14ac:dyDescent="0.2">
      <c r="A369" s="52" t="s">
        <v>2158</v>
      </c>
      <c r="B369" s="52" t="s">
        <v>3485</v>
      </c>
      <c r="C369" s="52">
        <v>11</v>
      </c>
      <c r="D369" s="52" t="s">
        <v>572</v>
      </c>
      <c r="E369" s="52" t="s">
        <v>1942</v>
      </c>
      <c r="F369" s="52" t="s">
        <v>2159</v>
      </c>
      <c r="G369" s="52" t="s">
        <v>568</v>
      </c>
      <c r="H369" s="52" t="s">
        <v>3486</v>
      </c>
      <c r="I369" s="52" t="s">
        <v>935</v>
      </c>
      <c r="J369" s="52" t="s">
        <v>884</v>
      </c>
      <c r="K369" s="52" t="s">
        <v>884</v>
      </c>
      <c r="L369" s="52" t="s">
        <v>2121</v>
      </c>
      <c r="M369" s="52" t="s">
        <v>890</v>
      </c>
      <c r="N369" s="52" t="s">
        <v>461</v>
      </c>
      <c r="O369" s="52" t="s">
        <v>566</v>
      </c>
      <c r="R369" s="52" t="s">
        <v>569</v>
      </c>
      <c r="S369" s="52" t="s">
        <v>568</v>
      </c>
      <c r="T369" s="53">
        <v>45593</v>
      </c>
      <c r="W369" s="52" t="s">
        <v>884</v>
      </c>
      <c r="X369" s="53">
        <v>45777.4375</v>
      </c>
      <c r="Y369" s="52">
        <v>215.3</v>
      </c>
      <c r="AA369" s="52" t="s">
        <v>1939</v>
      </c>
      <c r="AC369" s="52" t="s">
        <v>41</v>
      </c>
      <c r="AE369" s="52">
        <v>2</v>
      </c>
      <c r="AF369" s="52" t="s">
        <v>41</v>
      </c>
      <c r="AK369" s="52">
        <v>377</v>
      </c>
    </row>
    <row r="370" spans="1:37" x14ac:dyDescent="0.2">
      <c r="A370" s="52" t="s">
        <v>2158</v>
      </c>
      <c r="B370" s="52" t="s">
        <v>3485</v>
      </c>
      <c r="C370" s="52">
        <v>11</v>
      </c>
      <c r="D370" s="52" t="s">
        <v>576</v>
      </c>
      <c r="E370" s="52" t="s">
        <v>1938</v>
      </c>
      <c r="F370" s="52" t="s">
        <v>2159</v>
      </c>
      <c r="G370" s="52" t="s">
        <v>568</v>
      </c>
      <c r="H370" s="52" t="s">
        <v>913</v>
      </c>
      <c r="I370" s="52" t="s">
        <v>923</v>
      </c>
      <c r="J370" s="52" t="s">
        <v>884</v>
      </c>
      <c r="K370" s="52" t="s">
        <v>884</v>
      </c>
      <c r="L370" s="52" t="s">
        <v>2121</v>
      </c>
      <c r="M370" s="52" t="s">
        <v>890</v>
      </c>
      <c r="N370" s="52" t="s">
        <v>461</v>
      </c>
      <c r="O370" s="52" t="s">
        <v>566</v>
      </c>
      <c r="R370" s="52" t="s">
        <v>569</v>
      </c>
      <c r="S370" s="52" t="s">
        <v>568</v>
      </c>
      <c r="U370" s="52" t="s">
        <v>901</v>
      </c>
      <c r="W370" s="52" t="s">
        <v>884</v>
      </c>
      <c r="X370" s="53">
        <v>45777.4375</v>
      </c>
      <c r="Y370" s="52">
        <v>215.3</v>
      </c>
      <c r="AA370" s="52" t="s">
        <v>1939</v>
      </c>
      <c r="AC370" s="52" t="s">
        <v>41</v>
      </c>
      <c r="AE370" s="52">
        <v>2</v>
      </c>
      <c r="AF370" s="52" t="s">
        <v>41</v>
      </c>
      <c r="AK370" s="52">
        <v>377</v>
      </c>
    </row>
    <row r="371" spans="1:37" x14ac:dyDescent="0.2">
      <c r="A371" s="52" t="s">
        <v>2158</v>
      </c>
      <c r="B371" s="52" t="s">
        <v>3485</v>
      </c>
      <c r="C371" s="52">
        <v>11</v>
      </c>
      <c r="D371" s="52" t="s">
        <v>571</v>
      </c>
      <c r="E371" s="52" t="s">
        <v>567</v>
      </c>
      <c r="F371" s="52" t="s">
        <v>2159</v>
      </c>
      <c r="G371" s="52" t="s">
        <v>568</v>
      </c>
      <c r="H371" s="52" t="s">
        <v>913</v>
      </c>
      <c r="I371" s="52" t="s">
        <v>2160</v>
      </c>
      <c r="J371" s="52" t="s">
        <v>884</v>
      </c>
      <c r="K371" s="52" t="s">
        <v>884</v>
      </c>
      <c r="L371" s="52" t="s">
        <v>2121</v>
      </c>
      <c r="M371" s="52" t="s">
        <v>911</v>
      </c>
      <c r="N371" s="52" t="s">
        <v>570</v>
      </c>
      <c r="O371" s="52" t="s">
        <v>566</v>
      </c>
      <c r="R371" s="52" t="s">
        <v>569</v>
      </c>
      <c r="S371" s="52" t="s">
        <v>568</v>
      </c>
      <c r="W371" s="52" t="s">
        <v>884</v>
      </c>
      <c r="X371" s="53">
        <v>45777.4375</v>
      </c>
      <c r="Y371" s="52">
        <v>215.3</v>
      </c>
      <c r="AA371" s="52" t="s">
        <v>565</v>
      </c>
      <c r="AC371" s="52" t="s">
        <v>41</v>
      </c>
      <c r="AE371" s="52">
        <v>1</v>
      </c>
      <c r="AF371" s="52" t="s">
        <v>41</v>
      </c>
      <c r="AK371" s="52">
        <v>377</v>
      </c>
    </row>
    <row r="372" spans="1:37" x14ac:dyDescent="0.2">
      <c r="A372" s="52" t="s">
        <v>2158</v>
      </c>
      <c r="B372" s="52" t="s">
        <v>3485</v>
      </c>
      <c r="C372" s="52">
        <v>11</v>
      </c>
      <c r="D372" s="52" t="s">
        <v>578</v>
      </c>
      <c r="E372" s="52" t="s">
        <v>577</v>
      </c>
      <c r="F372" s="52" t="s">
        <v>2159</v>
      </c>
      <c r="G372" s="52" t="s">
        <v>568</v>
      </c>
      <c r="H372" s="52" t="s">
        <v>913</v>
      </c>
      <c r="I372" s="52" t="s">
        <v>2030</v>
      </c>
      <c r="J372" s="52" t="s">
        <v>884</v>
      </c>
      <c r="K372" s="52" t="s">
        <v>884</v>
      </c>
      <c r="L372" s="52" t="s">
        <v>2121</v>
      </c>
      <c r="M372" s="52" t="s">
        <v>911</v>
      </c>
      <c r="N372" s="52" t="s">
        <v>570</v>
      </c>
      <c r="O372" s="52" t="s">
        <v>566</v>
      </c>
      <c r="R372" s="52" t="s">
        <v>569</v>
      </c>
      <c r="S372" s="52" t="s">
        <v>568</v>
      </c>
      <c r="W372" s="52" t="s">
        <v>884</v>
      </c>
      <c r="X372" s="53">
        <v>45777.4375</v>
      </c>
      <c r="Y372" s="52">
        <v>215.3</v>
      </c>
      <c r="AA372" s="52" t="s">
        <v>565</v>
      </c>
      <c r="AC372" s="52" t="s">
        <v>41</v>
      </c>
      <c r="AE372" s="52">
        <v>1</v>
      </c>
      <c r="AF372" s="52" t="s">
        <v>41</v>
      </c>
      <c r="AK372" s="52">
        <v>377</v>
      </c>
    </row>
    <row r="373" spans="1:37" x14ac:dyDescent="0.2">
      <c r="A373" s="52" t="s">
        <v>2158</v>
      </c>
      <c r="B373" s="52" t="s">
        <v>3485</v>
      </c>
      <c r="C373" s="52">
        <v>11</v>
      </c>
      <c r="D373" s="52" t="s">
        <v>580</v>
      </c>
      <c r="E373" s="52" t="s">
        <v>579</v>
      </c>
      <c r="F373" s="52" t="s">
        <v>2159</v>
      </c>
      <c r="G373" s="52" t="s">
        <v>568</v>
      </c>
      <c r="H373" s="52" t="s">
        <v>913</v>
      </c>
      <c r="I373" s="52" t="s">
        <v>964</v>
      </c>
      <c r="J373" s="52" t="s">
        <v>884</v>
      </c>
      <c r="K373" s="52" t="s">
        <v>884</v>
      </c>
      <c r="L373" s="52" t="s">
        <v>2121</v>
      </c>
      <c r="M373" s="52" t="s">
        <v>911</v>
      </c>
      <c r="N373" s="52" t="s">
        <v>570</v>
      </c>
      <c r="O373" s="52" t="s">
        <v>566</v>
      </c>
      <c r="R373" s="52" t="s">
        <v>569</v>
      </c>
      <c r="S373" s="52" t="s">
        <v>568</v>
      </c>
      <c r="U373" s="52" t="s">
        <v>901</v>
      </c>
      <c r="W373" s="52" t="s">
        <v>884</v>
      </c>
      <c r="X373" s="53">
        <v>45777.4375</v>
      </c>
      <c r="Y373" s="52">
        <v>215.3</v>
      </c>
      <c r="AA373" s="52" t="s">
        <v>565</v>
      </c>
      <c r="AC373" s="52" t="s">
        <v>41</v>
      </c>
      <c r="AE373" s="52">
        <v>1</v>
      </c>
      <c r="AF373" s="52" t="s">
        <v>41</v>
      </c>
      <c r="AK373" s="52">
        <v>377</v>
      </c>
    </row>
    <row r="374" spans="1:37" x14ac:dyDescent="0.2">
      <c r="A374" s="52" t="s">
        <v>889</v>
      </c>
      <c r="B374" s="52" t="s">
        <v>2976</v>
      </c>
      <c r="C374" s="52">
        <v>7</v>
      </c>
      <c r="D374" s="52" t="s">
        <v>861</v>
      </c>
      <c r="E374" s="52" t="s">
        <v>1166</v>
      </c>
      <c r="F374" s="52" t="s">
        <v>444</v>
      </c>
      <c r="G374" s="52" t="s">
        <v>857</v>
      </c>
      <c r="H374" s="52" t="s">
        <v>3424</v>
      </c>
      <c r="I374" s="52" t="s">
        <v>920</v>
      </c>
      <c r="J374" s="52" t="s">
        <v>884</v>
      </c>
      <c r="K374" s="52" t="s">
        <v>884</v>
      </c>
      <c r="L374" s="52" t="s">
        <v>912</v>
      </c>
      <c r="M374" s="52" t="s">
        <v>886</v>
      </c>
      <c r="N374" s="52" t="s">
        <v>494</v>
      </c>
      <c r="O374" s="52" t="s">
        <v>645</v>
      </c>
      <c r="P374" s="52" t="s">
        <v>716</v>
      </c>
      <c r="R374" s="52" t="s">
        <v>444</v>
      </c>
      <c r="S374" s="52" t="s">
        <v>885</v>
      </c>
      <c r="T374" s="53">
        <v>45213</v>
      </c>
      <c r="W374" s="52" t="s">
        <v>884</v>
      </c>
      <c r="X374" s="53">
        <v>45932.61041666667</v>
      </c>
      <c r="Y374" s="52">
        <v>60.1</v>
      </c>
      <c r="AA374" s="52">
        <v>1</v>
      </c>
      <c r="AB374" s="52" t="s">
        <v>904</v>
      </c>
      <c r="AC374" s="52" t="s">
        <v>41</v>
      </c>
      <c r="AE374" s="52">
        <v>1</v>
      </c>
      <c r="AF374" s="52" t="s">
        <v>41</v>
      </c>
      <c r="AK374" s="52">
        <v>377</v>
      </c>
    </row>
    <row r="375" spans="1:37" x14ac:dyDescent="0.2">
      <c r="A375" s="52" t="s">
        <v>889</v>
      </c>
      <c r="B375" s="52" t="s">
        <v>2976</v>
      </c>
      <c r="C375" s="52">
        <v>7</v>
      </c>
      <c r="D375" s="52" t="s">
        <v>2417</v>
      </c>
      <c r="E375" s="52" t="s">
        <v>3487</v>
      </c>
      <c r="F375" s="52" t="s">
        <v>444</v>
      </c>
      <c r="G375" s="52" t="s">
        <v>2418</v>
      </c>
      <c r="H375" s="52" t="s">
        <v>3488</v>
      </c>
      <c r="I375" s="52" t="s">
        <v>935</v>
      </c>
      <c r="J375" s="52" t="s">
        <v>884</v>
      </c>
      <c r="K375" s="52" t="s">
        <v>892</v>
      </c>
      <c r="L375" s="52" t="s">
        <v>2116</v>
      </c>
      <c r="M375" s="52" t="s">
        <v>890</v>
      </c>
      <c r="N375" s="52" t="s">
        <v>494</v>
      </c>
      <c r="O375" s="52" t="s">
        <v>645</v>
      </c>
      <c r="P375" s="52" t="s">
        <v>511</v>
      </c>
      <c r="R375" s="52" t="s">
        <v>444</v>
      </c>
      <c r="S375" s="52" t="s">
        <v>885</v>
      </c>
      <c r="T375" s="53">
        <v>44526</v>
      </c>
      <c r="W375" s="52" t="s">
        <v>892</v>
      </c>
      <c r="X375" s="53">
        <v>45965.678472222222</v>
      </c>
      <c r="Y375" s="52">
        <v>27</v>
      </c>
      <c r="AA375" s="52">
        <v>1</v>
      </c>
      <c r="AB375" s="52" t="s">
        <v>989</v>
      </c>
      <c r="AC375" s="52" t="s">
        <v>41</v>
      </c>
      <c r="AE375" s="52">
        <v>1</v>
      </c>
      <c r="AF375" s="52" t="s">
        <v>41</v>
      </c>
      <c r="AK375" s="52">
        <v>377</v>
      </c>
    </row>
    <row r="376" spans="1:37" x14ac:dyDescent="0.2">
      <c r="A376" s="52" t="s">
        <v>889</v>
      </c>
      <c r="B376" s="52" t="s">
        <v>2976</v>
      </c>
      <c r="C376" s="52">
        <v>7</v>
      </c>
      <c r="D376" s="52" t="s">
        <v>2236</v>
      </c>
      <c r="E376" s="52" t="s">
        <v>3489</v>
      </c>
      <c r="F376" s="52" t="s">
        <v>444</v>
      </c>
      <c r="G376" s="52" t="s">
        <v>857</v>
      </c>
      <c r="H376" s="52" t="s">
        <v>913</v>
      </c>
      <c r="I376" s="52" t="s">
        <v>2030</v>
      </c>
      <c r="J376" s="52" t="s">
        <v>884</v>
      </c>
      <c r="K376" s="52" t="s">
        <v>884</v>
      </c>
      <c r="L376" s="52" t="s">
        <v>2116</v>
      </c>
      <c r="M376" s="52" t="s">
        <v>890</v>
      </c>
      <c r="N376" s="52" t="s">
        <v>470</v>
      </c>
      <c r="O376" s="52" t="s">
        <v>645</v>
      </c>
      <c r="R376" s="52" t="s">
        <v>444</v>
      </c>
      <c r="S376" s="52" t="s">
        <v>885</v>
      </c>
      <c r="W376" s="52" t="s">
        <v>884</v>
      </c>
      <c r="X376" s="53">
        <v>45978.647916666669</v>
      </c>
      <c r="Y376" s="52">
        <v>14</v>
      </c>
      <c r="AA376" s="52">
        <v>2</v>
      </c>
      <c r="AC376" s="52" t="s">
        <v>41</v>
      </c>
      <c r="AE376" s="52">
        <v>1</v>
      </c>
      <c r="AF376" s="52" t="s">
        <v>41</v>
      </c>
      <c r="AK376" s="52">
        <v>377</v>
      </c>
    </row>
    <row r="377" spans="1:37" x14ac:dyDescent="0.2">
      <c r="A377" s="52" t="s">
        <v>889</v>
      </c>
      <c r="B377" s="52" t="s">
        <v>2976</v>
      </c>
      <c r="C377" s="52">
        <v>7</v>
      </c>
      <c r="D377" s="52" t="s">
        <v>3490</v>
      </c>
      <c r="E377" s="52" t="s">
        <v>3491</v>
      </c>
      <c r="F377" s="52" t="s">
        <v>444</v>
      </c>
      <c r="G377" s="52" t="s">
        <v>857</v>
      </c>
      <c r="H377" s="52" t="s">
        <v>3492</v>
      </c>
      <c r="I377" s="52" t="s">
        <v>920</v>
      </c>
      <c r="J377" s="52" t="s">
        <v>884</v>
      </c>
      <c r="K377" s="52" t="s">
        <v>884</v>
      </c>
      <c r="L377" s="52" t="s">
        <v>2116</v>
      </c>
      <c r="M377" s="52" t="s">
        <v>886</v>
      </c>
      <c r="N377" s="52" t="s">
        <v>470</v>
      </c>
      <c r="O377" s="52" t="s">
        <v>645</v>
      </c>
      <c r="P377" s="52" t="s">
        <v>511</v>
      </c>
      <c r="R377" s="52" t="s">
        <v>444</v>
      </c>
      <c r="S377" s="52" t="s">
        <v>885</v>
      </c>
      <c r="T377" s="53">
        <v>43059</v>
      </c>
      <c r="W377" s="52" t="s">
        <v>884</v>
      </c>
      <c r="X377" s="53">
        <v>45979.444444444445</v>
      </c>
      <c r="Y377" s="52">
        <v>13.3</v>
      </c>
      <c r="AA377" s="52">
        <v>2</v>
      </c>
      <c r="AB377" s="52" t="s">
        <v>914</v>
      </c>
      <c r="AC377" s="52" t="s">
        <v>41</v>
      </c>
      <c r="AE377" s="52">
        <v>1</v>
      </c>
      <c r="AF377" s="52" t="s">
        <v>41</v>
      </c>
      <c r="AK377" s="52">
        <v>377</v>
      </c>
    </row>
    <row r="378" spans="1:37" x14ac:dyDescent="0.2">
      <c r="A378" s="52" t="s">
        <v>889</v>
      </c>
      <c r="B378" s="52" t="s">
        <v>2976</v>
      </c>
      <c r="C378" s="52">
        <v>7</v>
      </c>
      <c r="D378" s="52" t="s">
        <v>2373</v>
      </c>
      <c r="E378" s="52" t="s">
        <v>3493</v>
      </c>
      <c r="F378" s="52" t="s">
        <v>444</v>
      </c>
      <c r="G378" s="52" t="s">
        <v>857</v>
      </c>
      <c r="H378" s="52" t="s">
        <v>3492</v>
      </c>
      <c r="I378" s="52" t="s">
        <v>2019</v>
      </c>
      <c r="J378" s="52" t="s">
        <v>884</v>
      </c>
      <c r="K378" s="52" t="s">
        <v>884</v>
      </c>
      <c r="L378" s="52" t="s">
        <v>2116</v>
      </c>
      <c r="M378" s="52" t="s">
        <v>890</v>
      </c>
      <c r="N378" s="52" t="s">
        <v>470</v>
      </c>
      <c r="O378" s="52" t="s">
        <v>645</v>
      </c>
      <c r="P378" s="52" t="s">
        <v>520</v>
      </c>
      <c r="R378" s="52" t="s">
        <v>444</v>
      </c>
      <c r="S378" s="52" t="s">
        <v>885</v>
      </c>
      <c r="T378" s="53">
        <v>43059</v>
      </c>
      <c r="W378" s="52" t="s">
        <v>884</v>
      </c>
      <c r="X378" s="53">
        <v>45967.646527777775</v>
      </c>
      <c r="Y378" s="52">
        <v>25</v>
      </c>
      <c r="AA378" s="52">
        <v>3</v>
      </c>
      <c r="AB378" s="52" t="s">
        <v>3494</v>
      </c>
      <c r="AC378" s="52" t="s">
        <v>41</v>
      </c>
      <c r="AE378" s="52">
        <v>1</v>
      </c>
      <c r="AF378" s="52" t="s">
        <v>41</v>
      </c>
      <c r="AK378" s="52">
        <v>377</v>
      </c>
    </row>
    <row r="379" spans="1:37" x14ac:dyDescent="0.2">
      <c r="A379" s="52" t="s">
        <v>889</v>
      </c>
      <c r="B379" s="52" t="s">
        <v>2976</v>
      </c>
      <c r="C379" s="52">
        <v>7</v>
      </c>
      <c r="D379" s="52" t="s">
        <v>869</v>
      </c>
      <c r="E379" s="52" t="s">
        <v>868</v>
      </c>
      <c r="F379" s="52" t="s">
        <v>444</v>
      </c>
      <c r="G379" s="52" t="s">
        <v>489</v>
      </c>
      <c r="H379" s="52" t="s">
        <v>3495</v>
      </c>
      <c r="I379" s="52" t="s">
        <v>888</v>
      </c>
      <c r="J379" s="52" t="s">
        <v>884</v>
      </c>
      <c r="K379" s="52" t="s">
        <v>884</v>
      </c>
      <c r="L379" s="52" t="s">
        <v>887</v>
      </c>
      <c r="M379" s="52" t="s">
        <v>890</v>
      </c>
      <c r="N379" s="52" t="s">
        <v>461</v>
      </c>
      <c r="O379" s="52" t="s">
        <v>645</v>
      </c>
      <c r="P379" s="52" t="s">
        <v>735</v>
      </c>
      <c r="Q379" s="52">
        <v>941000031683947</v>
      </c>
      <c r="R379" s="52" t="s">
        <v>444</v>
      </c>
      <c r="S379" s="52" t="s">
        <v>885</v>
      </c>
      <c r="T379" s="53">
        <v>44473</v>
      </c>
      <c r="V379" s="53">
        <v>45938.370833333334</v>
      </c>
      <c r="W379" s="52" t="s">
        <v>892</v>
      </c>
      <c r="X379" s="53">
        <v>45933.370833333334</v>
      </c>
      <c r="Y379" s="52">
        <v>59.3</v>
      </c>
      <c r="AA379" s="52">
        <v>4</v>
      </c>
      <c r="AB379" s="52" t="s">
        <v>943</v>
      </c>
      <c r="AC379" s="52" t="s">
        <v>41</v>
      </c>
      <c r="AE379" s="52">
        <v>3</v>
      </c>
      <c r="AF379" s="52" t="s">
        <v>41</v>
      </c>
      <c r="AK379" s="52">
        <v>377</v>
      </c>
    </row>
    <row r="380" spans="1:37" x14ac:dyDescent="0.2">
      <c r="A380" s="52" t="s">
        <v>889</v>
      </c>
      <c r="B380" s="52" t="s">
        <v>2976</v>
      </c>
      <c r="C380" s="52">
        <v>7</v>
      </c>
      <c r="D380" s="52" t="s">
        <v>872</v>
      </c>
      <c r="E380" s="52" t="s">
        <v>871</v>
      </c>
      <c r="F380" s="52" t="s">
        <v>444</v>
      </c>
      <c r="G380" s="52" t="s">
        <v>489</v>
      </c>
      <c r="H380" s="52" t="s">
        <v>3211</v>
      </c>
      <c r="I380" s="52" t="s">
        <v>888</v>
      </c>
      <c r="J380" s="52" t="s">
        <v>884</v>
      </c>
      <c r="K380" s="52" t="s">
        <v>884</v>
      </c>
      <c r="L380" s="52" t="s">
        <v>887</v>
      </c>
      <c r="M380" s="52" t="s">
        <v>886</v>
      </c>
      <c r="N380" s="52" t="s">
        <v>494</v>
      </c>
      <c r="O380" s="52" t="s">
        <v>645</v>
      </c>
      <c r="P380" s="52" t="s">
        <v>471</v>
      </c>
      <c r="Q380" s="52">
        <v>941000031749956</v>
      </c>
      <c r="R380" s="52" t="s">
        <v>444</v>
      </c>
      <c r="S380" s="52" t="s">
        <v>885</v>
      </c>
      <c r="T380" s="53">
        <v>43742</v>
      </c>
      <c r="V380" s="53">
        <v>45938.370833333334</v>
      </c>
      <c r="W380" s="52" t="s">
        <v>884</v>
      </c>
      <c r="X380" s="53">
        <v>45933.370833333334</v>
      </c>
      <c r="Y380" s="52">
        <v>59.3</v>
      </c>
      <c r="AA380" s="52">
        <v>4</v>
      </c>
      <c r="AB380" s="52" t="s">
        <v>883</v>
      </c>
      <c r="AC380" s="52" t="s">
        <v>41</v>
      </c>
      <c r="AE380" s="52">
        <v>3</v>
      </c>
      <c r="AF380" s="52" t="s">
        <v>41</v>
      </c>
      <c r="AK380" s="52">
        <v>377</v>
      </c>
    </row>
    <row r="381" spans="1:37" x14ac:dyDescent="0.2">
      <c r="A381" s="52" t="s">
        <v>2162</v>
      </c>
      <c r="B381" s="52" t="s">
        <v>3496</v>
      </c>
      <c r="C381" s="52">
        <v>1</v>
      </c>
      <c r="D381" s="52" t="s">
        <v>3497</v>
      </c>
      <c r="F381" s="52" t="s">
        <v>443</v>
      </c>
      <c r="G381" s="52" t="s">
        <v>34</v>
      </c>
      <c r="H381" s="52" t="s">
        <v>3498</v>
      </c>
      <c r="I381" s="52" t="s">
        <v>958</v>
      </c>
      <c r="K381" s="52" t="s">
        <v>884</v>
      </c>
      <c r="L381" s="52" t="s">
        <v>922</v>
      </c>
      <c r="M381" s="52" t="s">
        <v>890</v>
      </c>
      <c r="N381" s="52" t="s">
        <v>749</v>
      </c>
      <c r="O381" s="52" t="s">
        <v>1761</v>
      </c>
      <c r="R381" s="52" t="s">
        <v>443</v>
      </c>
      <c r="S381" s="52" t="s">
        <v>885</v>
      </c>
      <c r="T381" s="53">
        <v>45256</v>
      </c>
      <c r="U381" s="52" t="s">
        <v>2004</v>
      </c>
      <c r="V381" s="53">
        <v>45992.59097222222</v>
      </c>
      <c r="W381" s="52" t="s">
        <v>884</v>
      </c>
      <c r="X381" s="53">
        <v>45987.59097222222</v>
      </c>
      <c r="Y381" s="52">
        <v>5.0999999999999996</v>
      </c>
      <c r="AA381" s="52" t="s">
        <v>1762</v>
      </c>
      <c r="AC381" s="52" t="s">
        <v>41</v>
      </c>
      <c r="AE381" s="52">
        <v>1</v>
      </c>
      <c r="AF381" s="52" t="s">
        <v>41</v>
      </c>
      <c r="AK381" s="52">
        <v>377</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DCC97-D957-3B48-995C-B0528D959337}">
  <dimension ref="A1:AE857"/>
  <sheetViews>
    <sheetView workbookViewId="0">
      <selection activeCell="D1" sqref="D1:AE1"/>
    </sheetView>
  </sheetViews>
  <sheetFormatPr baseColWidth="10" defaultRowHeight="15" x14ac:dyDescent="0.2"/>
  <sheetData>
    <row r="1" spans="1:31"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row>
    <row r="2" spans="1:31" x14ac:dyDescent="0.2">
      <c r="A2">
        <v>18677601</v>
      </c>
      <c r="B2">
        <v>35600867</v>
      </c>
      <c r="C2" t="s">
        <v>3499</v>
      </c>
      <c r="D2" t="s">
        <v>3500</v>
      </c>
      <c r="E2" s="9">
        <v>42933</v>
      </c>
      <c r="G2" t="s">
        <v>33</v>
      </c>
      <c r="H2" t="s">
        <v>34</v>
      </c>
      <c r="I2" t="s">
        <v>34</v>
      </c>
      <c r="J2" t="s">
        <v>3501</v>
      </c>
      <c r="K2" t="s">
        <v>36</v>
      </c>
      <c r="L2" t="s">
        <v>164</v>
      </c>
      <c r="O2" t="s">
        <v>39</v>
      </c>
      <c r="P2" t="s">
        <v>39</v>
      </c>
      <c r="Q2" t="s">
        <v>40</v>
      </c>
      <c r="R2" t="s">
        <v>40</v>
      </c>
      <c r="S2" t="s">
        <v>40</v>
      </c>
      <c r="T2" t="s">
        <v>40</v>
      </c>
      <c r="U2" t="s">
        <v>40</v>
      </c>
      <c r="V2" t="s">
        <v>40</v>
      </c>
      <c r="W2" t="s">
        <v>40</v>
      </c>
    </row>
    <row r="3" spans="1:31" x14ac:dyDescent="0.2">
      <c r="A3">
        <v>18696033</v>
      </c>
      <c r="B3">
        <v>35177255</v>
      </c>
      <c r="C3" t="s">
        <v>2491</v>
      </c>
      <c r="D3" t="s">
        <v>3500</v>
      </c>
      <c r="E3" s="9">
        <v>42933</v>
      </c>
      <c r="G3" t="s">
        <v>33</v>
      </c>
      <c r="H3" t="s">
        <v>34</v>
      </c>
      <c r="I3" t="s">
        <v>34</v>
      </c>
      <c r="J3" t="s">
        <v>3501</v>
      </c>
      <c r="K3" t="s">
        <v>36</v>
      </c>
      <c r="L3" t="s">
        <v>164</v>
      </c>
      <c r="O3" t="s">
        <v>39</v>
      </c>
      <c r="P3" t="s">
        <v>39</v>
      </c>
      <c r="Q3" t="s">
        <v>40</v>
      </c>
      <c r="R3" t="s">
        <v>40</v>
      </c>
      <c r="S3" t="s">
        <v>40</v>
      </c>
      <c r="T3" t="s">
        <v>40</v>
      </c>
      <c r="U3" t="s">
        <v>40</v>
      </c>
      <c r="V3" t="s">
        <v>40</v>
      </c>
      <c r="W3" t="s">
        <v>40</v>
      </c>
    </row>
    <row r="4" spans="1:31" x14ac:dyDescent="0.2">
      <c r="A4">
        <v>18867874</v>
      </c>
      <c r="B4">
        <v>35152337</v>
      </c>
      <c r="C4" t="s">
        <v>3502</v>
      </c>
      <c r="D4" t="s">
        <v>3500</v>
      </c>
      <c r="E4" s="9">
        <v>42948</v>
      </c>
      <c r="G4" t="s">
        <v>33</v>
      </c>
      <c r="H4" t="s">
        <v>34</v>
      </c>
      <c r="I4" t="s">
        <v>34</v>
      </c>
      <c r="J4" t="s">
        <v>234</v>
      </c>
      <c r="K4" t="s">
        <v>36</v>
      </c>
      <c r="L4" t="s">
        <v>164</v>
      </c>
      <c r="O4" t="s">
        <v>39</v>
      </c>
      <c r="P4" t="s">
        <v>39</v>
      </c>
      <c r="Q4" t="s">
        <v>40</v>
      </c>
      <c r="R4" t="s">
        <v>40</v>
      </c>
      <c r="S4" t="s">
        <v>40</v>
      </c>
      <c r="T4" t="s">
        <v>40</v>
      </c>
      <c r="U4" t="s">
        <v>40</v>
      </c>
      <c r="V4" t="s">
        <v>40</v>
      </c>
      <c r="W4" t="s">
        <v>40</v>
      </c>
    </row>
    <row r="5" spans="1:31" x14ac:dyDescent="0.2">
      <c r="A5">
        <v>18867872</v>
      </c>
      <c r="B5">
        <v>35113485</v>
      </c>
      <c r="C5" t="s">
        <v>3503</v>
      </c>
      <c r="D5" t="s">
        <v>3500</v>
      </c>
      <c r="E5" s="9">
        <v>42948</v>
      </c>
      <c r="G5" t="s">
        <v>33</v>
      </c>
      <c r="H5" t="s">
        <v>242</v>
      </c>
      <c r="I5" t="s">
        <v>34</v>
      </c>
      <c r="J5" t="s">
        <v>234</v>
      </c>
      <c r="K5" t="s">
        <v>36</v>
      </c>
      <c r="L5" t="s">
        <v>164</v>
      </c>
      <c r="O5" t="s">
        <v>39</v>
      </c>
      <c r="P5" t="s">
        <v>39</v>
      </c>
      <c r="Q5" t="s">
        <v>40</v>
      </c>
      <c r="R5" t="s">
        <v>40</v>
      </c>
      <c r="S5" t="s">
        <v>40</v>
      </c>
      <c r="T5" t="s">
        <v>40</v>
      </c>
      <c r="U5" t="s">
        <v>40</v>
      </c>
      <c r="V5" t="s">
        <v>40</v>
      </c>
      <c r="W5" t="s">
        <v>40</v>
      </c>
    </row>
    <row r="6" spans="1:31" x14ac:dyDescent="0.2">
      <c r="A6">
        <v>36862589</v>
      </c>
      <c r="B6">
        <v>51690533</v>
      </c>
      <c r="C6" t="s">
        <v>3504</v>
      </c>
      <c r="D6" t="s">
        <v>3505</v>
      </c>
      <c r="E6" s="9">
        <v>44917</v>
      </c>
      <c r="F6" s="9">
        <v>45764</v>
      </c>
      <c r="G6" t="s">
        <v>33</v>
      </c>
      <c r="H6" t="s">
        <v>34</v>
      </c>
      <c r="I6" t="s">
        <v>34</v>
      </c>
      <c r="J6" t="s">
        <v>3501</v>
      </c>
      <c r="K6" t="s">
        <v>48</v>
      </c>
      <c r="L6" t="s">
        <v>37</v>
      </c>
      <c r="N6" t="s">
        <v>38</v>
      </c>
      <c r="O6" t="s">
        <v>39</v>
      </c>
      <c r="P6" t="s">
        <v>39</v>
      </c>
      <c r="Q6" t="s">
        <v>41</v>
      </c>
      <c r="R6" t="s">
        <v>40</v>
      </c>
      <c r="S6" t="s">
        <v>41</v>
      </c>
      <c r="T6" t="s">
        <v>41</v>
      </c>
      <c r="U6" t="s">
        <v>40</v>
      </c>
      <c r="V6" t="s">
        <v>40</v>
      </c>
      <c r="W6" t="s">
        <v>40</v>
      </c>
      <c r="X6" t="s">
        <v>3506</v>
      </c>
      <c r="AB6" t="s">
        <v>3507</v>
      </c>
    </row>
    <row r="7" spans="1:31" x14ac:dyDescent="0.2">
      <c r="A7">
        <v>36862374</v>
      </c>
      <c r="B7">
        <v>51703465</v>
      </c>
      <c r="C7" t="s">
        <v>3508</v>
      </c>
      <c r="D7" t="s">
        <v>3505</v>
      </c>
      <c r="E7" s="9">
        <v>44917</v>
      </c>
      <c r="F7" s="9">
        <v>45301</v>
      </c>
      <c r="G7" t="s">
        <v>33</v>
      </c>
      <c r="H7" t="s">
        <v>34</v>
      </c>
      <c r="I7" t="s">
        <v>34</v>
      </c>
      <c r="J7" t="s">
        <v>3501</v>
      </c>
      <c r="K7" t="s">
        <v>48</v>
      </c>
      <c r="L7" t="s">
        <v>37</v>
      </c>
      <c r="O7" t="s">
        <v>39</v>
      </c>
      <c r="P7" t="s">
        <v>39</v>
      </c>
      <c r="Q7" t="s">
        <v>40</v>
      </c>
      <c r="R7" t="s">
        <v>40</v>
      </c>
      <c r="S7" t="s">
        <v>40</v>
      </c>
      <c r="T7" t="s">
        <v>40</v>
      </c>
      <c r="U7" t="s">
        <v>40</v>
      </c>
      <c r="V7" t="s">
        <v>40</v>
      </c>
      <c r="W7" t="s">
        <v>40</v>
      </c>
      <c r="AB7" t="s">
        <v>3509</v>
      </c>
    </row>
    <row r="8" spans="1:31" x14ac:dyDescent="0.2">
      <c r="A8">
        <v>36950264</v>
      </c>
      <c r="B8">
        <v>51337736</v>
      </c>
      <c r="C8" t="s">
        <v>3510</v>
      </c>
      <c r="D8" t="s">
        <v>3505</v>
      </c>
      <c r="E8" s="9">
        <v>44929</v>
      </c>
      <c r="F8" s="9">
        <v>45327</v>
      </c>
      <c r="G8" t="s">
        <v>45</v>
      </c>
      <c r="H8" t="s">
        <v>3511</v>
      </c>
      <c r="J8" t="s">
        <v>342</v>
      </c>
      <c r="K8" t="s">
        <v>48</v>
      </c>
      <c r="L8" t="s">
        <v>49</v>
      </c>
      <c r="M8" t="s">
        <v>50</v>
      </c>
      <c r="O8" t="s">
        <v>39</v>
      </c>
      <c r="P8" t="s">
        <v>39</v>
      </c>
      <c r="Q8" t="s">
        <v>40</v>
      </c>
      <c r="R8" t="s">
        <v>40</v>
      </c>
      <c r="S8" t="s">
        <v>40</v>
      </c>
      <c r="T8" t="s">
        <v>40</v>
      </c>
      <c r="U8" t="s">
        <v>40</v>
      </c>
      <c r="V8" t="s">
        <v>40</v>
      </c>
      <c r="W8" t="s">
        <v>40</v>
      </c>
      <c r="X8" t="s">
        <v>3512</v>
      </c>
      <c r="AB8" t="s">
        <v>3513</v>
      </c>
      <c r="AC8" t="s">
        <v>3514</v>
      </c>
    </row>
    <row r="9" spans="1:31" x14ac:dyDescent="0.2">
      <c r="A9">
        <v>37044621</v>
      </c>
      <c r="B9">
        <v>50688789</v>
      </c>
      <c r="C9" t="s">
        <v>3515</v>
      </c>
      <c r="D9" t="s">
        <v>3505</v>
      </c>
      <c r="E9" s="9">
        <v>44939</v>
      </c>
      <c r="F9" s="9">
        <v>45301</v>
      </c>
      <c r="G9" t="s">
        <v>33</v>
      </c>
      <c r="H9" t="s">
        <v>34</v>
      </c>
      <c r="I9" t="s">
        <v>34</v>
      </c>
      <c r="J9" t="s">
        <v>234</v>
      </c>
      <c r="K9" t="s">
        <v>48</v>
      </c>
      <c r="L9" t="s">
        <v>37</v>
      </c>
      <c r="O9" t="s">
        <v>39</v>
      </c>
      <c r="P9" t="s">
        <v>39</v>
      </c>
      <c r="Q9" t="s">
        <v>40</v>
      </c>
      <c r="R9" t="s">
        <v>40</v>
      </c>
      <c r="S9" t="s">
        <v>40</v>
      </c>
      <c r="T9" t="s">
        <v>40</v>
      </c>
      <c r="U9" t="s">
        <v>40</v>
      </c>
      <c r="V9" t="s">
        <v>40</v>
      </c>
      <c r="W9" t="s">
        <v>40</v>
      </c>
    </row>
    <row r="10" spans="1:31" x14ac:dyDescent="0.2">
      <c r="A10">
        <v>37104118</v>
      </c>
      <c r="B10">
        <v>51307485</v>
      </c>
      <c r="C10" t="s">
        <v>3516</v>
      </c>
      <c r="D10" t="s">
        <v>3505</v>
      </c>
      <c r="E10" s="9">
        <v>44946</v>
      </c>
      <c r="F10" s="9">
        <v>45212</v>
      </c>
      <c r="G10" t="s">
        <v>45</v>
      </c>
      <c r="H10" t="s">
        <v>46</v>
      </c>
      <c r="J10" t="s">
        <v>146</v>
      </c>
      <c r="K10" t="s">
        <v>36</v>
      </c>
      <c r="L10" t="s">
        <v>49</v>
      </c>
      <c r="M10" t="s">
        <v>50</v>
      </c>
      <c r="O10" t="s">
        <v>39</v>
      </c>
      <c r="P10" t="s">
        <v>39</v>
      </c>
      <c r="Q10" t="s">
        <v>40</v>
      </c>
      <c r="R10" t="s">
        <v>40</v>
      </c>
      <c r="S10" t="s">
        <v>40</v>
      </c>
      <c r="T10" t="s">
        <v>40</v>
      </c>
      <c r="U10" t="s">
        <v>40</v>
      </c>
      <c r="V10" t="s">
        <v>40</v>
      </c>
      <c r="W10" t="s">
        <v>40</v>
      </c>
      <c r="X10" t="s">
        <v>3517</v>
      </c>
      <c r="AB10" t="s">
        <v>3518</v>
      </c>
      <c r="AC10" t="s">
        <v>3519</v>
      </c>
      <c r="AD10" t="s">
        <v>3520</v>
      </c>
    </row>
    <row r="11" spans="1:31" x14ac:dyDescent="0.2">
      <c r="A11">
        <v>37289126</v>
      </c>
      <c r="B11">
        <v>51851698</v>
      </c>
      <c r="C11" t="s">
        <v>3521</v>
      </c>
      <c r="D11" t="s">
        <v>3505</v>
      </c>
      <c r="E11" s="9">
        <v>44967</v>
      </c>
      <c r="F11" s="9">
        <v>45833</v>
      </c>
      <c r="G11" t="s">
        <v>33</v>
      </c>
      <c r="H11" t="s">
        <v>242</v>
      </c>
      <c r="I11" t="s">
        <v>34</v>
      </c>
      <c r="J11" t="s">
        <v>286</v>
      </c>
      <c r="K11" t="s">
        <v>48</v>
      </c>
      <c r="L11" t="s">
        <v>49</v>
      </c>
      <c r="N11" t="s">
        <v>38</v>
      </c>
      <c r="O11" t="s">
        <v>39</v>
      </c>
      <c r="P11" t="s">
        <v>39</v>
      </c>
      <c r="Q11" t="s">
        <v>41</v>
      </c>
      <c r="R11" t="s">
        <v>40</v>
      </c>
      <c r="S11" t="s">
        <v>41</v>
      </c>
      <c r="T11" t="s">
        <v>41</v>
      </c>
      <c r="U11" t="s">
        <v>40</v>
      </c>
      <c r="V11" t="s">
        <v>40</v>
      </c>
      <c r="W11" t="s">
        <v>40</v>
      </c>
      <c r="X11" t="s">
        <v>3522</v>
      </c>
      <c r="AB11" t="s">
        <v>3523</v>
      </c>
      <c r="AC11" t="s">
        <v>3524</v>
      </c>
    </row>
    <row r="12" spans="1:31" x14ac:dyDescent="0.2">
      <c r="A12">
        <v>37325377</v>
      </c>
      <c r="B12">
        <v>51523246</v>
      </c>
      <c r="C12" t="s">
        <v>3525</v>
      </c>
      <c r="D12" t="s">
        <v>3505</v>
      </c>
      <c r="E12" s="9">
        <v>44971</v>
      </c>
      <c r="F12" s="9">
        <v>45405</v>
      </c>
      <c r="G12" t="s">
        <v>45</v>
      </c>
      <c r="H12" t="s">
        <v>46</v>
      </c>
      <c r="J12" t="s">
        <v>47</v>
      </c>
      <c r="K12" t="s">
        <v>36</v>
      </c>
      <c r="L12" t="s">
        <v>386</v>
      </c>
      <c r="M12" t="s">
        <v>50</v>
      </c>
      <c r="O12" t="s">
        <v>39</v>
      </c>
      <c r="P12" t="s">
        <v>39</v>
      </c>
      <c r="Q12" t="s">
        <v>41</v>
      </c>
      <c r="R12" t="s">
        <v>41</v>
      </c>
      <c r="S12" t="s">
        <v>40</v>
      </c>
      <c r="T12" t="s">
        <v>41</v>
      </c>
      <c r="U12" t="s">
        <v>39</v>
      </c>
      <c r="V12" t="s">
        <v>39</v>
      </c>
      <c r="W12" t="s">
        <v>40</v>
      </c>
      <c r="X12" t="s">
        <v>3526</v>
      </c>
      <c r="AB12" t="s">
        <v>3527</v>
      </c>
    </row>
    <row r="13" spans="1:31" x14ac:dyDescent="0.2">
      <c r="A13">
        <v>37361539</v>
      </c>
      <c r="B13">
        <v>52061185</v>
      </c>
      <c r="C13" t="s">
        <v>3528</v>
      </c>
      <c r="D13" t="s">
        <v>3505</v>
      </c>
      <c r="E13" s="9">
        <v>44975</v>
      </c>
      <c r="F13" s="9">
        <v>45387</v>
      </c>
      <c r="G13" t="s">
        <v>33</v>
      </c>
      <c r="H13" t="s">
        <v>34</v>
      </c>
      <c r="I13" t="s">
        <v>34</v>
      </c>
      <c r="J13" t="s">
        <v>3501</v>
      </c>
      <c r="K13" t="s">
        <v>48</v>
      </c>
      <c r="L13" t="s">
        <v>37</v>
      </c>
      <c r="O13" t="s">
        <v>39</v>
      </c>
      <c r="P13" t="s">
        <v>39</v>
      </c>
      <c r="Q13" t="s">
        <v>40</v>
      </c>
      <c r="R13" t="s">
        <v>40</v>
      </c>
      <c r="S13" t="s">
        <v>40</v>
      </c>
      <c r="T13" t="s">
        <v>40</v>
      </c>
      <c r="U13" t="s">
        <v>40</v>
      </c>
      <c r="V13" t="s">
        <v>40</v>
      </c>
      <c r="W13" t="s">
        <v>40</v>
      </c>
      <c r="AB13" t="s">
        <v>3529</v>
      </c>
    </row>
    <row r="14" spans="1:31" x14ac:dyDescent="0.2">
      <c r="A14">
        <v>37453231</v>
      </c>
      <c r="B14">
        <v>52037330</v>
      </c>
      <c r="C14" t="s">
        <v>3530</v>
      </c>
      <c r="D14" t="s">
        <v>3505</v>
      </c>
      <c r="E14" s="9">
        <v>44986</v>
      </c>
      <c r="F14" s="9">
        <v>45544</v>
      </c>
      <c r="G14" t="s">
        <v>33</v>
      </c>
      <c r="H14" t="s">
        <v>34</v>
      </c>
      <c r="I14" t="s">
        <v>34</v>
      </c>
      <c r="J14" t="s">
        <v>107</v>
      </c>
      <c r="K14" t="s">
        <v>48</v>
      </c>
      <c r="L14" t="s">
        <v>37</v>
      </c>
      <c r="N14" t="s">
        <v>38</v>
      </c>
      <c r="O14" t="s">
        <v>39</v>
      </c>
      <c r="P14" t="s">
        <v>39</v>
      </c>
      <c r="Q14" t="s">
        <v>41</v>
      </c>
      <c r="R14" t="s">
        <v>40</v>
      </c>
      <c r="S14" t="s">
        <v>41</v>
      </c>
      <c r="T14" t="s">
        <v>41</v>
      </c>
      <c r="U14" t="s">
        <v>40</v>
      </c>
      <c r="V14" t="s">
        <v>40</v>
      </c>
      <c r="W14" t="s">
        <v>40</v>
      </c>
      <c r="X14" t="s">
        <v>3531</v>
      </c>
      <c r="AB14" t="s">
        <v>3532</v>
      </c>
    </row>
    <row r="15" spans="1:31" x14ac:dyDescent="0.2">
      <c r="A15">
        <v>37456181</v>
      </c>
      <c r="B15">
        <v>51705747</v>
      </c>
      <c r="C15" t="s">
        <v>145</v>
      </c>
      <c r="D15" t="s">
        <v>3505</v>
      </c>
      <c r="E15" s="9">
        <v>44986</v>
      </c>
      <c r="F15" s="9">
        <v>45212</v>
      </c>
      <c r="G15" t="s">
        <v>45</v>
      </c>
      <c r="H15" t="s">
        <v>3533</v>
      </c>
      <c r="J15" t="s">
        <v>47</v>
      </c>
      <c r="K15" t="s">
        <v>48</v>
      </c>
      <c r="L15" t="s">
        <v>49</v>
      </c>
      <c r="M15" t="s">
        <v>74</v>
      </c>
      <c r="O15" t="s">
        <v>39</v>
      </c>
      <c r="P15" t="s">
        <v>39</v>
      </c>
      <c r="Q15" t="s">
        <v>40</v>
      </c>
      <c r="R15" t="s">
        <v>40</v>
      </c>
      <c r="S15" t="s">
        <v>40</v>
      </c>
      <c r="T15" t="s">
        <v>40</v>
      </c>
      <c r="U15" t="s">
        <v>40</v>
      </c>
      <c r="V15" t="s">
        <v>40</v>
      </c>
      <c r="W15" t="s">
        <v>40</v>
      </c>
      <c r="X15" t="s">
        <v>3534</v>
      </c>
      <c r="AB15" t="s">
        <v>3535</v>
      </c>
      <c r="AC15" t="s">
        <v>3536</v>
      </c>
    </row>
    <row r="16" spans="1:31" x14ac:dyDescent="0.2">
      <c r="A16">
        <v>37453298</v>
      </c>
      <c r="B16">
        <v>51998086</v>
      </c>
      <c r="C16" t="s">
        <v>3537</v>
      </c>
      <c r="D16" t="s">
        <v>3505</v>
      </c>
      <c r="E16" s="9">
        <v>44986</v>
      </c>
      <c r="F16" s="9">
        <v>45764</v>
      </c>
      <c r="G16" t="s">
        <v>33</v>
      </c>
      <c r="H16" t="s">
        <v>34</v>
      </c>
      <c r="I16" t="s">
        <v>34</v>
      </c>
      <c r="J16" t="s">
        <v>234</v>
      </c>
      <c r="K16" t="s">
        <v>48</v>
      </c>
      <c r="L16" t="s">
        <v>164</v>
      </c>
      <c r="O16" t="s">
        <v>39</v>
      </c>
      <c r="P16" t="s">
        <v>39</v>
      </c>
      <c r="Q16" t="s">
        <v>40</v>
      </c>
      <c r="R16" t="s">
        <v>40</v>
      </c>
      <c r="S16" t="s">
        <v>40</v>
      </c>
      <c r="T16" t="s">
        <v>40</v>
      </c>
      <c r="U16" t="s">
        <v>40</v>
      </c>
      <c r="V16" t="s">
        <v>40</v>
      </c>
      <c r="W16" t="s">
        <v>40</v>
      </c>
    </row>
    <row r="17" spans="1:30" x14ac:dyDescent="0.2">
      <c r="A17">
        <v>37464031</v>
      </c>
      <c r="B17">
        <v>51968837</v>
      </c>
      <c r="C17" t="s">
        <v>3538</v>
      </c>
      <c r="D17" t="s">
        <v>3505</v>
      </c>
      <c r="E17" s="9">
        <v>44987</v>
      </c>
      <c r="F17" s="9">
        <v>45764</v>
      </c>
      <c r="G17" t="s">
        <v>33</v>
      </c>
      <c r="H17" t="s">
        <v>34</v>
      </c>
      <c r="I17" t="s">
        <v>34</v>
      </c>
      <c r="J17" t="s">
        <v>286</v>
      </c>
      <c r="K17" t="s">
        <v>48</v>
      </c>
      <c r="L17" t="s">
        <v>37</v>
      </c>
      <c r="O17" t="s">
        <v>39</v>
      </c>
      <c r="P17" t="s">
        <v>39</v>
      </c>
      <c r="Q17" t="s">
        <v>40</v>
      </c>
      <c r="R17" t="s">
        <v>40</v>
      </c>
      <c r="S17" t="s">
        <v>40</v>
      </c>
      <c r="T17" t="s">
        <v>40</v>
      </c>
      <c r="U17" t="s">
        <v>40</v>
      </c>
      <c r="V17" t="s">
        <v>40</v>
      </c>
      <c r="W17" t="s">
        <v>40</v>
      </c>
      <c r="AB17" t="s">
        <v>3539</v>
      </c>
    </row>
    <row r="18" spans="1:30" x14ac:dyDescent="0.2">
      <c r="A18">
        <v>37507007</v>
      </c>
      <c r="B18">
        <v>51854280</v>
      </c>
      <c r="C18" t="s">
        <v>3540</v>
      </c>
      <c r="D18" t="s">
        <v>3505</v>
      </c>
      <c r="E18" s="9">
        <v>44992</v>
      </c>
      <c r="F18" s="9">
        <v>45296</v>
      </c>
      <c r="G18" t="s">
        <v>45</v>
      </c>
      <c r="H18" t="s">
        <v>46</v>
      </c>
      <c r="J18" t="s">
        <v>138</v>
      </c>
      <c r="K18" t="s">
        <v>48</v>
      </c>
      <c r="L18" t="s">
        <v>37</v>
      </c>
      <c r="M18" t="s">
        <v>50</v>
      </c>
      <c r="O18" t="s">
        <v>39</v>
      </c>
      <c r="P18" t="s">
        <v>39</v>
      </c>
      <c r="Q18" t="s">
        <v>40</v>
      </c>
      <c r="R18" t="s">
        <v>40</v>
      </c>
      <c r="S18" t="s">
        <v>40</v>
      </c>
      <c r="T18" t="s">
        <v>40</v>
      </c>
      <c r="U18" t="s">
        <v>40</v>
      </c>
      <c r="V18" t="s">
        <v>40</v>
      </c>
      <c r="W18" t="s">
        <v>40</v>
      </c>
      <c r="X18" t="s">
        <v>3541</v>
      </c>
      <c r="AB18" t="s">
        <v>3542</v>
      </c>
      <c r="AC18" t="s">
        <v>3543</v>
      </c>
      <c r="AD18" t="s">
        <v>3544</v>
      </c>
    </row>
    <row r="19" spans="1:30" x14ac:dyDescent="0.2">
      <c r="A19">
        <v>37535130</v>
      </c>
      <c r="B19">
        <v>52007420</v>
      </c>
      <c r="C19" t="s">
        <v>3545</v>
      </c>
      <c r="D19" t="s">
        <v>3505</v>
      </c>
      <c r="E19" s="9">
        <v>44995</v>
      </c>
      <c r="F19" s="9">
        <v>45346</v>
      </c>
      <c r="G19" t="s">
        <v>45</v>
      </c>
      <c r="H19" t="s">
        <v>3511</v>
      </c>
      <c r="J19" t="s">
        <v>138</v>
      </c>
      <c r="K19" t="s">
        <v>36</v>
      </c>
      <c r="L19" t="s">
        <v>386</v>
      </c>
      <c r="M19" t="s">
        <v>50</v>
      </c>
      <c r="O19" t="s">
        <v>39</v>
      </c>
      <c r="P19" t="s">
        <v>39</v>
      </c>
      <c r="Q19" t="s">
        <v>40</v>
      </c>
      <c r="R19" t="s">
        <v>40</v>
      </c>
      <c r="S19" t="s">
        <v>40</v>
      </c>
      <c r="T19" t="s">
        <v>40</v>
      </c>
      <c r="U19" t="s">
        <v>40</v>
      </c>
      <c r="V19" t="s">
        <v>40</v>
      </c>
      <c r="W19" t="s">
        <v>40</v>
      </c>
      <c r="AB19" t="s">
        <v>3546</v>
      </c>
      <c r="AC19" t="s">
        <v>3547</v>
      </c>
      <c r="AD19" t="s">
        <v>3548</v>
      </c>
    </row>
    <row r="20" spans="1:30" x14ac:dyDescent="0.2">
      <c r="A20">
        <v>37536132</v>
      </c>
      <c r="B20">
        <v>51705854</v>
      </c>
      <c r="C20" t="s">
        <v>3549</v>
      </c>
      <c r="D20" t="s">
        <v>3505</v>
      </c>
      <c r="E20" s="9">
        <v>44995</v>
      </c>
      <c r="F20" s="9">
        <v>45212</v>
      </c>
      <c r="G20" t="s">
        <v>45</v>
      </c>
      <c r="H20" t="s">
        <v>3533</v>
      </c>
      <c r="J20" t="s">
        <v>138</v>
      </c>
      <c r="K20" t="s">
        <v>48</v>
      </c>
      <c r="L20" t="s">
        <v>49</v>
      </c>
      <c r="M20" t="s">
        <v>74</v>
      </c>
      <c r="O20" t="s">
        <v>39</v>
      </c>
      <c r="P20" t="s">
        <v>39</v>
      </c>
      <c r="Q20" t="s">
        <v>40</v>
      </c>
      <c r="R20" t="s">
        <v>40</v>
      </c>
      <c r="S20" t="s">
        <v>40</v>
      </c>
      <c r="T20" t="s">
        <v>40</v>
      </c>
      <c r="U20" t="s">
        <v>40</v>
      </c>
      <c r="V20" t="s">
        <v>40</v>
      </c>
      <c r="W20" t="s">
        <v>40</v>
      </c>
      <c r="X20" t="s">
        <v>3550</v>
      </c>
      <c r="AB20" t="s">
        <v>3551</v>
      </c>
      <c r="AC20" t="s">
        <v>3552</v>
      </c>
    </row>
    <row r="21" spans="1:30" x14ac:dyDescent="0.2">
      <c r="A21">
        <v>37538674</v>
      </c>
      <c r="B21">
        <v>51993327</v>
      </c>
      <c r="C21" t="s">
        <v>2491</v>
      </c>
      <c r="D21" t="s">
        <v>3505</v>
      </c>
      <c r="E21" s="9">
        <v>44995</v>
      </c>
      <c r="F21" s="9">
        <v>45212</v>
      </c>
      <c r="G21" t="s">
        <v>45</v>
      </c>
      <c r="H21" t="s">
        <v>46</v>
      </c>
      <c r="J21" t="s">
        <v>47</v>
      </c>
      <c r="K21" t="s">
        <v>36</v>
      </c>
      <c r="L21" t="s">
        <v>49</v>
      </c>
      <c r="M21" t="s">
        <v>74</v>
      </c>
      <c r="O21" t="s">
        <v>39</v>
      </c>
      <c r="P21" t="s">
        <v>39</v>
      </c>
      <c r="Q21" t="s">
        <v>40</v>
      </c>
      <c r="R21" t="s">
        <v>40</v>
      </c>
      <c r="S21" t="s">
        <v>40</v>
      </c>
      <c r="T21" t="s">
        <v>40</v>
      </c>
      <c r="U21" t="s">
        <v>40</v>
      </c>
      <c r="V21" t="s">
        <v>40</v>
      </c>
      <c r="W21" t="s">
        <v>40</v>
      </c>
      <c r="X21" t="s">
        <v>3553</v>
      </c>
      <c r="AB21" t="s">
        <v>3554</v>
      </c>
    </row>
    <row r="22" spans="1:30" x14ac:dyDescent="0.2">
      <c r="A22">
        <v>37567406</v>
      </c>
      <c r="B22">
        <v>52018475</v>
      </c>
      <c r="C22" t="s">
        <v>3555</v>
      </c>
      <c r="D22" t="s">
        <v>3505</v>
      </c>
      <c r="E22" s="9">
        <v>44999</v>
      </c>
      <c r="F22" s="9">
        <v>45212</v>
      </c>
      <c r="G22" t="s">
        <v>45</v>
      </c>
      <c r="H22" t="s">
        <v>3511</v>
      </c>
      <c r="J22" t="s">
        <v>47</v>
      </c>
      <c r="K22" t="s">
        <v>48</v>
      </c>
      <c r="L22" t="s">
        <v>49</v>
      </c>
      <c r="M22" t="s">
        <v>50</v>
      </c>
      <c r="O22" t="s">
        <v>39</v>
      </c>
      <c r="P22" t="s">
        <v>39</v>
      </c>
      <c r="Q22" t="s">
        <v>40</v>
      </c>
      <c r="R22" t="s">
        <v>40</v>
      </c>
      <c r="S22" t="s">
        <v>40</v>
      </c>
      <c r="T22" t="s">
        <v>40</v>
      </c>
      <c r="U22" t="s">
        <v>40</v>
      </c>
      <c r="V22" t="s">
        <v>40</v>
      </c>
      <c r="W22" t="s">
        <v>40</v>
      </c>
      <c r="AB22" t="s">
        <v>3556</v>
      </c>
      <c r="AC22" t="s">
        <v>3557</v>
      </c>
    </row>
    <row r="23" spans="1:30" x14ac:dyDescent="0.2">
      <c r="A23">
        <v>37617770</v>
      </c>
      <c r="B23">
        <v>51307510</v>
      </c>
      <c r="C23" t="s">
        <v>3558</v>
      </c>
      <c r="D23" t="s">
        <v>3505</v>
      </c>
      <c r="E23" s="9">
        <v>45005</v>
      </c>
      <c r="F23" s="9">
        <v>45212</v>
      </c>
      <c r="G23" t="s">
        <v>45</v>
      </c>
      <c r="H23" t="s">
        <v>46</v>
      </c>
      <c r="J23" t="s">
        <v>146</v>
      </c>
      <c r="K23" t="s">
        <v>36</v>
      </c>
      <c r="L23" t="s">
        <v>49</v>
      </c>
      <c r="M23" t="s">
        <v>50</v>
      </c>
      <c r="O23" t="s">
        <v>39</v>
      </c>
      <c r="P23" t="s">
        <v>39</v>
      </c>
      <c r="Q23" t="s">
        <v>40</v>
      </c>
      <c r="R23" t="s">
        <v>40</v>
      </c>
      <c r="S23" t="s">
        <v>40</v>
      </c>
      <c r="T23" t="s">
        <v>40</v>
      </c>
      <c r="U23" t="s">
        <v>40</v>
      </c>
      <c r="V23" t="s">
        <v>40</v>
      </c>
      <c r="W23" t="s">
        <v>40</v>
      </c>
      <c r="X23" t="s">
        <v>3559</v>
      </c>
      <c r="AB23" t="s">
        <v>3560</v>
      </c>
      <c r="AC23" t="s">
        <v>3561</v>
      </c>
      <c r="AD23" t="s">
        <v>3562</v>
      </c>
    </row>
    <row r="24" spans="1:30" x14ac:dyDescent="0.2">
      <c r="A24">
        <v>37627580</v>
      </c>
      <c r="B24">
        <v>52108339</v>
      </c>
      <c r="C24" t="s">
        <v>3563</v>
      </c>
      <c r="D24" t="s">
        <v>3505</v>
      </c>
      <c r="E24" s="9">
        <v>45006</v>
      </c>
      <c r="F24" s="9">
        <v>45301</v>
      </c>
      <c r="G24" t="s">
        <v>33</v>
      </c>
      <c r="H24" t="s">
        <v>34</v>
      </c>
      <c r="I24" t="s">
        <v>34</v>
      </c>
      <c r="J24" t="s">
        <v>234</v>
      </c>
      <c r="K24" t="s">
        <v>36</v>
      </c>
      <c r="L24" t="s">
        <v>37</v>
      </c>
      <c r="O24" t="s">
        <v>39</v>
      </c>
      <c r="P24" t="s">
        <v>39</v>
      </c>
      <c r="Q24" t="s">
        <v>40</v>
      </c>
      <c r="R24" t="s">
        <v>40</v>
      </c>
      <c r="S24" t="s">
        <v>40</v>
      </c>
      <c r="T24" t="s">
        <v>40</v>
      </c>
      <c r="U24" t="s">
        <v>40</v>
      </c>
      <c r="V24" t="s">
        <v>40</v>
      </c>
      <c r="W24" t="s">
        <v>40</v>
      </c>
    </row>
    <row r="25" spans="1:30" x14ac:dyDescent="0.2">
      <c r="A25">
        <v>37685772</v>
      </c>
      <c r="B25">
        <v>52129747</v>
      </c>
      <c r="C25" t="s">
        <v>3564</v>
      </c>
      <c r="D25" t="s">
        <v>3505</v>
      </c>
      <c r="E25" s="9">
        <v>45013</v>
      </c>
      <c r="F25" s="9">
        <v>45346</v>
      </c>
      <c r="G25" t="s">
        <v>45</v>
      </c>
      <c r="H25" t="s">
        <v>3565</v>
      </c>
      <c r="J25" t="s">
        <v>146</v>
      </c>
      <c r="K25" t="s">
        <v>36</v>
      </c>
      <c r="L25" t="s">
        <v>37</v>
      </c>
      <c r="M25" t="s">
        <v>50</v>
      </c>
      <c r="O25" t="s">
        <v>39</v>
      </c>
      <c r="P25" t="s">
        <v>39</v>
      </c>
      <c r="Q25" t="s">
        <v>41</v>
      </c>
      <c r="R25" t="s">
        <v>41</v>
      </c>
      <c r="S25" t="s">
        <v>40</v>
      </c>
      <c r="T25" t="s">
        <v>41</v>
      </c>
      <c r="U25" t="s">
        <v>40</v>
      </c>
      <c r="V25" t="s">
        <v>40</v>
      </c>
      <c r="W25" t="s">
        <v>40</v>
      </c>
      <c r="X25" t="s">
        <v>3566</v>
      </c>
      <c r="AB25" t="s">
        <v>3567</v>
      </c>
    </row>
    <row r="26" spans="1:30" x14ac:dyDescent="0.2">
      <c r="A26">
        <v>37700837</v>
      </c>
      <c r="B26">
        <v>51968777</v>
      </c>
      <c r="C26" t="s">
        <v>3568</v>
      </c>
      <c r="D26" t="s">
        <v>3505</v>
      </c>
      <c r="E26" s="9">
        <v>45014</v>
      </c>
      <c r="F26" s="9">
        <v>45764</v>
      </c>
      <c r="G26" t="s">
        <v>33</v>
      </c>
      <c r="H26" t="s">
        <v>34</v>
      </c>
      <c r="I26" t="s">
        <v>34</v>
      </c>
      <c r="J26" t="s">
        <v>234</v>
      </c>
      <c r="K26" t="s">
        <v>48</v>
      </c>
      <c r="L26" t="s">
        <v>37</v>
      </c>
      <c r="O26" t="s">
        <v>39</v>
      </c>
      <c r="P26" t="s">
        <v>39</v>
      </c>
      <c r="Q26" t="s">
        <v>40</v>
      </c>
      <c r="R26" t="s">
        <v>40</v>
      </c>
      <c r="S26" t="s">
        <v>40</v>
      </c>
      <c r="T26" t="s">
        <v>40</v>
      </c>
      <c r="U26" t="s">
        <v>40</v>
      </c>
      <c r="V26" t="s">
        <v>40</v>
      </c>
      <c r="W26" t="s">
        <v>40</v>
      </c>
    </row>
    <row r="27" spans="1:30" x14ac:dyDescent="0.2">
      <c r="A27">
        <v>37700839</v>
      </c>
      <c r="B27">
        <v>51989216</v>
      </c>
      <c r="C27" t="s">
        <v>3569</v>
      </c>
      <c r="D27" t="s">
        <v>3505</v>
      </c>
      <c r="E27" s="9">
        <v>45014</v>
      </c>
      <c r="F27" s="9">
        <v>45301</v>
      </c>
      <c r="G27" t="s">
        <v>33</v>
      </c>
      <c r="H27" t="s">
        <v>1236</v>
      </c>
      <c r="I27" t="s">
        <v>34</v>
      </c>
      <c r="J27" t="s">
        <v>234</v>
      </c>
      <c r="K27" t="s">
        <v>48</v>
      </c>
      <c r="L27" t="s">
        <v>49</v>
      </c>
      <c r="O27" t="s">
        <v>39</v>
      </c>
      <c r="P27" t="s">
        <v>39</v>
      </c>
      <c r="Q27" t="s">
        <v>40</v>
      </c>
      <c r="R27" t="s">
        <v>40</v>
      </c>
      <c r="S27" t="s">
        <v>40</v>
      </c>
      <c r="T27" t="s">
        <v>40</v>
      </c>
      <c r="U27" t="s">
        <v>40</v>
      </c>
      <c r="V27" t="s">
        <v>40</v>
      </c>
      <c r="W27" t="s">
        <v>40</v>
      </c>
    </row>
    <row r="28" spans="1:30" x14ac:dyDescent="0.2">
      <c r="A28">
        <v>37700842</v>
      </c>
      <c r="B28">
        <v>41787768</v>
      </c>
      <c r="C28" t="s">
        <v>3570</v>
      </c>
      <c r="D28" t="s">
        <v>3505</v>
      </c>
      <c r="E28" s="9">
        <v>45014</v>
      </c>
      <c r="F28" s="9">
        <v>45764</v>
      </c>
      <c r="G28" t="s">
        <v>33</v>
      </c>
      <c r="H28" t="s">
        <v>242</v>
      </c>
      <c r="I28" t="s">
        <v>34</v>
      </c>
      <c r="J28" t="s">
        <v>234</v>
      </c>
      <c r="K28" t="s">
        <v>48</v>
      </c>
      <c r="L28" t="s">
        <v>37</v>
      </c>
      <c r="O28" t="s">
        <v>39</v>
      </c>
      <c r="P28" t="s">
        <v>39</v>
      </c>
      <c r="Q28" t="s">
        <v>40</v>
      </c>
      <c r="R28" t="s">
        <v>40</v>
      </c>
      <c r="S28" t="s">
        <v>40</v>
      </c>
      <c r="T28" t="s">
        <v>40</v>
      </c>
      <c r="U28" t="s">
        <v>40</v>
      </c>
      <c r="V28" t="s">
        <v>40</v>
      </c>
      <c r="W28" t="s">
        <v>40</v>
      </c>
      <c r="AB28" t="s">
        <v>3571</v>
      </c>
      <c r="AC28" t="s">
        <v>3572</v>
      </c>
    </row>
    <row r="29" spans="1:30" x14ac:dyDescent="0.2">
      <c r="A29">
        <v>37737042</v>
      </c>
      <c r="B29">
        <v>52364454</v>
      </c>
      <c r="C29" t="s">
        <v>3573</v>
      </c>
      <c r="D29" t="s">
        <v>3505</v>
      </c>
      <c r="E29" s="9">
        <v>45019</v>
      </c>
      <c r="F29" s="9">
        <v>45296</v>
      </c>
      <c r="G29" t="s">
        <v>45</v>
      </c>
      <c r="H29" t="s">
        <v>96</v>
      </c>
      <c r="J29" t="s">
        <v>286</v>
      </c>
      <c r="K29" t="s">
        <v>48</v>
      </c>
      <c r="L29" t="s">
        <v>37</v>
      </c>
      <c r="M29" t="s">
        <v>74</v>
      </c>
      <c r="O29" t="s">
        <v>39</v>
      </c>
      <c r="P29" t="s">
        <v>39</v>
      </c>
      <c r="Q29" t="s">
        <v>40</v>
      </c>
      <c r="R29" t="s">
        <v>40</v>
      </c>
      <c r="S29" t="s">
        <v>40</v>
      </c>
      <c r="T29" t="s">
        <v>40</v>
      </c>
      <c r="U29" t="s">
        <v>40</v>
      </c>
      <c r="V29" t="s">
        <v>40</v>
      </c>
      <c r="W29" t="s">
        <v>40</v>
      </c>
      <c r="AB29" t="s">
        <v>3574</v>
      </c>
      <c r="AC29" t="s">
        <v>3575</v>
      </c>
    </row>
    <row r="30" spans="1:30" x14ac:dyDescent="0.2">
      <c r="A30">
        <v>37760282</v>
      </c>
      <c r="B30">
        <v>52317866</v>
      </c>
      <c r="C30" t="s">
        <v>3576</v>
      </c>
      <c r="D30" t="s">
        <v>3505</v>
      </c>
      <c r="E30" s="9">
        <v>45022</v>
      </c>
      <c r="F30" s="9">
        <v>45301</v>
      </c>
      <c r="G30" t="s">
        <v>33</v>
      </c>
      <c r="H30" t="s">
        <v>34</v>
      </c>
      <c r="I30" t="s">
        <v>34</v>
      </c>
      <c r="J30" t="s">
        <v>234</v>
      </c>
      <c r="K30" t="s">
        <v>48</v>
      </c>
      <c r="L30" t="s">
        <v>164</v>
      </c>
      <c r="O30" t="s">
        <v>39</v>
      </c>
      <c r="P30" t="s">
        <v>39</v>
      </c>
      <c r="Q30" t="s">
        <v>40</v>
      </c>
      <c r="R30" t="s">
        <v>40</v>
      </c>
      <c r="S30" t="s">
        <v>40</v>
      </c>
      <c r="T30" t="s">
        <v>40</v>
      </c>
      <c r="U30" t="s">
        <v>40</v>
      </c>
      <c r="V30" t="s">
        <v>40</v>
      </c>
      <c r="W30" t="s">
        <v>40</v>
      </c>
      <c r="AB30" t="s">
        <v>3577</v>
      </c>
    </row>
    <row r="31" spans="1:30" x14ac:dyDescent="0.2">
      <c r="A31">
        <v>37760469</v>
      </c>
      <c r="B31">
        <v>52239691</v>
      </c>
      <c r="C31" t="s">
        <v>31</v>
      </c>
      <c r="D31" t="s">
        <v>32</v>
      </c>
      <c r="E31" s="9">
        <v>45022</v>
      </c>
      <c r="G31" t="s">
        <v>33</v>
      </c>
      <c r="H31" t="s">
        <v>34</v>
      </c>
      <c r="I31" t="s">
        <v>34</v>
      </c>
      <c r="J31" t="s">
        <v>35</v>
      </c>
      <c r="K31" t="s">
        <v>36</v>
      </c>
      <c r="L31" t="s">
        <v>37</v>
      </c>
      <c r="N31" t="s">
        <v>38</v>
      </c>
      <c r="O31" t="s">
        <v>39</v>
      </c>
      <c r="P31" t="s">
        <v>39</v>
      </c>
      <c r="Q31" t="s">
        <v>39</v>
      </c>
      <c r="R31" t="s">
        <v>40</v>
      </c>
      <c r="S31" t="s">
        <v>41</v>
      </c>
      <c r="T31" t="s">
        <v>41</v>
      </c>
      <c r="U31" t="s">
        <v>40</v>
      </c>
      <c r="V31" t="s">
        <v>40</v>
      </c>
      <c r="W31" t="s">
        <v>39</v>
      </c>
      <c r="AB31" t="s">
        <v>42</v>
      </c>
    </row>
    <row r="32" spans="1:30" x14ac:dyDescent="0.2">
      <c r="A32">
        <v>37760729</v>
      </c>
      <c r="B32">
        <v>52344596</v>
      </c>
      <c r="C32" t="s">
        <v>3578</v>
      </c>
      <c r="D32" t="s">
        <v>3505</v>
      </c>
      <c r="E32" s="9">
        <v>45022</v>
      </c>
      <c r="F32" s="9">
        <v>45764</v>
      </c>
      <c r="G32" t="s">
        <v>33</v>
      </c>
      <c r="H32" t="s">
        <v>34</v>
      </c>
      <c r="I32" t="s">
        <v>34</v>
      </c>
      <c r="J32" t="s">
        <v>234</v>
      </c>
      <c r="K32" t="s">
        <v>36</v>
      </c>
      <c r="L32" t="s">
        <v>49</v>
      </c>
      <c r="O32" t="s">
        <v>39</v>
      </c>
      <c r="P32" t="s">
        <v>39</v>
      </c>
      <c r="Q32" t="s">
        <v>40</v>
      </c>
      <c r="R32" t="s">
        <v>40</v>
      </c>
      <c r="S32" t="s">
        <v>40</v>
      </c>
      <c r="T32" t="s">
        <v>40</v>
      </c>
      <c r="U32" t="s">
        <v>40</v>
      </c>
      <c r="V32" t="s">
        <v>40</v>
      </c>
      <c r="W32" t="s">
        <v>40</v>
      </c>
      <c r="AB32" t="s">
        <v>3579</v>
      </c>
    </row>
    <row r="33" spans="1:30" x14ac:dyDescent="0.2">
      <c r="A33">
        <v>37915125</v>
      </c>
      <c r="B33">
        <v>51802788</v>
      </c>
      <c r="C33" t="s">
        <v>3580</v>
      </c>
      <c r="D33" t="s">
        <v>3505</v>
      </c>
      <c r="E33" s="9">
        <v>45042</v>
      </c>
      <c r="F33" s="9">
        <v>45764</v>
      </c>
      <c r="G33" t="s">
        <v>33</v>
      </c>
      <c r="H33" t="s">
        <v>34</v>
      </c>
      <c r="I33" t="s">
        <v>34</v>
      </c>
      <c r="J33" t="s">
        <v>3501</v>
      </c>
      <c r="K33" t="s">
        <v>36</v>
      </c>
      <c r="L33" t="s">
        <v>164</v>
      </c>
      <c r="N33" t="s">
        <v>38</v>
      </c>
      <c r="O33" t="s">
        <v>39</v>
      </c>
      <c r="P33" t="s">
        <v>39</v>
      </c>
      <c r="Q33" t="s">
        <v>41</v>
      </c>
      <c r="R33" t="s">
        <v>40</v>
      </c>
      <c r="S33" t="s">
        <v>41</v>
      </c>
      <c r="T33" t="s">
        <v>41</v>
      </c>
      <c r="U33" t="s">
        <v>40</v>
      </c>
      <c r="V33" t="s">
        <v>40</v>
      </c>
      <c r="W33" t="s">
        <v>40</v>
      </c>
      <c r="AB33" t="s">
        <v>3581</v>
      </c>
    </row>
    <row r="34" spans="1:30" x14ac:dyDescent="0.2">
      <c r="A34">
        <v>37964979</v>
      </c>
      <c r="B34">
        <v>52472600</v>
      </c>
      <c r="C34" t="s">
        <v>3582</v>
      </c>
      <c r="D34" t="s">
        <v>3505</v>
      </c>
      <c r="E34" s="9">
        <v>45048</v>
      </c>
      <c r="F34" s="9">
        <v>45212</v>
      </c>
      <c r="G34" t="s">
        <v>45</v>
      </c>
      <c r="H34" t="s">
        <v>90</v>
      </c>
      <c r="J34" t="s">
        <v>138</v>
      </c>
      <c r="K34" t="s">
        <v>48</v>
      </c>
      <c r="L34" t="s">
        <v>37</v>
      </c>
      <c r="M34" t="s">
        <v>74</v>
      </c>
      <c r="O34" t="s">
        <v>39</v>
      </c>
      <c r="P34" t="s">
        <v>39</v>
      </c>
      <c r="Q34" t="s">
        <v>40</v>
      </c>
      <c r="R34" t="s">
        <v>40</v>
      </c>
      <c r="S34" t="s">
        <v>40</v>
      </c>
      <c r="T34" t="s">
        <v>40</v>
      </c>
      <c r="U34" t="s">
        <v>40</v>
      </c>
      <c r="V34" t="s">
        <v>40</v>
      </c>
      <c r="W34" t="s">
        <v>40</v>
      </c>
      <c r="AB34" t="s">
        <v>3583</v>
      </c>
    </row>
    <row r="35" spans="1:30" x14ac:dyDescent="0.2">
      <c r="A35">
        <v>38078661</v>
      </c>
      <c r="B35">
        <v>52154552</v>
      </c>
      <c r="C35" t="s">
        <v>3584</v>
      </c>
      <c r="D35" t="s">
        <v>3505</v>
      </c>
      <c r="E35" s="9">
        <v>45062</v>
      </c>
      <c r="F35" s="9">
        <v>45212</v>
      </c>
      <c r="G35" t="s">
        <v>45</v>
      </c>
      <c r="H35" t="s">
        <v>96</v>
      </c>
      <c r="J35" t="s">
        <v>146</v>
      </c>
      <c r="K35" t="s">
        <v>48</v>
      </c>
      <c r="L35" t="s">
        <v>49</v>
      </c>
      <c r="M35" t="s">
        <v>74</v>
      </c>
      <c r="O35" t="s">
        <v>39</v>
      </c>
      <c r="P35" t="s">
        <v>39</v>
      </c>
      <c r="Q35" t="s">
        <v>40</v>
      </c>
      <c r="R35" t="s">
        <v>40</v>
      </c>
      <c r="S35" t="s">
        <v>40</v>
      </c>
      <c r="T35" t="s">
        <v>40</v>
      </c>
      <c r="U35" t="s">
        <v>40</v>
      </c>
      <c r="V35" t="s">
        <v>40</v>
      </c>
      <c r="W35" t="s">
        <v>40</v>
      </c>
      <c r="AB35" t="s">
        <v>3585</v>
      </c>
    </row>
    <row r="36" spans="1:30" x14ac:dyDescent="0.2">
      <c r="A36">
        <v>38080601</v>
      </c>
      <c r="B36">
        <v>51992246</v>
      </c>
      <c r="C36" t="s">
        <v>3586</v>
      </c>
      <c r="D36" t="s">
        <v>3505</v>
      </c>
      <c r="E36" s="9">
        <v>45062</v>
      </c>
      <c r="F36" s="9">
        <v>45296</v>
      </c>
      <c r="G36" t="s">
        <v>45</v>
      </c>
      <c r="H36" t="s">
        <v>3511</v>
      </c>
      <c r="J36" t="s">
        <v>146</v>
      </c>
      <c r="K36" t="s">
        <v>36</v>
      </c>
      <c r="L36" t="s">
        <v>37</v>
      </c>
      <c r="M36" t="s">
        <v>50</v>
      </c>
      <c r="O36" t="s">
        <v>39</v>
      </c>
      <c r="P36" t="s">
        <v>39</v>
      </c>
      <c r="Q36" t="s">
        <v>40</v>
      </c>
      <c r="R36" t="s">
        <v>40</v>
      </c>
      <c r="S36" t="s">
        <v>40</v>
      </c>
      <c r="T36" t="s">
        <v>40</v>
      </c>
      <c r="U36" t="s">
        <v>40</v>
      </c>
      <c r="V36" t="s">
        <v>40</v>
      </c>
      <c r="W36" t="s">
        <v>40</v>
      </c>
      <c r="AB36" t="s">
        <v>3587</v>
      </c>
      <c r="AC36" t="s">
        <v>3588</v>
      </c>
    </row>
    <row r="37" spans="1:30" x14ac:dyDescent="0.2">
      <c r="A37">
        <v>38079989</v>
      </c>
      <c r="B37">
        <v>52054883</v>
      </c>
      <c r="C37" t="s">
        <v>3589</v>
      </c>
      <c r="D37" t="s">
        <v>3505</v>
      </c>
      <c r="E37" s="9">
        <v>45062</v>
      </c>
      <c r="F37" s="9">
        <v>45296</v>
      </c>
      <c r="G37" t="s">
        <v>45</v>
      </c>
      <c r="H37" t="s">
        <v>96</v>
      </c>
      <c r="J37" t="s">
        <v>146</v>
      </c>
      <c r="K37" t="s">
        <v>36</v>
      </c>
      <c r="L37" t="s">
        <v>37</v>
      </c>
      <c r="M37" t="s">
        <v>74</v>
      </c>
      <c r="O37" t="s">
        <v>39</v>
      </c>
      <c r="P37" t="s">
        <v>39</v>
      </c>
      <c r="Q37" t="s">
        <v>40</v>
      </c>
      <c r="R37" t="s">
        <v>40</v>
      </c>
      <c r="S37" t="s">
        <v>40</v>
      </c>
      <c r="T37" t="s">
        <v>40</v>
      </c>
      <c r="U37" t="s">
        <v>40</v>
      </c>
      <c r="V37" t="s">
        <v>40</v>
      </c>
      <c r="W37" t="s">
        <v>40</v>
      </c>
      <c r="AB37" t="s">
        <v>3590</v>
      </c>
      <c r="AC37" t="s">
        <v>3591</v>
      </c>
    </row>
    <row r="38" spans="1:30" x14ac:dyDescent="0.2">
      <c r="A38">
        <v>38088425</v>
      </c>
      <c r="B38">
        <v>52422128</v>
      </c>
      <c r="C38" t="s">
        <v>3592</v>
      </c>
      <c r="D38" t="s">
        <v>3505</v>
      </c>
      <c r="E38" s="9">
        <v>45063</v>
      </c>
      <c r="F38" s="9">
        <v>45301</v>
      </c>
      <c r="G38" t="s">
        <v>33</v>
      </c>
      <c r="H38" t="s">
        <v>34</v>
      </c>
      <c r="I38" t="s">
        <v>34</v>
      </c>
      <c r="J38" t="s">
        <v>286</v>
      </c>
      <c r="K38" t="s">
        <v>36</v>
      </c>
      <c r="L38" t="s">
        <v>164</v>
      </c>
      <c r="O38" t="s">
        <v>39</v>
      </c>
      <c r="P38" t="s">
        <v>39</v>
      </c>
      <c r="Q38" t="s">
        <v>40</v>
      </c>
      <c r="R38" t="s">
        <v>40</v>
      </c>
      <c r="S38" t="s">
        <v>40</v>
      </c>
      <c r="T38" t="s">
        <v>40</v>
      </c>
      <c r="U38" t="s">
        <v>40</v>
      </c>
      <c r="V38" t="s">
        <v>40</v>
      </c>
      <c r="W38" t="s">
        <v>40</v>
      </c>
    </row>
    <row r="39" spans="1:30" x14ac:dyDescent="0.2">
      <c r="A39">
        <v>38088708</v>
      </c>
      <c r="B39">
        <v>52422133</v>
      </c>
      <c r="C39" t="s">
        <v>3593</v>
      </c>
      <c r="D39" t="s">
        <v>3505</v>
      </c>
      <c r="E39" s="9">
        <v>45063</v>
      </c>
      <c r="F39" s="9">
        <v>45301</v>
      </c>
      <c r="G39" t="s">
        <v>33</v>
      </c>
      <c r="H39" t="s">
        <v>34</v>
      </c>
      <c r="I39" t="s">
        <v>34</v>
      </c>
      <c r="J39" t="s">
        <v>286</v>
      </c>
      <c r="K39" t="s">
        <v>48</v>
      </c>
      <c r="L39" t="s">
        <v>164</v>
      </c>
      <c r="O39" t="s">
        <v>39</v>
      </c>
      <c r="P39" t="s">
        <v>39</v>
      </c>
      <c r="Q39" t="s">
        <v>40</v>
      </c>
      <c r="R39" t="s">
        <v>40</v>
      </c>
      <c r="S39" t="s">
        <v>40</v>
      </c>
      <c r="T39" t="s">
        <v>40</v>
      </c>
      <c r="U39" t="s">
        <v>40</v>
      </c>
      <c r="V39" t="s">
        <v>40</v>
      </c>
      <c r="W39" t="s">
        <v>40</v>
      </c>
    </row>
    <row r="40" spans="1:30" x14ac:dyDescent="0.2">
      <c r="A40">
        <v>38111825</v>
      </c>
      <c r="B40">
        <v>52631372</v>
      </c>
      <c r="C40" t="s">
        <v>3594</v>
      </c>
      <c r="D40" t="s">
        <v>3505</v>
      </c>
      <c r="E40" s="9">
        <v>45065</v>
      </c>
      <c r="F40" s="9">
        <v>45301</v>
      </c>
      <c r="G40" t="s">
        <v>33</v>
      </c>
      <c r="H40" t="s">
        <v>34</v>
      </c>
      <c r="I40" t="s">
        <v>34</v>
      </c>
      <c r="J40" t="s">
        <v>3501</v>
      </c>
      <c r="K40" t="s">
        <v>36</v>
      </c>
      <c r="L40" t="s">
        <v>164</v>
      </c>
      <c r="O40" t="s">
        <v>39</v>
      </c>
      <c r="P40" t="s">
        <v>39</v>
      </c>
      <c r="Q40" t="s">
        <v>40</v>
      </c>
      <c r="R40" t="s">
        <v>40</v>
      </c>
      <c r="S40" t="s">
        <v>40</v>
      </c>
      <c r="T40" t="s">
        <v>40</v>
      </c>
      <c r="U40" t="s">
        <v>40</v>
      </c>
      <c r="V40" t="s">
        <v>40</v>
      </c>
      <c r="W40" t="s">
        <v>40</v>
      </c>
      <c r="AB40" t="s">
        <v>3595</v>
      </c>
    </row>
    <row r="41" spans="1:30" x14ac:dyDescent="0.2">
      <c r="A41">
        <v>38112550</v>
      </c>
      <c r="B41">
        <v>52631416</v>
      </c>
      <c r="C41" t="s">
        <v>3596</v>
      </c>
      <c r="D41" t="s">
        <v>3505</v>
      </c>
      <c r="E41" s="9">
        <v>45065</v>
      </c>
      <c r="F41" s="9">
        <v>45301</v>
      </c>
      <c r="G41" t="s">
        <v>33</v>
      </c>
      <c r="H41" t="s">
        <v>34</v>
      </c>
      <c r="I41" t="s">
        <v>34</v>
      </c>
      <c r="J41" t="s">
        <v>234</v>
      </c>
      <c r="K41" t="s">
        <v>36</v>
      </c>
      <c r="L41" t="s">
        <v>164</v>
      </c>
      <c r="O41" t="s">
        <v>39</v>
      </c>
      <c r="P41" t="s">
        <v>39</v>
      </c>
      <c r="Q41" t="s">
        <v>40</v>
      </c>
      <c r="R41" t="s">
        <v>40</v>
      </c>
      <c r="S41" t="s">
        <v>40</v>
      </c>
      <c r="T41" t="s">
        <v>40</v>
      </c>
      <c r="U41" t="s">
        <v>40</v>
      </c>
      <c r="V41" t="s">
        <v>40</v>
      </c>
      <c r="W41" t="s">
        <v>40</v>
      </c>
      <c r="AB41" t="s">
        <v>3597</v>
      </c>
    </row>
    <row r="42" spans="1:30" x14ac:dyDescent="0.2">
      <c r="A42">
        <v>38109079</v>
      </c>
      <c r="B42">
        <v>52283642</v>
      </c>
      <c r="C42" t="s">
        <v>3598</v>
      </c>
      <c r="D42" t="s">
        <v>3505</v>
      </c>
      <c r="E42" s="9">
        <v>45065</v>
      </c>
      <c r="F42" s="9">
        <v>45296</v>
      </c>
      <c r="G42" t="s">
        <v>45</v>
      </c>
      <c r="H42" t="s">
        <v>96</v>
      </c>
      <c r="J42" t="s">
        <v>138</v>
      </c>
      <c r="K42" t="s">
        <v>36</v>
      </c>
      <c r="L42" t="s">
        <v>49</v>
      </c>
      <c r="M42" t="s">
        <v>50</v>
      </c>
      <c r="O42" t="s">
        <v>39</v>
      </c>
      <c r="P42" t="s">
        <v>39</v>
      </c>
      <c r="Q42" t="s">
        <v>40</v>
      </c>
      <c r="R42" t="s">
        <v>40</v>
      </c>
      <c r="S42" t="s">
        <v>40</v>
      </c>
      <c r="T42" t="s">
        <v>40</v>
      </c>
      <c r="U42" t="s">
        <v>40</v>
      </c>
      <c r="V42" t="s">
        <v>40</v>
      </c>
      <c r="W42" t="s">
        <v>40</v>
      </c>
      <c r="AB42" t="s">
        <v>3599</v>
      </c>
      <c r="AC42" t="s">
        <v>3600</v>
      </c>
      <c r="AD42" t="s">
        <v>3601</v>
      </c>
    </row>
    <row r="43" spans="1:30" x14ac:dyDescent="0.2">
      <c r="A43">
        <v>38112842</v>
      </c>
      <c r="B43">
        <v>52631342</v>
      </c>
      <c r="C43" t="s">
        <v>3602</v>
      </c>
      <c r="D43" t="s">
        <v>3505</v>
      </c>
      <c r="E43" s="9">
        <v>45065</v>
      </c>
      <c r="F43" s="9">
        <v>45387</v>
      </c>
      <c r="G43" t="s">
        <v>33</v>
      </c>
      <c r="H43" t="s">
        <v>34</v>
      </c>
      <c r="I43" t="s">
        <v>34</v>
      </c>
      <c r="J43" t="s">
        <v>234</v>
      </c>
      <c r="K43" t="s">
        <v>36</v>
      </c>
      <c r="L43" t="s">
        <v>164</v>
      </c>
      <c r="O43" t="s">
        <v>39</v>
      </c>
      <c r="P43" t="s">
        <v>39</v>
      </c>
      <c r="Q43" t="s">
        <v>40</v>
      </c>
      <c r="R43" t="s">
        <v>40</v>
      </c>
      <c r="S43" t="s">
        <v>40</v>
      </c>
      <c r="T43" t="s">
        <v>40</v>
      </c>
      <c r="U43" t="s">
        <v>40</v>
      </c>
      <c r="V43" t="s">
        <v>40</v>
      </c>
      <c r="W43" t="s">
        <v>40</v>
      </c>
      <c r="AB43" t="s">
        <v>3603</v>
      </c>
    </row>
    <row r="44" spans="1:30" x14ac:dyDescent="0.2">
      <c r="A44">
        <v>38160582</v>
      </c>
      <c r="B44">
        <v>51925463</v>
      </c>
      <c r="C44" t="s">
        <v>3604</v>
      </c>
      <c r="D44" t="s">
        <v>3505</v>
      </c>
      <c r="E44" s="9">
        <v>45071</v>
      </c>
      <c r="F44" s="9">
        <v>45212</v>
      </c>
      <c r="G44" t="s">
        <v>45</v>
      </c>
      <c r="H44" t="s">
        <v>46</v>
      </c>
      <c r="J44" t="s">
        <v>286</v>
      </c>
      <c r="K44" t="s">
        <v>36</v>
      </c>
      <c r="L44" t="s">
        <v>37</v>
      </c>
      <c r="M44" t="s">
        <v>50</v>
      </c>
      <c r="O44" t="s">
        <v>39</v>
      </c>
      <c r="P44" t="s">
        <v>39</v>
      </c>
      <c r="Q44" t="s">
        <v>40</v>
      </c>
      <c r="R44" t="s">
        <v>40</v>
      </c>
      <c r="S44" t="s">
        <v>40</v>
      </c>
      <c r="T44" t="s">
        <v>40</v>
      </c>
      <c r="U44" t="s">
        <v>40</v>
      </c>
      <c r="V44" t="s">
        <v>40</v>
      </c>
      <c r="W44" t="s">
        <v>40</v>
      </c>
      <c r="AB44" t="s">
        <v>3605</v>
      </c>
      <c r="AC44" t="s">
        <v>3606</v>
      </c>
    </row>
    <row r="45" spans="1:30" x14ac:dyDescent="0.2">
      <c r="A45">
        <v>38223509</v>
      </c>
      <c r="B45">
        <v>52348143</v>
      </c>
      <c r="C45" t="s">
        <v>3607</v>
      </c>
      <c r="D45" t="s">
        <v>3505</v>
      </c>
      <c r="E45" s="9">
        <v>45078</v>
      </c>
      <c r="F45" s="9">
        <v>45389</v>
      </c>
      <c r="G45" t="s">
        <v>33</v>
      </c>
      <c r="H45" t="s">
        <v>34</v>
      </c>
      <c r="I45" t="s">
        <v>34</v>
      </c>
      <c r="J45" t="s">
        <v>234</v>
      </c>
      <c r="K45" t="s">
        <v>36</v>
      </c>
      <c r="L45" t="s">
        <v>37</v>
      </c>
      <c r="O45" t="s">
        <v>39</v>
      </c>
      <c r="P45" t="s">
        <v>39</v>
      </c>
      <c r="Q45" t="s">
        <v>40</v>
      </c>
      <c r="R45" t="s">
        <v>40</v>
      </c>
      <c r="S45" t="s">
        <v>40</v>
      </c>
      <c r="T45" t="s">
        <v>40</v>
      </c>
      <c r="U45" t="s">
        <v>40</v>
      </c>
      <c r="V45" t="s">
        <v>40</v>
      </c>
      <c r="W45" t="s">
        <v>40</v>
      </c>
      <c r="AB45" t="s">
        <v>3608</v>
      </c>
    </row>
    <row r="46" spans="1:30" x14ac:dyDescent="0.2">
      <c r="A46">
        <v>38222965</v>
      </c>
      <c r="B46">
        <v>52511415</v>
      </c>
      <c r="C46" t="s">
        <v>3609</v>
      </c>
      <c r="D46" t="s">
        <v>3505</v>
      </c>
      <c r="E46" s="9">
        <v>45078</v>
      </c>
      <c r="F46" s="9">
        <v>45301</v>
      </c>
      <c r="G46" t="s">
        <v>33</v>
      </c>
      <c r="H46" t="s">
        <v>34</v>
      </c>
      <c r="I46" t="s">
        <v>34</v>
      </c>
      <c r="J46" t="s">
        <v>1261</v>
      </c>
      <c r="K46" t="s">
        <v>48</v>
      </c>
      <c r="L46" t="s">
        <v>164</v>
      </c>
      <c r="O46" t="s">
        <v>39</v>
      </c>
      <c r="P46" t="s">
        <v>39</v>
      </c>
      <c r="Q46" t="s">
        <v>40</v>
      </c>
      <c r="R46" t="s">
        <v>40</v>
      </c>
      <c r="S46" t="s">
        <v>40</v>
      </c>
      <c r="T46" t="s">
        <v>40</v>
      </c>
      <c r="U46" t="s">
        <v>40</v>
      </c>
      <c r="V46" t="s">
        <v>40</v>
      </c>
      <c r="W46" t="s">
        <v>40</v>
      </c>
      <c r="AB46" t="s">
        <v>3610</v>
      </c>
    </row>
    <row r="47" spans="1:30" x14ac:dyDescent="0.2">
      <c r="A47">
        <v>38222114</v>
      </c>
      <c r="B47">
        <v>52377881</v>
      </c>
      <c r="C47" t="s">
        <v>3611</v>
      </c>
      <c r="D47" t="s">
        <v>3505</v>
      </c>
      <c r="E47" s="9">
        <v>45078</v>
      </c>
      <c r="F47" s="9">
        <v>45764</v>
      </c>
      <c r="G47" t="s">
        <v>33</v>
      </c>
      <c r="H47" t="s">
        <v>34</v>
      </c>
      <c r="I47" t="s">
        <v>34</v>
      </c>
      <c r="J47" t="s">
        <v>234</v>
      </c>
      <c r="K47" t="s">
        <v>36</v>
      </c>
      <c r="L47" t="s">
        <v>37</v>
      </c>
      <c r="O47" t="s">
        <v>39</v>
      </c>
      <c r="P47" t="s">
        <v>39</v>
      </c>
      <c r="Q47" t="s">
        <v>40</v>
      </c>
      <c r="R47" t="s">
        <v>40</v>
      </c>
      <c r="S47" t="s">
        <v>40</v>
      </c>
      <c r="T47" t="s">
        <v>40</v>
      </c>
      <c r="U47" t="s">
        <v>40</v>
      </c>
      <c r="V47" t="s">
        <v>40</v>
      </c>
      <c r="W47" t="s">
        <v>40</v>
      </c>
      <c r="AB47" t="s">
        <v>3612</v>
      </c>
    </row>
    <row r="48" spans="1:30" x14ac:dyDescent="0.2">
      <c r="A48">
        <v>38281189</v>
      </c>
      <c r="B48">
        <v>52675757</v>
      </c>
      <c r="C48" t="s">
        <v>3613</v>
      </c>
      <c r="D48" t="s">
        <v>3505</v>
      </c>
      <c r="E48" s="9">
        <v>45084</v>
      </c>
      <c r="F48" s="9">
        <v>45301</v>
      </c>
      <c r="G48" t="s">
        <v>33</v>
      </c>
      <c r="H48" t="s">
        <v>34</v>
      </c>
      <c r="I48" t="s">
        <v>34</v>
      </c>
      <c r="J48" t="s">
        <v>286</v>
      </c>
      <c r="K48" t="s">
        <v>36</v>
      </c>
      <c r="L48" t="s">
        <v>164</v>
      </c>
      <c r="O48" t="s">
        <v>39</v>
      </c>
      <c r="P48" t="s">
        <v>39</v>
      </c>
      <c r="Q48" t="s">
        <v>40</v>
      </c>
      <c r="R48" t="s">
        <v>40</v>
      </c>
      <c r="S48" t="s">
        <v>40</v>
      </c>
      <c r="T48" t="s">
        <v>40</v>
      </c>
      <c r="U48" t="s">
        <v>40</v>
      </c>
      <c r="V48" t="s">
        <v>40</v>
      </c>
      <c r="W48" t="s">
        <v>40</v>
      </c>
      <c r="AB48" t="s">
        <v>3614</v>
      </c>
    </row>
    <row r="49" spans="1:28" x14ac:dyDescent="0.2">
      <c r="A49">
        <v>38281679</v>
      </c>
      <c r="B49">
        <v>52675742</v>
      </c>
      <c r="C49" t="s">
        <v>3615</v>
      </c>
      <c r="D49" t="s">
        <v>3505</v>
      </c>
      <c r="E49" s="9">
        <v>45084</v>
      </c>
      <c r="F49" s="9">
        <v>45301</v>
      </c>
      <c r="G49" t="s">
        <v>33</v>
      </c>
      <c r="H49" t="s">
        <v>34</v>
      </c>
      <c r="I49" t="s">
        <v>34</v>
      </c>
      <c r="J49" t="s">
        <v>234</v>
      </c>
      <c r="K49" t="s">
        <v>36</v>
      </c>
      <c r="L49" t="s">
        <v>164</v>
      </c>
      <c r="O49" t="s">
        <v>39</v>
      </c>
      <c r="P49" t="s">
        <v>39</v>
      </c>
      <c r="Q49" t="s">
        <v>40</v>
      </c>
      <c r="R49" t="s">
        <v>40</v>
      </c>
      <c r="S49" t="s">
        <v>40</v>
      </c>
      <c r="T49" t="s">
        <v>40</v>
      </c>
      <c r="U49" t="s">
        <v>40</v>
      </c>
      <c r="V49" t="s">
        <v>40</v>
      </c>
      <c r="W49" t="s">
        <v>40</v>
      </c>
      <c r="AB49" t="s">
        <v>3616</v>
      </c>
    </row>
    <row r="50" spans="1:28" x14ac:dyDescent="0.2">
      <c r="A50">
        <v>38290929</v>
      </c>
      <c r="B50">
        <v>52656871</v>
      </c>
      <c r="C50" t="s">
        <v>3617</v>
      </c>
      <c r="D50" t="s">
        <v>3505</v>
      </c>
      <c r="E50" s="9">
        <v>45085</v>
      </c>
      <c r="F50" s="9">
        <v>45387</v>
      </c>
      <c r="G50" t="s">
        <v>33</v>
      </c>
      <c r="H50" t="s">
        <v>34</v>
      </c>
      <c r="I50" t="s">
        <v>34</v>
      </c>
      <c r="J50" t="s">
        <v>303</v>
      </c>
      <c r="K50" t="s">
        <v>36</v>
      </c>
      <c r="L50" t="s">
        <v>37</v>
      </c>
      <c r="O50" t="s">
        <v>39</v>
      </c>
      <c r="P50" t="s">
        <v>39</v>
      </c>
      <c r="Q50" t="s">
        <v>40</v>
      </c>
      <c r="R50" t="s">
        <v>40</v>
      </c>
      <c r="S50" t="s">
        <v>40</v>
      </c>
      <c r="T50" t="s">
        <v>40</v>
      </c>
      <c r="U50" t="s">
        <v>40</v>
      </c>
      <c r="V50" t="s">
        <v>40</v>
      </c>
      <c r="W50" t="s">
        <v>40</v>
      </c>
      <c r="AB50" t="s">
        <v>3618</v>
      </c>
    </row>
    <row r="51" spans="1:28" x14ac:dyDescent="0.2">
      <c r="A51">
        <v>38343025</v>
      </c>
      <c r="B51">
        <v>52572922</v>
      </c>
      <c r="C51" t="s">
        <v>3619</v>
      </c>
      <c r="D51" t="s">
        <v>3505</v>
      </c>
      <c r="E51" s="9">
        <v>45090</v>
      </c>
      <c r="F51" s="9">
        <v>45296</v>
      </c>
      <c r="G51" t="s">
        <v>45</v>
      </c>
      <c r="H51" t="s">
        <v>80</v>
      </c>
      <c r="J51" t="s">
        <v>112</v>
      </c>
      <c r="K51" t="s">
        <v>48</v>
      </c>
      <c r="L51" t="s">
        <v>49</v>
      </c>
      <c r="M51" t="s">
        <v>74</v>
      </c>
      <c r="O51" t="s">
        <v>39</v>
      </c>
      <c r="P51" t="s">
        <v>39</v>
      </c>
      <c r="Q51" t="s">
        <v>40</v>
      </c>
      <c r="R51" t="s">
        <v>40</v>
      </c>
      <c r="S51" t="s">
        <v>40</v>
      </c>
      <c r="T51" t="s">
        <v>40</v>
      </c>
      <c r="U51" t="s">
        <v>40</v>
      </c>
      <c r="V51" t="s">
        <v>40</v>
      </c>
      <c r="W51" t="s">
        <v>40</v>
      </c>
      <c r="AB51" t="s">
        <v>3620</v>
      </c>
    </row>
    <row r="52" spans="1:28" x14ac:dyDescent="0.2">
      <c r="A52">
        <v>38340292</v>
      </c>
      <c r="B52">
        <v>52520260</v>
      </c>
      <c r="C52" t="s">
        <v>3621</v>
      </c>
      <c r="D52" t="s">
        <v>3505</v>
      </c>
      <c r="E52" s="9">
        <v>45090</v>
      </c>
      <c r="F52" s="9">
        <v>45301</v>
      </c>
      <c r="G52" t="s">
        <v>33</v>
      </c>
      <c r="H52" t="s">
        <v>34</v>
      </c>
      <c r="I52" t="s">
        <v>34</v>
      </c>
      <c r="J52" t="s">
        <v>3501</v>
      </c>
      <c r="K52" t="s">
        <v>36</v>
      </c>
      <c r="L52" t="s">
        <v>37</v>
      </c>
      <c r="O52" t="s">
        <v>39</v>
      </c>
      <c r="P52" t="s">
        <v>39</v>
      </c>
      <c r="Q52" t="s">
        <v>40</v>
      </c>
      <c r="R52" t="s">
        <v>40</v>
      </c>
      <c r="S52" t="s">
        <v>40</v>
      </c>
      <c r="T52" t="s">
        <v>40</v>
      </c>
      <c r="U52" t="s">
        <v>40</v>
      </c>
      <c r="V52" t="s">
        <v>40</v>
      </c>
      <c r="W52" t="s">
        <v>40</v>
      </c>
      <c r="AB52" t="s">
        <v>3622</v>
      </c>
    </row>
    <row r="53" spans="1:28" x14ac:dyDescent="0.2">
      <c r="A53">
        <v>38374728</v>
      </c>
      <c r="B53">
        <v>52734683</v>
      </c>
      <c r="C53" t="s">
        <v>3623</v>
      </c>
      <c r="D53" t="s">
        <v>3505</v>
      </c>
      <c r="E53" s="9">
        <v>45093</v>
      </c>
      <c r="F53" s="9">
        <v>45212</v>
      </c>
      <c r="G53" t="s">
        <v>45</v>
      </c>
      <c r="H53" t="s">
        <v>53</v>
      </c>
      <c r="J53" t="s">
        <v>47</v>
      </c>
      <c r="K53" t="s">
        <v>48</v>
      </c>
      <c r="L53" t="s">
        <v>386</v>
      </c>
      <c r="M53" t="s">
        <v>50</v>
      </c>
      <c r="O53" t="s">
        <v>39</v>
      </c>
      <c r="P53" t="s">
        <v>39</v>
      </c>
      <c r="Q53" t="s">
        <v>40</v>
      </c>
      <c r="R53" t="s">
        <v>40</v>
      </c>
      <c r="S53" t="s">
        <v>40</v>
      </c>
      <c r="T53" t="s">
        <v>40</v>
      </c>
      <c r="U53" t="s">
        <v>40</v>
      </c>
      <c r="V53" t="s">
        <v>40</v>
      </c>
      <c r="W53" t="s">
        <v>40</v>
      </c>
      <c r="AB53" t="s">
        <v>3624</v>
      </c>
    </row>
    <row r="54" spans="1:28" x14ac:dyDescent="0.2">
      <c r="A54">
        <v>38416818</v>
      </c>
      <c r="B54">
        <v>52485291</v>
      </c>
      <c r="C54">
        <v>52485291</v>
      </c>
      <c r="D54" t="s">
        <v>3505</v>
      </c>
      <c r="E54" s="9">
        <v>45098</v>
      </c>
      <c r="F54" s="9">
        <v>45387</v>
      </c>
      <c r="G54" t="s">
        <v>33</v>
      </c>
      <c r="H54" t="s">
        <v>34</v>
      </c>
      <c r="I54" t="s">
        <v>34</v>
      </c>
      <c r="J54" t="s">
        <v>3501</v>
      </c>
      <c r="K54" t="s">
        <v>48</v>
      </c>
      <c r="L54" t="s">
        <v>164</v>
      </c>
      <c r="O54" t="s">
        <v>41</v>
      </c>
      <c r="P54" t="s">
        <v>41</v>
      </c>
      <c r="Q54" t="s">
        <v>40</v>
      </c>
      <c r="R54" t="s">
        <v>40</v>
      </c>
      <c r="S54" t="s">
        <v>40</v>
      </c>
      <c r="T54" t="s">
        <v>40</v>
      </c>
      <c r="U54" t="s">
        <v>40</v>
      </c>
      <c r="V54" t="s">
        <v>40</v>
      </c>
      <c r="W54" t="s">
        <v>40</v>
      </c>
    </row>
    <row r="55" spans="1:28" x14ac:dyDescent="0.2">
      <c r="A55">
        <v>38416816</v>
      </c>
      <c r="B55">
        <v>52485304</v>
      </c>
      <c r="C55">
        <v>52485304</v>
      </c>
      <c r="D55" t="s">
        <v>3505</v>
      </c>
      <c r="E55" s="9">
        <v>45098</v>
      </c>
      <c r="F55" s="9">
        <v>45387</v>
      </c>
      <c r="G55" t="s">
        <v>33</v>
      </c>
      <c r="H55" t="s">
        <v>34</v>
      </c>
      <c r="I55" t="s">
        <v>34</v>
      </c>
      <c r="J55" t="s">
        <v>3625</v>
      </c>
      <c r="K55" t="s">
        <v>48</v>
      </c>
      <c r="L55" t="s">
        <v>164</v>
      </c>
      <c r="O55" t="s">
        <v>41</v>
      </c>
      <c r="P55" t="s">
        <v>41</v>
      </c>
      <c r="Q55" t="s">
        <v>40</v>
      </c>
      <c r="R55" t="s">
        <v>40</v>
      </c>
      <c r="S55" t="s">
        <v>40</v>
      </c>
      <c r="T55" t="s">
        <v>40</v>
      </c>
      <c r="U55" t="s">
        <v>40</v>
      </c>
      <c r="V55" t="s">
        <v>40</v>
      </c>
      <c r="W55" t="s">
        <v>40</v>
      </c>
    </row>
    <row r="56" spans="1:28" x14ac:dyDescent="0.2">
      <c r="A56">
        <v>38416825</v>
      </c>
      <c r="B56">
        <v>52505037</v>
      </c>
      <c r="C56">
        <v>52505037</v>
      </c>
      <c r="D56" t="s">
        <v>3505</v>
      </c>
      <c r="E56" s="9">
        <v>45098</v>
      </c>
      <c r="F56" s="9">
        <v>45387</v>
      </c>
      <c r="G56" t="s">
        <v>33</v>
      </c>
      <c r="H56" t="s">
        <v>34</v>
      </c>
      <c r="I56" t="s">
        <v>34</v>
      </c>
      <c r="J56" t="s">
        <v>234</v>
      </c>
      <c r="K56" t="s">
        <v>36</v>
      </c>
      <c r="L56" t="s">
        <v>164</v>
      </c>
      <c r="O56" t="s">
        <v>41</v>
      </c>
      <c r="P56" t="s">
        <v>41</v>
      </c>
      <c r="Q56" t="s">
        <v>40</v>
      </c>
      <c r="R56" t="s">
        <v>40</v>
      </c>
      <c r="S56" t="s">
        <v>40</v>
      </c>
      <c r="T56" t="s">
        <v>40</v>
      </c>
      <c r="U56" t="s">
        <v>40</v>
      </c>
      <c r="V56" t="s">
        <v>40</v>
      </c>
      <c r="W56" t="s">
        <v>40</v>
      </c>
      <c r="AB56" t="s">
        <v>3626</v>
      </c>
    </row>
    <row r="57" spans="1:28" x14ac:dyDescent="0.2">
      <c r="A57">
        <v>38416847</v>
      </c>
      <c r="B57">
        <v>52554170</v>
      </c>
      <c r="C57">
        <v>52554170</v>
      </c>
      <c r="D57" t="s">
        <v>3505</v>
      </c>
      <c r="E57" s="9">
        <v>45098</v>
      </c>
      <c r="F57" s="9">
        <v>45301</v>
      </c>
      <c r="G57" t="s">
        <v>33</v>
      </c>
      <c r="H57" t="s">
        <v>34</v>
      </c>
      <c r="I57" t="s">
        <v>34</v>
      </c>
      <c r="J57" t="s">
        <v>234</v>
      </c>
      <c r="K57" t="s">
        <v>36</v>
      </c>
      <c r="L57" t="s">
        <v>164</v>
      </c>
      <c r="O57" t="s">
        <v>41</v>
      </c>
      <c r="P57" t="s">
        <v>41</v>
      </c>
      <c r="Q57" t="s">
        <v>40</v>
      </c>
      <c r="R57" t="s">
        <v>40</v>
      </c>
      <c r="S57" t="s">
        <v>40</v>
      </c>
      <c r="T57" t="s">
        <v>40</v>
      </c>
      <c r="U57" t="s">
        <v>40</v>
      </c>
      <c r="V57" t="s">
        <v>40</v>
      </c>
      <c r="W57" t="s">
        <v>40</v>
      </c>
      <c r="AB57" t="s">
        <v>3627</v>
      </c>
    </row>
    <row r="58" spans="1:28" x14ac:dyDescent="0.2">
      <c r="A58">
        <v>38416844</v>
      </c>
      <c r="B58">
        <v>52564863</v>
      </c>
      <c r="C58">
        <v>52564863</v>
      </c>
      <c r="D58" t="s">
        <v>3505</v>
      </c>
      <c r="E58" s="9">
        <v>45098</v>
      </c>
      <c r="F58" s="9">
        <v>45301</v>
      </c>
      <c r="G58" t="s">
        <v>33</v>
      </c>
      <c r="H58" t="s">
        <v>34</v>
      </c>
      <c r="I58" t="s">
        <v>34</v>
      </c>
      <c r="J58" t="s">
        <v>303</v>
      </c>
      <c r="K58" t="s">
        <v>48</v>
      </c>
      <c r="L58" t="s">
        <v>164</v>
      </c>
      <c r="O58" t="s">
        <v>41</v>
      </c>
      <c r="P58" t="s">
        <v>41</v>
      </c>
      <c r="Q58" t="s">
        <v>40</v>
      </c>
      <c r="R58" t="s">
        <v>40</v>
      </c>
      <c r="S58" t="s">
        <v>40</v>
      </c>
      <c r="T58" t="s">
        <v>40</v>
      </c>
      <c r="U58" t="s">
        <v>40</v>
      </c>
      <c r="V58" t="s">
        <v>40</v>
      </c>
      <c r="W58" t="s">
        <v>40</v>
      </c>
      <c r="AB58" t="s">
        <v>3628</v>
      </c>
    </row>
    <row r="59" spans="1:28" x14ac:dyDescent="0.2">
      <c r="A59">
        <v>38416828</v>
      </c>
      <c r="B59">
        <v>52564871</v>
      </c>
      <c r="C59">
        <v>52564871</v>
      </c>
      <c r="D59" t="s">
        <v>3505</v>
      </c>
      <c r="E59" s="9">
        <v>45098</v>
      </c>
      <c r="F59" s="9">
        <v>45301</v>
      </c>
      <c r="G59" t="s">
        <v>33</v>
      </c>
      <c r="H59" t="s">
        <v>34</v>
      </c>
      <c r="I59" t="s">
        <v>34</v>
      </c>
      <c r="J59" t="s">
        <v>303</v>
      </c>
      <c r="K59" t="s">
        <v>48</v>
      </c>
      <c r="L59" t="s">
        <v>164</v>
      </c>
      <c r="O59" t="s">
        <v>41</v>
      </c>
      <c r="P59" t="s">
        <v>41</v>
      </c>
      <c r="Q59" t="s">
        <v>40</v>
      </c>
      <c r="R59" t="s">
        <v>40</v>
      </c>
      <c r="S59" t="s">
        <v>40</v>
      </c>
      <c r="T59" t="s">
        <v>40</v>
      </c>
      <c r="U59" t="s">
        <v>40</v>
      </c>
      <c r="V59" t="s">
        <v>40</v>
      </c>
      <c r="W59" t="s">
        <v>40</v>
      </c>
      <c r="AB59" t="s">
        <v>3629</v>
      </c>
    </row>
    <row r="60" spans="1:28" x14ac:dyDescent="0.2">
      <c r="A60">
        <v>38416900</v>
      </c>
      <c r="B60">
        <v>52564883</v>
      </c>
      <c r="C60">
        <v>52564883</v>
      </c>
      <c r="D60" t="s">
        <v>3505</v>
      </c>
      <c r="E60" s="9">
        <v>45098</v>
      </c>
      <c r="F60" s="9">
        <v>45301</v>
      </c>
      <c r="G60" t="s">
        <v>33</v>
      </c>
      <c r="H60" t="s">
        <v>34</v>
      </c>
      <c r="I60" t="s">
        <v>34</v>
      </c>
      <c r="J60" t="s">
        <v>286</v>
      </c>
      <c r="K60" t="s">
        <v>36</v>
      </c>
      <c r="L60" t="s">
        <v>164</v>
      </c>
      <c r="O60" t="s">
        <v>41</v>
      </c>
      <c r="P60" t="s">
        <v>41</v>
      </c>
      <c r="Q60" t="s">
        <v>40</v>
      </c>
      <c r="R60" t="s">
        <v>40</v>
      </c>
      <c r="S60" t="s">
        <v>40</v>
      </c>
      <c r="T60" t="s">
        <v>40</v>
      </c>
      <c r="U60" t="s">
        <v>40</v>
      </c>
      <c r="V60" t="s">
        <v>40</v>
      </c>
      <c r="W60" t="s">
        <v>40</v>
      </c>
      <c r="AB60" t="s">
        <v>3630</v>
      </c>
    </row>
    <row r="61" spans="1:28" x14ac:dyDescent="0.2">
      <c r="A61">
        <v>38416878</v>
      </c>
      <c r="B61">
        <v>52564901</v>
      </c>
      <c r="C61">
        <v>52564901</v>
      </c>
      <c r="D61" t="s">
        <v>3505</v>
      </c>
      <c r="E61" s="9">
        <v>45098</v>
      </c>
      <c r="F61" s="9">
        <v>45301</v>
      </c>
      <c r="G61" t="s">
        <v>33</v>
      </c>
      <c r="H61" t="s">
        <v>34</v>
      </c>
      <c r="I61" t="s">
        <v>34</v>
      </c>
      <c r="J61" t="s">
        <v>286</v>
      </c>
      <c r="K61" t="s">
        <v>48</v>
      </c>
      <c r="L61" t="s">
        <v>164</v>
      </c>
      <c r="O61" t="s">
        <v>41</v>
      </c>
      <c r="P61" t="s">
        <v>41</v>
      </c>
      <c r="Q61" t="s">
        <v>40</v>
      </c>
      <c r="R61" t="s">
        <v>40</v>
      </c>
      <c r="S61" t="s">
        <v>40</v>
      </c>
      <c r="T61" t="s">
        <v>40</v>
      </c>
      <c r="U61" t="s">
        <v>40</v>
      </c>
      <c r="V61" t="s">
        <v>40</v>
      </c>
      <c r="W61" t="s">
        <v>40</v>
      </c>
      <c r="AB61" t="s">
        <v>3631</v>
      </c>
    </row>
    <row r="62" spans="1:28" x14ac:dyDescent="0.2">
      <c r="A62">
        <v>38416891</v>
      </c>
      <c r="B62">
        <v>52610258</v>
      </c>
      <c r="C62">
        <v>52610258</v>
      </c>
      <c r="D62" t="s">
        <v>3505</v>
      </c>
      <c r="E62" s="9">
        <v>45098</v>
      </c>
      <c r="F62" s="9">
        <v>45301</v>
      </c>
      <c r="G62" t="s">
        <v>33</v>
      </c>
      <c r="H62" t="s">
        <v>34</v>
      </c>
      <c r="I62" t="s">
        <v>34</v>
      </c>
      <c r="J62" t="s">
        <v>234</v>
      </c>
      <c r="K62" t="s">
        <v>48</v>
      </c>
      <c r="L62" t="s">
        <v>164</v>
      </c>
      <c r="O62" t="s">
        <v>41</v>
      </c>
      <c r="P62" t="s">
        <v>41</v>
      </c>
      <c r="Q62" t="s">
        <v>40</v>
      </c>
      <c r="R62" t="s">
        <v>40</v>
      </c>
      <c r="S62" t="s">
        <v>40</v>
      </c>
      <c r="T62" t="s">
        <v>40</v>
      </c>
      <c r="U62" t="s">
        <v>40</v>
      </c>
      <c r="V62" t="s">
        <v>40</v>
      </c>
      <c r="W62" t="s">
        <v>40</v>
      </c>
      <c r="AB62" t="s">
        <v>3632</v>
      </c>
    </row>
    <row r="63" spans="1:28" x14ac:dyDescent="0.2">
      <c r="A63">
        <v>38416859</v>
      </c>
      <c r="B63">
        <v>52639918</v>
      </c>
      <c r="C63">
        <v>52639918</v>
      </c>
      <c r="D63" t="s">
        <v>3505</v>
      </c>
      <c r="E63" s="9">
        <v>45098</v>
      </c>
      <c r="F63" s="9">
        <v>45301</v>
      </c>
      <c r="G63" t="s">
        <v>33</v>
      </c>
      <c r="H63" t="s">
        <v>34</v>
      </c>
      <c r="I63" t="s">
        <v>34</v>
      </c>
      <c r="J63" t="s">
        <v>303</v>
      </c>
      <c r="K63" t="s">
        <v>48</v>
      </c>
      <c r="L63" t="s">
        <v>164</v>
      </c>
      <c r="O63" t="s">
        <v>41</v>
      </c>
      <c r="P63" t="s">
        <v>41</v>
      </c>
      <c r="Q63" t="s">
        <v>40</v>
      </c>
      <c r="R63" t="s">
        <v>40</v>
      </c>
      <c r="S63" t="s">
        <v>40</v>
      </c>
      <c r="T63" t="s">
        <v>40</v>
      </c>
      <c r="U63" t="s">
        <v>40</v>
      </c>
      <c r="V63" t="s">
        <v>40</v>
      </c>
      <c r="W63" t="s">
        <v>40</v>
      </c>
      <c r="AB63" t="s">
        <v>3633</v>
      </c>
    </row>
    <row r="64" spans="1:28" x14ac:dyDescent="0.2">
      <c r="A64">
        <v>38416856</v>
      </c>
      <c r="B64">
        <v>52699247</v>
      </c>
      <c r="C64">
        <v>52699247</v>
      </c>
      <c r="D64" t="s">
        <v>3505</v>
      </c>
      <c r="E64" s="9">
        <v>45098</v>
      </c>
      <c r="F64" s="9">
        <v>45301</v>
      </c>
      <c r="G64" t="s">
        <v>33</v>
      </c>
      <c r="H64" t="s">
        <v>34</v>
      </c>
      <c r="I64" t="s">
        <v>34</v>
      </c>
      <c r="J64" t="s">
        <v>234</v>
      </c>
      <c r="K64" t="s">
        <v>48</v>
      </c>
      <c r="L64" t="s">
        <v>164</v>
      </c>
      <c r="O64" t="s">
        <v>41</v>
      </c>
      <c r="P64" t="s">
        <v>41</v>
      </c>
      <c r="Q64" t="s">
        <v>40</v>
      </c>
      <c r="R64" t="s">
        <v>40</v>
      </c>
      <c r="S64" t="s">
        <v>40</v>
      </c>
      <c r="T64" t="s">
        <v>40</v>
      </c>
      <c r="U64" t="s">
        <v>40</v>
      </c>
      <c r="V64" t="s">
        <v>40</v>
      </c>
      <c r="W64" t="s">
        <v>40</v>
      </c>
      <c r="AB64" t="s">
        <v>3634</v>
      </c>
    </row>
    <row r="65" spans="1:28" x14ac:dyDescent="0.2">
      <c r="A65">
        <v>38416890</v>
      </c>
      <c r="B65">
        <v>52801267</v>
      </c>
      <c r="C65">
        <v>52801267</v>
      </c>
      <c r="D65" t="s">
        <v>3505</v>
      </c>
      <c r="E65" s="9">
        <v>45098</v>
      </c>
      <c r="F65" s="9">
        <v>45301</v>
      </c>
      <c r="G65" t="s">
        <v>33</v>
      </c>
      <c r="H65" t="s">
        <v>34</v>
      </c>
      <c r="I65" t="s">
        <v>34</v>
      </c>
      <c r="J65" t="s">
        <v>234</v>
      </c>
      <c r="K65" t="s">
        <v>48</v>
      </c>
      <c r="L65" t="s">
        <v>164</v>
      </c>
      <c r="O65" t="s">
        <v>41</v>
      </c>
      <c r="P65" t="s">
        <v>41</v>
      </c>
      <c r="Q65" t="s">
        <v>40</v>
      </c>
      <c r="R65" t="s">
        <v>40</v>
      </c>
      <c r="S65" t="s">
        <v>40</v>
      </c>
      <c r="T65" t="s">
        <v>40</v>
      </c>
      <c r="U65" t="s">
        <v>40</v>
      </c>
      <c r="V65" t="s">
        <v>40</v>
      </c>
      <c r="W65" t="s">
        <v>40</v>
      </c>
      <c r="AB65" t="s">
        <v>3635</v>
      </c>
    </row>
    <row r="66" spans="1:28" x14ac:dyDescent="0.2">
      <c r="A66">
        <v>38416862</v>
      </c>
      <c r="B66">
        <v>52801309</v>
      </c>
      <c r="C66">
        <v>52801309</v>
      </c>
      <c r="D66" t="s">
        <v>3505</v>
      </c>
      <c r="E66" s="9">
        <v>45098</v>
      </c>
      <c r="F66" s="9">
        <v>45387</v>
      </c>
      <c r="G66" t="s">
        <v>33</v>
      </c>
      <c r="H66" t="s">
        <v>34</v>
      </c>
      <c r="I66" t="s">
        <v>34</v>
      </c>
      <c r="J66" t="s">
        <v>234</v>
      </c>
      <c r="K66" t="s">
        <v>48</v>
      </c>
      <c r="L66" t="s">
        <v>164</v>
      </c>
      <c r="O66" t="s">
        <v>41</v>
      </c>
      <c r="P66" t="s">
        <v>41</v>
      </c>
      <c r="Q66" t="s">
        <v>40</v>
      </c>
      <c r="R66" t="s">
        <v>40</v>
      </c>
      <c r="S66" t="s">
        <v>40</v>
      </c>
      <c r="T66" t="s">
        <v>40</v>
      </c>
      <c r="U66" t="s">
        <v>40</v>
      </c>
      <c r="V66" t="s">
        <v>40</v>
      </c>
      <c r="W66" t="s">
        <v>40</v>
      </c>
      <c r="AB66" t="s">
        <v>3636</v>
      </c>
    </row>
    <row r="67" spans="1:28" x14ac:dyDescent="0.2">
      <c r="A67">
        <v>38416845</v>
      </c>
      <c r="B67">
        <v>52801319</v>
      </c>
      <c r="C67">
        <v>52801319</v>
      </c>
      <c r="D67" t="s">
        <v>3505</v>
      </c>
      <c r="E67" s="9">
        <v>45098</v>
      </c>
      <c r="F67" s="9">
        <v>45387</v>
      </c>
      <c r="G67" t="s">
        <v>33</v>
      </c>
      <c r="H67" t="s">
        <v>34</v>
      </c>
      <c r="I67" t="s">
        <v>34</v>
      </c>
      <c r="J67" t="s">
        <v>234</v>
      </c>
      <c r="K67" t="s">
        <v>48</v>
      </c>
      <c r="L67" t="s">
        <v>164</v>
      </c>
      <c r="O67" t="s">
        <v>41</v>
      </c>
      <c r="P67" t="s">
        <v>41</v>
      </c>
      <c r="Q67" t="s">
        <v>40</v>
      </c>
      <c r="R67" t="s">
        <v>40</v>
      </c>
      <c r="S67" t="s">
        <v>40</v>
      </c>
      <c r="T67" t="s">
        <v>40</v>
      </c>
      <c r="U67" t="s">
        <v>40</v>
      </c>
      <c r="V67" t="s">
        <v>40</v>
      </c>
      <c r="W67" t="s">
        <v>40</v>
      </c>
      <c r="AB67" t="s">
        <v>3637</v>
      </c>
    </row>
    <row r="68" spans="1:28" x14ac:dyDescent="0.2">
      <c r="A68">
        <v>38416843</v>
      </c>
      <c r="B68">
        <v>52801326</v>
      </c>
      <c r="C68">
        <v>52801326</v>
      </c>
      <c r="D68" t="s">
        <v>3505</v>
      </c>
      <c r="E68" s="9">
        <v>45098</v>
      </c>
      <c r="F68" s="9">
        <v>45387</v>
      </c>
      <c r="G68" t="s">
        <v>33</v>
      </c>
      <c r="H68" t="s">
        <v>34</v>
      </c>
      <c r="I68" t="s">
        <v>34</v>
      </c>
      <c r="J68" t="s">
        <v>234</v>
      </c>
      <c r="K68" t="s">
        <v>48</v>
      </c>
      <c r="L68" t="s">
        <v>164</v>
      </c>
      <c r="O68" t="s">
        <v>41</v>
      </c>
      <c r="P68" t="s">
        <v>41</v>
      </c>
      <c r="Q68" t="s">
        <v>40</v>
      </c>
      <c r="R68" t="s">
        <v>40</v>
      </c>
      <c r="S68" t="s">
        <v>40</v>
      </c>
      <c r="T68" t="s">
        <v>40</v>
      </c>
      <c r="U68" t="s">
        <v>40</v>
      </c>
      <c r="V68" t="s">
        <v>40</v>
      </c>
      <c r="W68" t="s">
        <v>40</v>
      </c>
      <c r="AB68" t="s">
        <v>3638</v>
      </c>
    </row>
    <row r="69" spans="1:28" x14ac:dyDescent="0.2">
      <c r="A69">
        <v>38416863</v>
      </c>
      <c r="B69">
        <v>52801334</v>
      </c>
      <c r="C69">
        <v>52801334</v>
      </c>
      <c r="D69" t="s">
        <v>3505</v>
      </c>
      <c r="E69" s="9">
        <v>45098</v>
      </c>
      <c r="F69" s="9">
        <v>45387</v>
      </c>
      <c r="G69" t="s">
        <v>33</v>
      </c>
      <c r="H69" t="s">
        <v>34</v>
      </c>
      <c r="I69" t="s">
        <v>34</v>
      </c>
      <c r="J69" t="s">
        <v>234</v>
      </c>
      <c r="K69" t="s">
        <v>48</v>
      </c>
      <c r="L69" t="s">
        <v>164</v>
      </c>
      <c r="O69" t="s">
        <v>41</v>
      </c>
      <c r="P69" t="s">
        <v>41</v>
      </c>
      <c r="Q69" t="s">
        <v>40</v>
      </c>
      <c r="R69" t="s">
        <v>40</v>
      </c>
      <c r="S69" t="s">
        <v>40</v>
      </c>
      <c r="T69" t="s">
        <v>40</v>
      </c>
      <c r="U69" t="s">
        <v>40</v>
      </c>
      <c r="V69" t="s">
        <v>40</v>
      </c>
      <c r="W69" t="s">
        <v>40</v>
      </c>
      <c r="AB69" t="s">
        <v>3639</v>
      </c>
    </row>
    <row r="70" spans="1:28" x14ac:dyDescent="0.2">
      <c r="A70">
        <v>38416875</v>
      </c>
      <c r="B70">
        <v>52801338</v>
      </c>
      <c r="C70">
        <v>52801338</v>
      </c>
      <c r="D70" t="s">
        <v>3505</v>
      </c>
      <c r="E70" s="9">
        <v>45098</v>
      </c>
      <c r="F70" s="9">
        <v>45301</v>
      </c>
      <c r="G70" t="s">
        <v>33</v>
      </c>
      <c r="H70" t="s">
        <v>34</v>
      </c>
      <c r="I70" t="s">
        <v>34</v>
      </c>
      <c r="J70" t="s">
        <v>234</v>
      </c>
      <c r="K70" t="s">
        <v>36</v>
      </c>
      <c r="L70" t="s">
        <v>164</v>
      </c>
      <c r="O70" t="s">
        <v>41</v>
      </c>
      <c r="P70" t="s">
        <v>41</v>
      </c>
      <c r="Q70" t="s">
        <v>40</v>
      </c>
      <c r="R70" t="s">
        <v>40</v>
      </c>
      <c r="S70" t="s">
        <v>40</v>
      </c>
      <c r="T70" t="s">
        <v>40</v>
      </c>
      <c r="U70" t="s">
        <v>40</v>
      </c>
      <c r="V70" t="s">
        <v>40</v>
      </c>
      <c r="W70" t="s">
        <v>40</v>
      </c>
      <c r="AB70" t="s">
        <v>3640</v>
      </c>
    </row>
    <row r="71" spans="1:28" x14ac:dyDescent="0.2">
      <c r="A71">
        <v>38416876</v>
      </c>
      <c r="B71">
        <v>52801356</v>
      </c>
      <c r="C71">
        <v>52801356</v>
      </c>
      <c r="D71" t="s">
        <v>3505</v>
      </c>
      <c r="E71" s="9">
        <v>45098</v>
      </c>
      <c r="F71" s="9">
        <v>45301</v>
      </c>
      <c r="G71" t="s">
        <v>33</v>
      </c>
      <c r="H71" t="s">
        <v>34</v>
      </c>
      <c r="I71" t="s">
        <v>34</v>
      </c>
      <c r="J71" t="s">
        <v>234</v>
      </c>
      <c r="K71" t="s">
        <v>48</v>
      </c>
      <c r="L71" t="s">
        <v>164</v>
      </c>
      <c r="O71" t="s">
        <v>41</v>
      </c>
      <c r="P71" t="s">
        <v>41</v>
      </c>
      <c r="Q71" t="s">
        <v>40</v>
      </c>
      <c r="R71" t="s">
        <v>40</v>
      </c>
      <c r="S71" t="s">
        <v>40</v>
      </c>
      <c r="T71" t="s">
        <v>40</v>
      </c>
      <c r="U71" t="s">
        <v>40</v>
      </c>
      <c r="V71" t="s">
        <v>40</v>
      </c>
      <c r="W71" t="s">
        <v>40</v>
      </c>
      <c r="AB71" t="s">
        <v>3641</v>
      </c>
    </row>
    <row r="72" spans="1:28" x14ac:dyDescent="0.2">
      <c r="A72">
        <v>38416857</v>
      </c>
      <c r="B72">
        <v>52801364</v>
      </c>
      <c r="C72">
        <v>52801364</v>
      </c>
      <c r="D72" t="s">
        <v>3505</v>
      </c>
      <c r="E72" s="9">
        <v>45098</v>
      </c>
      <c r="F72" s="9">
        <v>45301</v>
      </c>
      <c r="G72" t="s">
        <v>33</v>
      </c>
      <c r="H72" t="s">
        <v>34</v>
      </c>
      <c r="I72" t="s">
        <v>34</v>
      </c>
      <c r="J72" t="s">
        <v>234</v>
      </c>
      <c r="K72" t="s">
        <v>48</v>
      </c>
      <c r="L72" t="s">
        <v>164</v>
      </c>
      <c r="O72" t="s">
        <v>41</v>
      </c>
      <c r="P72" t="s">
        <v>41</v>
      </c>
      <c r="Q72" t="s">
        <v>40</v>
      </c>
      <c r="R72" t="s">
        <v>40</v>
      </c>
      <c r="S72" t="s">
        <v>40</v>
      </c>
      <c r="T72" t="s">
        <v>40</v>
      </c>
      <c r="U72" t="s">
        <v>40</v>
      </c>
      <c r="V72" t="s">
        <v>40</v>
      </c>
      <c r="W72" t="s">
        <v>40</v>
      </c>
      <c r="AB72" t="s">
        <v>3642</v>
      </c>
    </row>
    <row r="73" spans="1:28" x14ac:dyDescent="0.2">
      <c r="A73">
        <v>38416915</v>
      </c>
      <c r="B73">
        <v>52801388</v>
      </c>
      <c r="C73">
        <v>52801388</v>
      </c>
      <c r="D73" t="s">
        <v>3505</v>
      </c>
      <c r="E73" s="9">
        <v>45098</v>
      </c>
      <c r="F73" s="9">
        <v>45301</v>
      </c>
      <c r="G73" t="s">
        <v>33</v>
      </c>
      <c r="H73" t="s">
        <v>34</v>
      </c>
      <c r="I73" t="s">
        <v>34</v>
      </c>
      <c r="J73" t="s">
        <v>234</v>
      </c>
      <c r="K73" t="s">
        <v>48</v>
      </c>
      <c r="L73" t="s">
        <v>164</v>
      </c>
      <c r="O73" t="s">
        <v>41</v>
      </c>
      <c r="P73" t="s">
        <v>41</v>
      </c>
      <c r="Q73" t="s">
        <v>40</v>
      </c>
      <c r="R73" t="s">
        <v>40</v>
      </c>
      <c r="S73" t="s">
        <v>40</v>
      </c>
      <c r="T73" t="s">
        <v>40</v>
      </c>
      <c r="U73" t="s">
        <v>40</v>
      </c>
      <c r="V73" t="s">
        <v>40</v>
      </c>
      <c r="W73" t="s">
        <v>40</v>
      </c>
      <c r="AB73" t="s">
        <v>3643</v>
      </c>
    </row>
    <row r="74" spans="1:28" x14ac:dyDescent="0.2">
      <c r="A74">
        <v>38416855</v>
      </c>
      <c r="B74">
        <v>52850064</v>
      </c>
      <c r="C74">
        <v>52850064</v>
      </c>
      <c r="D74" t="s">
        <v>3505</v>
      </c>
      <c r="E74" s="9">
        <v>45098</v>
      </c>
      <c r="F74" s="9">
        <v>45301</v>
      </c>
      <c r="G74" t="s">
        <v>33</v>
      </c>
      <c r="H74" t="s">
        <v>34</v>
      </c>
      <c r="I74" t="s">
        <v>34</v>
      </c>
      <c r="J74" t="s">
        <v>234</v>
      </c>
      <c r="K74" t="s">
        <v>48</v>
      </c>
      <c r="L74" t="s">
        <v>164</v>
      </c>
      <c r="O74" t="s">
        <v>41</v>
      </c>
      <c r="P74" t="s">
        <v>41</v>
      </c>
      <c r="Q74" t="s">
        <v>40</v>
      </c>
      <c r="R74" t="s">
        <v>40</v>
      </c>
      <c r="S74" t="s">
        <v>40</v>
      </c>
      <c r="T74" t="s">
        <v>40</v>
      </c>
      <c r="U74" t="s">
        <v>40</v>
      </c>
      <c r="V74" t="s">
        <v>40</v>
      </c>
      <c r="W74" t="s">
        <v>40</v>
      </c>
      <c r="AB74" t="s">
        <v>3644</v>
      </c>
    </row>
    <row r="75" spans="1:28" x14ac:dyDescent="0.2">
      <c r="A75">
        <v>38416894</v>
      </c>
      <c r="B75">
        <v>52870259</v>
      </c>
      <c r="C75">
        <v>52870259</v>
      </c>
      <c r="D75" t="s">
        <v>3505</v>
      </c>
      <c r="E75" s="9">
        <v>45098</v>
      </c>
      <c r="F75" s="9">
        <v>45301</v>
      </c>
      <c r="G75" t="s">
        <v>33</v>
      </c>
      <c r="H75" t="s">
        <v>34</v>
      </c>
      <c r="I75" t="s">
        <v>34</v>
      </c>
      <c r="J75" t="s">
        <v>234</v>
      </c>
      <c r="K75" t="s">
        <v>48</v>
      </c>
      <c r="L75" t="s">
        <v>164</v>
      </c>
      <c r="O75" t="s">
        <v>41</v>
      </c>
      <c r="P75" t="s">
        <v>41</v>
      </c>
      <c r="Q75" t="s">
        <v>40</v>
      </c>
      <c r="R75" t="s">
        <v>40</v>
      </c>
      <c r="S75" t="s">
        <v>40</v>
      </c>
      <c r="T75" t="s">
        <v>40</v>
      </c>
      <c r="U75" t="s">
        <v>40</v>
      </c>
      <c r="V75" t="s">
        <v>40</v>
      </c>
      <c r="W75" t="s">
        <v>40</v>
      </c>
      <c r="AB75" t="s">
        <v>3645</v>
      </c>
    </row>
    <row r="76" spans="1:28" x14ac:dyDescent="0.2">
      <c r="A76">
        <v>38416833</v>
      </c>
      <c r="B76">
        <v>52876459</v>
      </c>
      <c r="C76">
        <v>52876459</v>
      </c>
      <c r="D76" t="s">
        <v>3505</v>
      </c>
      <c r="E76" s="9">
        <v>45098</v>
      </c>
      <c r="F76" s="9">
        <v>45387</v>
      </c>
      <c r="G76" t="s">
        <v>33</v>
      </c>
      <c r="H76" t="s">
        <v>34</v>
      </c>
      <c r="I76" t="s">
        <v>34</v>
      </c>
      <c r="J76" t="s">
        <v>234</v>
      </c>
      <c r="K76" t="s">
        <v>36</v>
      </c>
      <c r="L76" t="s">
        <v>164</v>
      </c>
      <c r="O76" t="s">
        <v>41</v>
      </c>
      <c r="P76" t="s">
        <v>41</v>
      </c>
      <c r="Q76" t="s">
        <v>40</v>
      </c>
      <c r="R76" t="s">
        <v>40</v>
      </c>
      <c r="S76" t="s">
        <v>40</v>
      </c>
      <c r="T76" t="s">
        <v>40</v>
      </c>
      <c r="U76" t="s">
        <v>40</v>
      </c>
      <c r="V76" t="s">
        <v>40</v>
      </c>
      <c r="W76" t="s">
        <v>40</v>
      </c>
      <c r="AB76" t="s">
        <v>3646</v>
      </c>
    </row>
    <row r="77" spans="1:28" x14ac:dyDescent="0.2">
      <c r="A77">
        <v>38416851</v>
      </c>
      <c r="B77">
        <v>52876470</v>
      </c>
      <c r="C77">
        <v>52876470</v>
      </c>
      <c r="D77" t="s">
        <v>3505</v>
      </c>
      <c r="E77" s="9">
        <v>45098</v>
      </c>
      <c r="F77" s="9">
        <v>45301</v>
      </c>
      <c r="G77" t="s">
        <v>33</v>
      </c>
      <c r="H77" t="s">
        <v>34</v>
      </c>
      <c r="I77" t="s">
        <v>34</v>
      </c>
      <c r="J77" t="s">
        <v>3501</v>
      </c>
      <c r="K77" t="s">
        <v>36</v>
      </c>
      <c r="L77" t="s">
        <v>164</v>
      </c>
      <c r="O77" t="s">
        <v>41</v>
      </c>
      <c r="P77" t="s">
        <v>41</v>
      </c>
      <c r="Q77" t="s">
        <v>40</v>
      </c>
      <c r="R77" t="s">
        <v>40</v>
      </c>
      <c r="S77" t="s">
        <v>40</v>
      </c>
      <c r="T77" t="s">
        <v>40</v>
      </c>
      <c r="U77" t="s">
        <v>40</v>
      </c>
      <c r="V77" t="s">
        <v>40</v>
      </c>
      <c r="W77" t="s">
        <v>40</v>
      </c>
      <c r="AB77" t="s">
        <v>3647</v>
      </c>
    </row>
    <row r="78" spans="1:28" x14ac:dyDescent="0.2">
      <c r="A78">
        <v>38416903</v>
      </c>
      <c r="B78">
        <v>52879702</v>
      </c>
      <c r="C78">
        <v>52879702</v>
      </c>
      <c r="D78" t="s">
        <v>3505</v>
      </c>
      <c r="E78" s="9">
        <v>45098</v>
      </c>
      <c r="F78" s="9">
        <v>45301</v>
      </c>
      <c r="G78" t="s">
        <v>33</v>
      </c>
      <c r="H78" t="s">
        <v>34</v>
      </c>
      <c r="I78" t="s">
        <v>34</v>
      </c>
      <c r="J78" t="s">
        <v>286</v>
      </c>
      <c r="K78" t="s">
        <v>36</v>
      </c>
      <c r="L78" t="s">
        <v>164</v>
      </c>
      <c r="O78" t="s">
        <v>41</v>
      </c>
      <c r="P78" t="s">
        <v>41</v>
      </c>
      <c r="Q78" t="s">
        <v>40</v>
      </c>
      <c r="R78" t="s">
        <v>40</v>
      </c>
      <c r="S78" t="s">
        <v>40</v>
      </c>
      <c r="T78" t="s">
        <v>40</v>
      </c>
      <c r="U78" t="s">
        <v>40</v>
      </c>
      <c r="V78" t="s">
        <v>40</v>
      </c>
      <c r="W78" t="s">
        <v>40</v>
      </c>
      <c r="AB78" t="s">
        <v>3648</v>
      </c>
    </row>
    <row r="79" spans="1:28" x14ac:dyDescent="0.2">
      <c r="A79">
        <v>38416837</v>
      </c>
      <c r="B79">
        <v>52879710</v>
      </c>
      <c r="C79">
        <v>52879710</v>
      </c>
      <c r="D79" t="s">
        <v>3505</v>
      </c>
      <c r="E79" s="9">
        <v>45098</v>
      </c>
      <c r="F79" s="9">
        <v>45301</v>
      </c>
      <c r="G79" t="s">
        <v>33</v>
      </c>
      <c r="H79" t="s">
        <v>34</v>
      </c>
      <c r="I79" t="s">
        <v>34</v>
      </c>
      <c r="J79" t="s">
        <v>234</v>
      </c>
      <c r="K79" t="s">
        <v>36</v>
      </c>
      <c r="L79" t="s">
        <v>164</v>
      </c>
      <c r="O79" t="s">
        <v>41</v>
      </c>
      <c r="P79" t="s">
        <v>41</v>
      </c>
      <c r="Q79" t="s">
        <v>40</v>
      </c>
      <c r="R79" t="s">
        <v>40</v>
      </c>
      <c r="S79" t="s">
        <v>40</v>
      </c>
      <c r="T79" t="s">
        <v>40</v>
      </c>
      <c r="U79" t="s">
        <v>40</v>
      </c>
      <c r="V79" t="s">
        <v>40</v>
      </c>
      <c r="W79" t="s">
        <v>40</v>
      </c>
      <c r="AB79" t="s">
        <v>3649</v>
      </c>
    </row>
    <row r="80" spans="1:28" x14ac:dyDescent="0.2">
      <c r="A80">
        <v>38416849</v>
      </c>
      <c r="B80">
        <v>52879718</v>
      </c>
      <c r="C80">
        <v>52879718</v>
      </c>
      <c r="D80" t="s">
        <v>3505</v>
      </c>
      <c r="E80" s="9">
        <v>45098</v>
      </c>
      <c r="F80" s="9">
        <v>45301</v>
      </c>
      <c r="G80" t="s">
        <v>33</v>
      </c>
      <c r="H80" t="s">
        <v>34</v>
      </c>
      <c r="I80" t="s">
        <v>34</v>
      </c>
      <c r="J80" t="s">
        <v>234</v>
      </c>
      <c r="K80" t="s">
        <v>36</v>
      </c>
      <c r="L80" t="s">
        <v>164</v>
      </c>
      <c r="O80" t="s">
        <v>41</v>
      </c>
      <c r="P80" t="s">
        <v>41</v>
      </c>
      <c r="Q80" t="s">
        <v>40</v>
      </c>
      <c r="R80" t="s">
        <v>40</v>
      </c>
      <c r="S80" t="s">
        <v>40</v>
      </c>
      <c r="T80" t="s">
        <v>40</v>
      </c>
      <c r="U80" t="s">
        <v>40</v>
      </c>
      <c r="V80" t="s">
        <v>40</v>
      </c>
      <c r="W80" t="s">
        <v>40</v>
      </c>
      <c r="AB80" t="s">
        <v>3650</v>
      </c>
    </row>
    <row r="81" spans="1:30" x14ac:dyDescent="0.2">
      <c r="A81">
        <v>38416885</v>
      </c>
      <c r="B81">
        <v>52613161</v>
      </c>
      <c r="C81" t="s">
        <v>3651</v>
      </c>
      <c r="D81" t="s">
        <v>3505</v>
      </c>
      <c r="E81" s="9">
        <v>45098</v>
      </c>
      <c r="F81" s="9">
        <v>45212</v>
      </c>
      <c r="G81" t="s">
        <v>45</v>
      </c>
      <c r="H81" t="s">
        <v>72</v>
      </c>
      <c r="J81" t="s">
        <v>342</v>
      </c>
      <c r="K81" t="s">
        <v>48</v>
      </c>
      <c r="L81" t="s">
        <v>49</v>
      </c>
      <c r="M81" t="s">
        <v>74</v>
      </c>
      <c r="O81" t="s">
        <v>39</v>
      </c>
      <c r="P81" t="s">
        <v>39</v>
      </c>
      <c r="Q81" t="s">
        <v>40</v>
      </c>
      <c r="R81" t="s">
        <v>40</v>
      </c>
      <c r="S81" t="s">
        <v>40</v>
      </c>
      <c r="T81" t="s">
        <v>40</v>
      </c>
      <c r="U81" t="s">
        <v>40</v>
      </c>
      <c r="V81" t="s">
        <v>40</v>
      </c>
      <c r="W81" t="s">
        <v>40</v>
      </c>
      <c r="AB81" t="s">
        <v>3652</v>
      </c>
    </row>
    <row r="82" spans="1:30" x14ac:dyDescent="0.2">
      <c r="A82">
        <v>38416884</v>
      </c>
      <c r="B82">
        <v>52868265</v>
      </c>
      <c r="C82" t="s">
        <v>3653</v>
      </c>
      <c r="D82" t="s">
        <v>3505</v>
      </c>
      <c r="E82" s="9">
        <v>45098</v>
      </c>
      <c r="F82" s="9">
        <v>45301</v>
      </c>
      <c r="G82" t="s">
        <v>33</v>
      </c>
      <c r="H82" t="s">
        <v>34</v>
      </c>
      <c r="I82" t="s">
        <v>34</v>
      </c>
      <c r="J82" t="s">
        <v>234</v>
      </c>
      <c r="K82" t="s">
        <v>48</v>
      </c>
      <c r="L82" t="s">
        <v>164</v>
      </c>
      <c r="O82" t="s">
        <v>41</v>
      </c>
      <c r="P82" t="s">
        <v>41</v>
      </c>
      <c r="Q82" t="s">
        <v>40</v>
      </c>
      <c r="R82" t="s">
        <v>40</v>
      </c>
      <c r="S82" t="s">
        <v>40</v>
      </c>
      <c r="T82" t="s">
        <v>40</v>
      </c>
      <c r="U82" t="s">
        <v>40</v>
      </c>
      <c r="V82" t="s">
        <v>40</v>
      </c>
      <c r="W82" t="s">
        <v>40</v>
      </c>
      <c r="AB82" t="s">
        <v>3654</v>
      </c>
    </row>
    <row r="83" spans="1:30" x14ac:dyDescent="0.2">
      <c r="A83">
        <v>38416824</v>
      </c>
      <c r="B83">
        <v>52686205</v>
      </c>
      <c r="C83" t="s">
        <v>3655</v>
      </c>
      <c r="D83" t="s">
        <v>3505</v>
      </c>
      <c r="E83" s="9">
        <v>45098</v>
      </c>
      <c r="F83" s="9">
        <v>45301</v>
      </c>
      <c r="G83" t="s">
        <v>33</v>
      </c>
      <c r="H83" t="s">
        <v>34</v>
      </c>
      <c r="I83" t="s">
        <v>34</v>
      </c>
      <c r="J83" t="s">
        <v>234</v>
      </c>
      <c r="K83" t="s">
        <v>36</v>
      </c>
      <c r="L83" t="s">
        <v>164</v>
      </c>
      <c r="O83" t="s">
        <v>39</v>
      </c>
      <c r="P83" t="s">
        <v>39</v>
      </c>
      <c r="Q83" t="s">
        <v>40</v>
      </c>
      <c r="R83" t="s">
        <v>40</v>
      </c>
      <c r="S83" t="s">
        <v>40</v>
      </c>
      <c r="T83" t="s">
        <v>40</v>
      </c>
      <c r="U83" t="s">
        <v>40</v>
      </c>
      <c r="V83" t="s">
        <v>40</v>
      </c>
      <c r="W83" t="s">
        <v>40</v>
      </c>
      <c r="AB83" t="s">
        <v>3656</v>
      </c>
    </row>
    <row r="84" spans="1:30" x14ac:dyDescent="0.2">
      <c r="A84">
        <v>38416899</v>
      </c>
      <c r="B84">
        <v>52338518</v>
      </c>
      <c r="C84" t="s">
        <v>3657</v>
      </c>
      <c r="D84" t="s">
        <v>3505</v>
      </c>
      <c r="E84" s="9">
        <v>45098</v>
      </c>
      <c r="F84" s="9">
        <v>45296</v>
      </c>
      <c r="G84" t="s">
        <v>45</v>
      </c>
      <c r="H84" t="s">
        <v>96</v>
      </c>
      <c r="J84" t="s">
        <v>146</v>
      </c>
      <c r="K84" t="s">
        <v>48</v>
      </c>
      <c r="L84" t="s">
        <v>49</v>
      </c>
      <c r="M84" t="s">
        <v>50</v>
      </c>
      <c r="O84" t="s">
        <v>39</v>
      </c>
      <c r="P84" t="s">
        <v>39</v>
      </c>
      <c r="Q84" t="s">
        <v>40</v>
      </c>
      <c r="R84" t="s">
        <v>40</v>
      </c>
      <c r="S84" t="s">
        <v>40</v>
      </c>
      <c r="T84" t="s">
        <v>40</v>
      </c>
      <c r="U84" t="s">
        <v>40</v>
      </c>
      <c r="V84" t="s">
        <v>40</v>
      </c>
      <c r="W84" t="s">
        <v>40</v>
      </c>
      <c r="AB84" t="s">
        <v>3658</v>
      </c>
      <c r="AC84" t="s">
        <v>3659</v>
      </c>
    </row>
    <row r="85" spans="1:30" x14ac:dyDescent="0.2">
      <c r="A85">
        <v>38416813</v>
      </c>
      <c r="B85">
        <v>52485309</v>
      </c>
      <c r="C85" t="s">
        <v>3660</v>
      </c>
      <c r="D85" t="s">
        <v>3505</v>
      </c>
      <c r="E85" s="9">
        <v>45098</v>
      </c>
      <c r="F85" s="9">
        <v>45764</v>
      </c>
      <c r="G85" t="s">
        <v>33</v>
      </c>
      <c r="H85" t="s">
        <v>34</v>
      </c>
      <c r="I85" t="s">
        <v>34</v>
      </c>
      <c r="J85" t="s">
        <v>3501</v>
      </c>
      <c r="K85" t="s">
        <v>48</v>
      </c>
      <c r="L85" t="s">
        <v>37</v>
      </c>
      <c r="N85" t="s">
        <v>38</v>
      </c>
      <c r="O85" t="s">
        <v>41</v>
      </c>
      <c r="P85" t="s">
        <v>41</v>
      </c>
      <c r="Q85" t="s">
        <v>41</v>
      </c>
      <c r="R85" t="s">
        <v>40</v>
      </c>
      <c r="S85" t="s">
        <v>41</v>
      </c>
      <c r="T85" t="s">
        <v>41</v>
      </c>
      <c r="U85" t="s">
        <v>40</v>
      </c>
      <c r="V85" t="s">
        <v>40</v>
      </c>
      <c r="W85" t="s">
        <v>40</v>
      </c>
      <c r="X85" t="s">
        <v>3661</v>
      </c>
    </row>
    <row r="86" spans="1:30" x14ac:dyDescent="0.2">
      <c r="A86">
        <v>38418946</v>
      </c>
      <c r="B86">
        <v>52563805</v>
      </c>
      <c r="C86" t="s">
        <v>3662</v>
      </c>
      <c r="D86" t="s">
        <v>3505</v>
      </c>
      <c r="E86" s="9">
        <v>45098</v>
      </c>
      <c r="F86" s="9">
        <v>45296</v>
      </c>
      <c r="G86" t="s">
        <v>45</v>
      </c>
      <c r="H86" t="s">
        <v>68</v>
      </c>
      <c r="J86" t="s">
        <v>286</v>
      </c>
      <c r="K86" t="s">
        <v>36</v>
      </c>
      <c r="L86" t="s">
        <v>49</v>
      </c>
      <c r="M86" t="s">
        <v>74</v>
      </c>
      <c r="O86" t="s">
        <v>39</v>
      </c>
      <c r="P86" t="s">
        <v>39</v>
      </c>
      <c r="Q86" t="s">
        <v>40</v>
      </c>
      <c r="R86" t="s">
        <v>40</v>
      </c>
      <c r="S86" t="s">
        <v>40</v>
      </c>
      <c r="T86" t="s">
        <v>40</v>
      </c>
      <c r="U86" t="s">
        <v>40</v>
      </c>
      <c r="V86" t="s">
        <v>40</v>
      </c>
      <c r="W86" t="s">
        <v>40</v>
      </c>
      <c r="AB86" t="s">
        <v>3663</v>
      </c>
      <c r="AC86" t="s">
        <v>3664</v>
      </c>
      <c r="AD86" t="s">
        <v>3665</v>
      </c>
    </row>
    <row r="87" spans="1:30" x14ac:dyDescent="0.2">
      <c r="A87">
        <v>38416848</v>
      </c>
      <c r="B87">
        <v>52686251</v>
      </c>
      <c r="C87" t="s">
        <v>3666</v>
      </c>
      <c r="D87" t="s">
        <v>3505</v>
      </c>
      <c r="E87" s="9">
        <v>45098</v>
      </c>
      <c r="F87" s="9">
        <v>45301</v>
      </c>
      <c r="G87" t="s">
        <v>33</v>
      </c>
      <c r="H87" t="s">
        <v>34</v>
      </c>
      <c r="I87" t="s">
        <v>34</v>
      </c>
      <c r="J87" t="s">
        <v>3501</v>
      </c>
      <c r="K87" t="s">
        <v>36</v>
      </c>
      <c r="L87" t="s">
        <v>164</v>
      </c>
      <c r="O87" t="s">
        <v>39</v>
      </c>
      <c r="P87" t="s">
        <v>39</v>
      </c>
      <c r="Q87" t="s">
        <v>40</v>
      </c>
      <c r="R87" t="s">
        <v>40</v>
      </c>
      <c r="S87" t="s">
        <v>40</v>
      </c>
      <c r="T87" t="s">
        <v>40</v>
      </c>
      <c r="U87" t="s">
        <v>40</v>
      </c>
      <c r="V87" t="s">
        <v>40</v>
      </c>
      <c r="W87" t="s">
        <v>40</v>
      </c>
      <c r="AB87" t="s">
        <v>3667</v>
      </c>
    </row>
    <row r="88" spans="1:30" x14ac:dyDescent="0.2">
      <c r="A88">
        <v>38416812</v>
      </c>
      <c r="B88">
        <v>52485319</v>
      </c>
      <c r="C88" t="s">
        <v>3668</v>
      </c>
      <c r="D88" t="s">
        <v>3505</v>
      </c>
      <c r="E88" s="9">
        <v>45098</v>
      </c>
      <c r="F88" s="9">
        <v>45764</v>
      </c>
      <c r="G88" t="s">
        <v>33</v>
      </c>
      <c r="H88" t="s">
        <v>34</v>
      </c>
      <c r="I88" t="s">
        <v>34</v>
      </c>
      <c r="J88" t="s">
        <v>3501</v>
      </c>
      <c r="K88" t="s">
        <v>48</v>
      </c>
      <c r="L88" t="s">
        <v>37</v>
      </c>
      <c r="N88" t="s">
        <v>38</v>
      </c>
      <c r="O88" t="s">
        <v>41</v>
      </c>
      <c r="P88" t="s">
        <v>41</v>
      </c>
      <c r="Q88" t="s">
        <v>41</v>
      </c>
      <c r="R88" t="s">
        <v>40</v>
      </c>
      <c r="S88" t="s">
        <v>41</v>
      </c>
      <c r="T88" t="s">
        <v>41</v>
      </c>
      <c r="U88" t="s">
        <v>40</v>
      </c>
      <c r="V88" t="s">
        <v>40</v>
      </c>
      <c r="W88" t="s">
        <v>40</v>
      </c>
      <c r="X88" t="s">
        <v>3669</v>
      </c>
    </row>
    <row r="89" spans="1:30" x14ac:dyDescent="0.2">
      <c r="A89">
        <v>38416854</v>
      </c>
      <c r="B89">
        <v>50973050</v>
      </c>
      <c r="C89" t="s">
        <v>3670</v>
      </c>
      <c r="D89" t="s">
        <v>3505</v>
      </c>
      <c r="E89" s="9">
        <v>45098</v>
      </c>
      <c r="F89" s="9">
        <v>45301</v>
      </c>
      <c r="G89" t="s">
        <v>33</v>
      </c>
      <c r="H89" t="s">
        <v>34</v>
      </c>
      <c r="I89" t="s">
        <v>34</v>
      </c>
      <c r="J89" t="s">
        <v>3501</v>
      </c>
      <c r="K89" t="s">
        <v>48</v>
      </c>
      <c r="L89" t="s">
        <v>164</v>
      </c>
      <c r="O89" t="s">
        <v>41</v>
      </c>
      <c r="P89" t="s">
        <v>41</v>
      </c>
      <c r="Q89" t="s">
        <v>40</v>
      </c>
      <c r="R89" t="s">
        <v>40</v>
      </c>
      <c r="S89" t="s">
        <v>40</v>
      </c>
      <c r="T89" t="s">
        <v>40</v>
      </c>
      <c r="U89" t="s">
        <v>40</v>
      </c>
      <c r="V89" t="s">
        <v>40</v>
      </c>
      <c r="W89" t="s">
        <v>40</v>
      </c>
      <c r="AB89" t="s">
        <v>3671</v>
      </c>
    </row>
    <row r="90" spans="1:30" x14ac:dyDescent="0.2">
      <c r="A90">
        <v>38416826</v>
      </c>
      <c r="B90">
        <v>52749969</v>
      </c>
      <c r="C90" t="s">
        <v>3672</v>
      </c>
      <c r="D90" t="s">
        <v>3505</v>
      </c>
      <c r="E90" s="9">
        <v>45098</v>
      </c>
      <c r="F90" s="9">
        <v>45764</v>
      </c>
      <c r="G90" t="s">
        <v>33</v>
      </c>
      <c r="H90" t="s">
        <v>34</v>
      </c>
      <c r="I90" t="s">
        <v>34</v>
      </c>
      <c r="J90" t="s">
        <v>234</v>
      </c>
      <c r="K90" t="s">
        <v>36</v>
      </c>
      <c r="L90" t="s">
        <v>164</v>
      </c>
      <c r="O90" t="s">
        <v>39</v>
      </c>
      <c r="P90" t="s">
        <v>41</v>
      </c>
      <c r="Q90" t="s">
        <v>40</v>
      </c>
      <c r="R90" t="s">
        <v>40</v>
      </c>
      <c r="S90" t="s">
        <v>40</v>
      </c>
      <c r="T90" t="s">
        <v>40</v>
      </c>
      <c r="U90" t="s">
        <v>40</v>
      </c>
      <c r="V90" t="s">
        <v>40</v>
      </c>
      <c r="W90" t="s">
        <v>40</v>
      </c>
      <c r="AB90" t="s">
        <v>3673</v>
      </c>
    </row>
    <row r="91" spans="1:30" x14ac:dyDescent="0.2">
      <c r="A91">
        <v>38416887</v>
      </c>
      <c r="B91">
        <v>52885779</v>
      </c>
      <c r="C91" t="s">
        <v>3674</v>
      </c>
      <c r="D91" t="s">
        <v>3505</v>
      </c>
      <c r="E91" s="9">
        <v>45098</v>
      </c>
      <c r="F91" s="9">
        <v>45301</v>
      </c>
      <c r="G91" t="s">
        <v>33</v>
      </c>
      <c r="H91" t="s">
        <v>34</v>
      </c>
      <c r="I91" t="s">
        <v>34</v>
      </c>
      <c r="J91" t="s">
        <v>303</v>
      </c>
      <c r="K91" t="s">
        <v>48</v>
      </c>
      <c r="L91" t="s">
        <v>164</v>
      </c>
      <c r="O91" t="s">
        <v>41</v>
      </c>
      <c r="P91" t="s">
        <v>41</v>
      </c>
      <c r="Q91" t="s">
        <v>40</v>
      </c>
      <c r="R91" t="s">
        <v>40</v>
      </c>
      <c r="S91" t="s">
        <v>40</v>
      </c>
      <c r="T91" t="s">
        <v>40</v>
      </c>
      <c r="U91" t="s">
        <v>40</v>
      </c>
      <c r="V91" t="s">
        <v>40</v>
      </c>
      <c r="W91" t="s">
        <v>40</v>
      </c>
      <c r="AB91" t="s">
        <v>3675</v>
      </c>
    </row>
    <row r="92" spans="1:30" x14ac:dyDescent="0.2">
      <c r="A92">
        <v>38416882</v>
      </c>
      <c r="B92">
        <v>52637948</v>
      </c>
      <c r="C92" t="s">
        <v>3676</v>
      </c>
      <c r="D92" t="s">
        <v>3505</v>
      </c>
      <c r="E92" s="9">
        <v>45098</v>
      </c>
      <c r="F92" s="9">
        <v>45296</v>
      </c>
      <c r="G92" t="s">
        <v>45</v>
      </c>
      <c r="H92" t="s">
        <v>90</v>
      </c>
      <c r="J92" t="s">
        <v>138</v>
      </c>
      <c r="K92" t="s">
        <v>48</v>
      </c>
      <c r="L92" t="s">
        <v>49</v>
      </c>
      <c r="M92" t="s">
        <v>50</v>
      </c>
      <c r="O92" t="s">
        <v>39</v>
      </c>
      <c r="P92" t="s">
        <v>39</v>
      </c>
      <c r="Q92" t="s">
        <v>40</v>
      </c>
      <c r="R92" t="s">
        <v>40</v>
      </c>
      <c r="S92" t="s">
        <v>40</v>
      </c>
      <c r="T92" t="s">
        <v>40</v>
      </c>
      <c r="U92" t="s">
        <v>40</v>
      </c>
      <c r="V92" t="s">
        <v>40</v>
      </c>
      <c r="W92" t="s">
        <v>40</v>
      </c>
      <c r="AB92" t="s">
        <v>3677</v>
      </c>
      <c r="AC92" t="s">
        <v>3678</v>
      </c>
    </row>
    <row r="93" spans="1:30" x14ac:dyDescent="0.2">
      <c r="A93">
        <v>38420260</v>
      </c>
      <c r="B93">
        <v>52905511</v>
      </c>
      <c r="C93" t="s">
        <v>3679</v>
      </c>
      <c r="D93" t="s">
        <v>3505</v>
      </c>
      <c r="E93" s="9">
        <v>45098</v>
      </c>
      <c r="F93" s="9">
        <v>45301</v>
      </c>
      <c r="G93" t="s">
        <v>33</v>
      </c>
      <c r="H93" t="s">
        <v>34</v>
      </c>
      <c r="I93" t="s">
        <v>34</v>
      </c>
      <c r="J93" t="s">
        <v>234</v>
      </c>
      <c r="K93" t="s">
        <v>48</v>
      </c>
      <c r="L93" t="s">
        <v>164</v>
      </c>
      <c r="O93" t="s">
        <v>39</v>
      </c>
      <c r="P93" t="s">
        <v>41</v>
      </c>
      <c r="Q93" t="s">
        <v>40</v>
      </c>
      <c r="R93" t="s">
        <v>40</v>
      </c>
      <c r="S93" t="s">
        <v>40</v>
      </c>
      <c r="T93" t="s">
        <v>40</v>
      </c>
      <c r="U93" t="s">
        <v>40</v>
      </c>
      <c r="V93" t="s">
        <v>40</v>
      </c>
      <c r="W93" t="s">
        <v>40</v>
      </c>
      <c r="AB93" t="s">
        <v>3680</v>
      </c>
    </row>
    <row r="94" spans="1:30" x14ac:dyDescent="0.2">
      <c r="A94">
        <v>38416877</v>
      </c>
      <c r="B94">
        <v>52809599</v>
      </c>
      <c r="C94" t="s">
        <v>3681</v>
      </c>
      <c r="D94" t="s">
        <v>3505</v>
      </c>
      <c r="E94" s="9">
        <v>45098</v>
      </c>
      <c r="F94" s="9">
        <v>45301</v>
      </c>
      <c r="G94" t="s">
        <v>33</v>
      </c>
      <c r="H94" t="s">
        <v>34</v>
      </c>
      <c r="I94" t="s">
        <v>34</v>
      </c>
      <c r="J94" t="s">
        <v>3682</v>
      </c>
      <c r="K94" t="s">
        <v>48</v>
      </c>
      <c r="L94" t="s">
        <v>49</v>
      </c>
      <c r="O94" t="s">
        <v>39</v>
      </c>
      <c r="P94" t="s">
        <v>39</v>
      </c>
      <c r="Q94" t="s">
        <v>40</v>
      </c>
      <c r="R94" t="s">
        <v>40</v>
      </c>
      <c r="S94" t="s">
        <v>40</v>
      </c>
      <c r="T94" t="s">
        <v>40</v>
      </c>
      <c r="U94" t="s">
        <v>40</v>
      </c>
      <c r="V94" t="s">
        <v>40</v>
      </c>
      <c r="W94" t="s">
        <v>40</v>
      </c>
    </row>
    <row r="95" spans="1:30" x14ac:dyDescent="0.2">
      <c r="A95">
        <v>38416858</v>
      </c>
      <c r="B95">
        <v>52686197</v>
      </c>
      <c r="C95" t="s">
        <v>3683</v>
      </c>
      <c r="D95" t="s">
        <v>3505</v>
      </c>
      <c r="E95" s="9">
        <v>45098</v>
      </c>
      <c r="F95" s="9">
        <v>45301</v>
      </c>
      <c r="G95" t="s">
        <v>33</v>
      </c>
      <c r="H95" t="s">
        <v>34</v>
      </c>
      <c r="I95" t="s">
        <v>34</v>
      </c>
      <c r="J95" t="s">
        <v>234</v>
      </c>
      <c r="K95" t="s">
        <v>36</v>
      </c>
      <c r="L95" t="s">
        <v>164</v>
      </c>
      <c r="O95" t="s">
        <v>39</v>
      </c>
      <c r="P95" t="s">
        <v>39</v>
      </c>
      <c r="Q95" t="s">
        <v>40</v>
      </c>
      <c r="R95" t="s">
        <v>40</v>
      </c>
      <c r="S95" t="s">
        <v>40</v>
      </c>
      <c r="T95" t="s">
        <v>40</v>
      </c>
      <c r="U95" t="s">
        <v>40</v>
      </c>
      <c r="V95" t="s">
        <v>40</v>
      </c>
      <c r="W95" t="s">
        <v>40</v>
      </c>
      <c r="AB95" t="s">
        <v>3684</v>
      </c>
    </row>
    <row r="96" spans="1:30" x14ac:dyDescent="0.2">
      <c r="A96">
        <v>38416867</v>
      </c>
      <c r="B96">
        <v>52660635</v>
      </c>
      <c r="C96" t="s">
        <v>3685</v>
      </c>
      <c r="D96" t="s">
        <v>3505</v>
      </c>
      <c r="E96" s="9">
        <v>45098</v>
      </c>
      <c r="F96" s="9">
        <v>45212</v>
      </c>
      <c r="G96" t="s">
        <v>45</v>
      </c>
      <c r="H96" t="s">
        <v>46</v>
      </c>
      <c r="J96" t="s">
        <v>286</v>
      </c>
      <c r="K96" t="s">
        <v>36</v>
      </c>
      <c r="L96" t="s">
        <v>49</v>
      </c>
      <c r="M96" t="s">
        <v>50</v>
      </c>
      <c r="O96" t="s">
        <v>39</v>
      </c>
      <c r="P96" t="s">
        <v>41</v>
      </c>
      <c r="Q96" t="s">
        <v>40</v>
      </c>
      <c r="R96" t="s">
        <v>40</v>
      </c>
      <c r="S96" t="s">
        <v>40</v>
      </c>
      <c r="T96" t="s">
        <v>40</v>
      </c>
      <c r="U96" t="s">
        <v>40</v>
      </c>
      <c r="V96" t="s">
        <v>40</v>
      </c>
      <c r="W96" t="s">
        <v>40</v>
      </c>
      <c r="AB96" t="s">
        <v>3686</v>
      </c>
    </row>
    <row r="97" spans="1:30" x14ac:dyDescent="0.2">
      <c r="A97">
        <v>38416908</v>
      </c>
      <c r="B97">
        <v>52470051</v>
      </c>
      <c r="C97" t="s">
        <v>3687</v>
      </c>
      <c r="D97" t="s">
        <v>3505</v>
      </c>
      <c r="E97" s="9">
        <v>45098</v>
      </c>
      <c r="F97" s="9">
        <v>45764</v>
      </c>
      <c r="G97" t="s">
        <v>33</v>
      </c>
      <c r="H97" t="s">
        <v>34</v>
      </c>
      <c r="I97" t="s">
        <v>34</v>
      </c>
      <c r="J97" t="s">
        <v>234</v>
      </c>
      <c r="K97" t="s">
        <v>48</v>
      </c>
      <c r="L97" t="s">
        <v>164</v>
      </c>
      <c r="N97" t="s">
        <v>38</v>
      </c>
      <c r="O97" t="s">
        <v>41</v>
      </c>
      <c r="P97" t="s">
        <v>39</v>
      </c>
      <c r="Q97" t="s">
        <v>41</v>
      </c>
      <c r="R97" t="s">
        <v>40</v>
      </c>
      <c r="S97" t="s">
        <v>41</v>
      </c>
      <c r="T97" t="s">
        <v>41</v>
      </c>
      <c r="U97" t="s">
        <v>40</v>
      </c>
      <c r="V97" t="s">
        <v>40</v>
      </c>
      <c r="W97" t="s">
        <v>40</v>
      </c>
      <c r="X97" t="s">
        <v>3688</v>
      </c>
    </row>
    <row r="98" spans="1:30" x14ac:dyDescent="0.2">
      <c r="A98">
        <v>38416902</v>
      </c>
      <c r="B98">
        <v>51773701</v>
      </c>
      <c r="C98" t="s">
        <v>662</v>
      </c>
      <c r="D98" t="s">
        <v>3505</v>
      </c>
      <c r="E98" s="9">
        <v>45098</v>
      </c>
      <c r="F98" s="9">
        <v>45212</v>
      </c>
      <c r="G98" t="s">
        <v>45</v>
      </c>
      <c r="H98" t="s">
        <v>385</v>
      </c>
      <c r="J98" t="s">
        <v>342</v>
      </c>
      <c r="K98" t="s">
        <v>48</v>
      </c>
      <c r="L98" t="s">
        <v>49</v>
      </c>
      <c r="M98" t="s">
        <v>74</v>
      </c>
      <c r="O98" t="s">
        <v>39</v>
      </c>
      <c r="P98" t="s">
        <v>39</v>
      </c>
      <c r="Q98" t="s">
        <v>40</v>
      </c>
      <c r="R98" t="s">
        <v>40</v>
      </c>
      <c r="S98" t="s">
        <v>40</v>
      </c>
      <c r="T98" t="s">
        <v>40</v>
      </c>
      <c r="U98" t="s">
        <v>40</v>
      </c>
      <c r="V98" t="s">
        <v>40</v>
      </c>
      <c r="W98" t="s">
        <v>40</v>
      </c>
      <c r="AB98" t="s">
        <v>3689</v>
      </c>
      <c r="AC98" t="s">
        <v>3690</v>
      </c>
    </row>
    <row r="99" spans="1:30" x14ac:dyDescent="0.2">
      <c r="A99">
        <v>38416840</v>
      </c>
      <c r="B99">
        <v>52686242</v>
      </c>
      <c r="C99" t="s">
        <v>3691</v>
      </c>
      <c r="D99" t="s">
        <v>3505</v>
      </c>
      <c r="E99" s="9">
        <v>45098</v>
      </c>
      <c r="F99" s="9">
        <v>45387</v>
      </c>
      <c r="G99" t="s">
        <v>33</v>
      </c>
      <c r="H99" t="s">
        <v>34</v>
      </c>
      <c r="I99" t="s">
        <v>34</v>
      </c>
      <c r="J99" t="s">
        <v>286</v>
      </c>
      <c r="K99" t="s">
        <v>48</v>
      </c>
      <c r="L99" t="s">
        <v>164</v>
      </c>
      <c r="O99" t="s">
        <v>39</v>
      </c>
      <c r="P99" t="s">
        <v>39</v>
      </c>
      <c r="Q99" t="s">
        <v>40</v>
      </c>
      <c r="R99" t="s">
        <v>40</v>
      </c>
      <c r="S99" t="s">
        <v>40</v>
      </c>
      <c r="T99" t="s">
        <v>40</v>
      </c>
      <c r="U99" t="s">
        <v>40</v>
      </c>
      <c r="V99" t="s">
        <v>40</v>
      </c>
      <c r="W99" t="s">
        <v>40</v>
      </c>
      <c r="AB99" t="s">
        <v>3692</v>
      </c>
    </row>
    <row r="100" spans="1:30" x14ac:dyDescent="0.2">
      <c r="A100">
        <v>38416836</v>
      </c>
      <c r="B100">
        <v>52639770</v>
      </c>
      <c r="C100" t="s">
        <v>3693</v>
      </c>
      <c r="D100" t="s">
        <v>3505</v>
      </c>
      <c r="E100" s="9">
        <v>45098</v>
      </c>
      <c r="F100" s="9">
        <v>45301</v>
      </c>
      <c r="G100" t="s">
        <v>33</v>
      </c>
      <c r="H100" t="s">
        <v>34</v>
      </c>
      <c r="I100" t="s">
        <v>34</v>
      </c>
      <c r="J100" t="s">
        <v>3501</v>
      </c>
      <c r="K100" t="s">
        <v>36</v>
      </c>
      <c r="L100" t="s">
        <v>164</v>
      </c>
      <c r="O100" t="s">
        <v>39</v>
      </c>
      <c r="P100" t="s">
        <v>41</v>
      </c>
      <c r="Q100" t="s">
        <v>40</v>
      </c>
      <c r="R100" t="s">
        <v>40</v>
      </c>
      <c r="S100" t="s">
        <v>40</v>
      </c>
      <c r="T100" t="s">
        <v>40</v>
      </c>
      <c r="U100" t="s">
        <v>40</v>
      </c>
      <c r="V100" t="s">
        <v>40</v>
      </c>
      <c r="W100" t="s">
        <v>40</v>
      </c>
      <c r="AB100" t="s">
        <v>3694</v>
      </c>
    </row>
    <row r="101" spans="1:30" x14ac:dyDescent="0.2">
      <c r="A101">
        <v>38416893</v>
      </c>
      <c r="B101">
        <v>52876441</v>
      </c>
      <c r="C101" t="s">
        <v>3695</v>
      </c>
      <c r="D101" t="s">
        <v>3505</v>
      </c>
      <c r="E101" s="9">
        <v>45098</v>
      </c>
      <c r="F101" s="9">
        <v>45301</v>
      </c>
      <c r="G101" t="s">
        <v>33</v>
      </c>
      <c r="H101" t="s">
        <v>34</v>
      </c>
      <c r="I101" t="s">
        <v>34</v>
      </c>
      <c r="J101" t="s">
        <v>234</v>
      </c>
      <c r="K101" t="s">
        <v>36</v>
      </c>
      <c r="L101" t="s">
        <v>37</v>
      </c>
      <c r="O101" t="s">
        <v>39</v>
      </c>
      <c r="P101" t="s">
        <v>41</v>
      </c>
      <c r="Q101" t="s">
        <v>40</v>
      </c>
      <c r="R101" t="s">
        <v>40</v>
      </c>
      <c r="S101" t="s">
        <v>40</v>
      </c>
      <c r="T101" t="s">
        <v>40</v>
      </c>
      <c r="U101" t="s">
        <v>40</v>
      </c>
      <c r="V101" t="s">
        <v>40</v>
      </c>
      <c r="W101" t="s">
        <v>40</v>
      </c>
      <c r="AB101" t="s">
        <v>3696</v>
      </c>
    </row>
    <row r="102" spans="1:30" x14ac:dyDescent="0.2">
      <c r="A102">
        <v>38416830</v>
      </c>
      <c r="B102">
        <v>52686230</v>
      </c>
      <c r="C102" t="s">
        <v>3697</v>
      </c>
      <c r="D102" t="s">
        <v>3505</v>
      </c>
      <c r="E102" s="9">
        <v>45098</v>
      </c>
      <c r="F102" s="9">
        <v>45301</v>
      </c>
      <c r="G102" t="s">
        <v>33</v>
      </c>
      <c r="H102" t="s">
        <v>34</v>
      </c>
      <c r="I102" t="s">
        <v>34</v>
      </c>
      <c r="J102" t="s">
        <v>286</v>
      </c>
      <c r="K102" t="s">
        <v>36</v>
      </c>
      <c r="L102" t="s">
        <v>164</v>
      </c>
      <c r="O102" t="s">
        <v>39</v>
      </c>
      <c r="P102" t="s">
        <v>39</v>
      </c>
      <c r="Q102" t="s">
        <v>40</v>
      </c>
      <c r="R102" t="s">
        <v>40</v>
      </c>
      <c r="S102" t="s">
        <v>40</v>
      </c>
      <c r="T102" t="s">
        <v>40</v>
      </c>
      <c r="U102" t="s">
        <v>40</v>
      </c>
      <c r="V102" t="s">
        <v>40</v>
      </c>
      <c r="W102" t="s">
        <v>40</v>
      </c>
      <c r="AB102" t="s">
        <v>3698</v>
      </c>
    </row>
    <row r="103" spans="1:30" x14ac:dyDescent="0.2">
      <c r="A103">
        <v>38416897</v>
      </c>
      <c r="B103">
        <v>52632935</v>
      </c>
      <c r="C103" t="s">
        <v>3699</v>
      </c>
      <c r="D103" t="s">
        <v>3505</v>
      </c>
      <c r="E103" s="9">
        <v>45098</v>
      </c>
      <c r="F103" s="9">
        <v>45301</v>
      </c>
      <c r="G103" t="s">
        <v>33</v>
      </c>
      <c r="H103" t="s">
        <v>242</v>
      </c>
      <c r="I103" t="s">
        <v>34</v>
      </c>
      <c r="J103" t="s">
        <v>3501</v>
      </c>
      <c r="K103" t="s">
        <v>36</v>
      </c>
      <c r="L103" t="s">
        <v>164</v>
      </c>
      <c r="O103" t="s">
        <v>39</v>
      </c>
      <c r="P103" t="s">
        <v>39</v>
      </c>
      <c r="Q103" t="s">
        <v>40</v>
      </c>
      <c r="R103" t="s">
        <v>40</v>
      </c>
      <c r="S103" t="s">
        <v>40</v>
      </c>
      <c r="T103" t="s">
        <v>40</v>
      </c>
      <c r="U103" t="s">
        <v>40</v>
      </c>
      <c r="V103" t="s">
        <v>40</v>
      </c>
      <c r="W103" t="s">
        <v>40</v>
      </c>
      <c r="AB103" t="s">
        <v>3700</v>
      </c>
    </row>
    <row r="104" spans="1:30" x14ac:dyDescent="0.2">
      <c r="A104">
        <v>38416852</v>
      </c>
      <c r="B104">
        <v>52465658</v>
      </c>
      <c r="C104" t="s">
        <v>3701</v>
      </c>
      <c r="D104" t="s">
        <v>3505</v>
      </c>
      <c r="E104" s="9">
        <v>45098</v>
      </c>
      <c r="F104" s="9">
        <v>45327</v>
      </c>
      <c r="G104" t="s">
        <v>45</v>
      </c>
      <c r="H104" t="s">
        <v>46</v>
      </c>
      <c r="J104" t="s">
        <v>286</v>
      </c>
      <c r="K104" t="s">
        <v>48</v>
      </c>
      <c r="L104" t="s">
        <v>37</v>
      </c>
      <c r="M104" t="s">
        <v>50</v>
      </c>
      <c r="O104" t="s">
        <v>39</v>
      </c>
      <c r="P104" t="s">
        <v>39</v>
      </c>
      <c r="Q104" t="s">
        <v>40</v>
      </c>
      <c r="R104" t="s">
        <v>40</v>
      </c>
      <c r="S104" t="s">
        <v>40</v>
      </c>
      <c r="T104" t="s">
        <v>40</v>
      </c>
      <c r="U104" t="s">
        <v>40</v>
      </c>
      <c r="V104" t="s">
        <v>40</v>
      </c>
      <c r="W104" t="s">
        <v>40</v>
      </c>
      <c r="AB104" t="s">
        <v>3702</v>
      </c>
      <c r="AC104" t="s">
        <v>3703</v>
      </c>
    </row>
    <row r="105" spans="1:30" x14ac:dyDescent="0.2">
      <c r="A105">
        <v>38416869</v>
      </c>
      <c r="B105">
        <v>52626249</v>
      </c>
      <c r="C105" t="s">
        <v>3704</v>
      </c>
      <c r="D105" t="s">
        <v>3505</v>
      </c>
      <c r="E105" s="9">
        <v>45098</v>
      </c>
      <c r="F105" s="9">
        <v>45301</v>
      </c>
      <c r="G105" t="s">
        <v>33</v>
      </c>
      <c r="H105" t="s">
        <v>34</v>
      </c>
      <c r="I105" t="s">
        <v>34</v>
      </c>
      <c r="J105" t="s">
        <v>234</v>
      </c>
      <c r="K105" t="s">
        <v>48</v>
      </c>
      <c r="L105" t="s">
        <v>164</v>
      </c>
      <c r="O105" t="s">
        <v>39</v>
      </c>
      <c r="P105" t="s">
        <v>41</v>
      </c>
      <c r="Q105" t="s">
        <v>40</v>
      </c>
      <c r="R105" t="s">
        <v>40</v>
      </c>
      <c r="S105" t="s">
        <v>40</v>
      </c>
      <c r="T105" t="s">
        <v>40</v>
      </c>
      <c r="U105" t="s">
        <v>40</v>
      </c>
      <c r="V105" t="s">
        <v>40</v>
      </c>
      <c r="W105" t="s">
        <v>40</v>
      </c>
      <c r="AB105" t="s">
        <v>3705</v>
      </c>
    </row>
    <row r="106" spans="1:30" x14ac:dyDescent="0.2">
      <c r="A106">
        <v>38416811</v>
      </c>
      <c r="B106">
        <v>52869646</v>
      </c>
      <c r="C106" t="s">
        <v>3706</v>
      </c>
      <c r="D106" t="s">
        <v>3505</v>
      </c>
      <c r="E106" s="9">
        <v>45098</v>
      </c>
      <c r="F106" s="9">
        <v>45301</v>
      </c>
      <c r="G106" t="s">
        <v>33</v>
      </c>
      <c r="H106" t="s">
        <v>34</v>
      </c>
      <c r="I106" t="s">
        <v>34</v>
      </c>
      <c r="J106" t="s">
        <v>286</v>
      </c>
      <c r="K106" t="s">
        <v>48</v>
      </c>
      <c r="L106" t="s">
        <v>164</v>
      </c>
      <c r="O106" t="s">
        <v>39</v>
      </c>
      <c r="P106" t="s">
        <v>39</v>
      </c>
      <c r="Q106" t="s">
        <v>40</v>
      </c>
      <c r="R106" t="s">
        <v>40</v>
      </c>
      <c r="S106" t="s">
        <v>40</v>
      </c>
      <c r="T106" t="s">
        <v>40</v>
      </c>
      <c r="U106" t="s">
        <v>40</v>
      </c>
      <c r="V106" t="s">
        <v>40</v>
      </c>
      <c r="W106" t="s">
        <v>40</v>
      </c>
    </row>
    <row r="107" spans="1:30" x14ac:dyDescent="0.2">
      <c r="A107">
        <v>38416895</v>
      </c>
      <c r="B107">
        <v>52630912</v>
      </c>
      <c r="C107" t="s">
        <v>3707</v>
      </c>
      <c r="D107" t="s">
        <v>3505</v>
      </c>
      <c r="E107" s="9">
        <v>45098</v>
      </c>
      <c r="F107" s="9">
        <v>45296</v>
      </c>
      <c r="G107" t="s">
        <v>45</v>
      </c>
      <c r="H107" t="s">
        <v>1439</v>
      </c>
      <c r="I107" t="s">
        <v>3511</v>
      </c>
      <c r="J107" t="s">
        <v>138</v>
      </c>
      <c r="K107" t="s">
        <v>36</v>
      </c>
      <c r="L107" t="s">
        <v>49</v>
      </c>
      <c r="M107" t="s">
        <v>50</v>
      </c>
      <c r="O107" t="s">
        <v>41</v>
      </c>
      <c r="P107" t="s">
        <v>39</v>
      </c>
      <c r="Q107" t="s">
        <v>40</v>
      </c>
      <c r="R107" t="s">
        <v>40</v>
      </c>
      <c r="S107" t="s">
        <v>40</v>
      </c>
      <c r="T107" t="s">
        <v>40</v>
      </c>
      <c r="U107" t="s">
        <v>40</v>
      </c>
      <c r="V107" t="s">
        <v>40</v>
      </c>
      <c r="W107" t="s">
        <v>40</v>
      </c>
      <c r="AB107" t="s">
        <v>3708</v>
      </c>
      <c r="AC107" t="s">
        <v>3709</v>
      </c>
      <c r="AD107" t="s">
        <v>3710</v>
      </c>
    </row>
    <row r="108" spans="1:30" x14ac:dyDescent="0.2">
      <c r="A108">
        <v>38416838</v>
      </c>
      <c r="B108">
        <v>52772354</v>
      </c>
      <c r="C108" t="s">
        <v>3711</v>
      </c>
      <c r="D108" t="s">
        <v>3505</v>
      </c>
      <c r="E108" s="9">
        <v>45098</v>
      </c>
      <c r="F108" s="9">
        <v>45301</v>
      </c>
      <c r="G108" t="s">
        <v>33</v>
      </c>
      <c r="H108" t="s">
        <v>34</v>
      </c>
      <c r="I108" t="s">
        <v>34</v>
      </c>
      <c r="J108" t="s">
        <v>234</v>
      </c>
      <c r="K108" t="s">
        <v>36</v>
      </c>
      <c r="L108" t="s">
        <v>164</v>
      </c>
      <c r="O108" t="s">
        <v>39</v>
      </c>
      <c r="P108" t="s">
        <v>39</v>
      </c>
      <c r="Q108" t="s">
        <v>40</v>
      </c>
      <c r="R108" t="s">
        <v>40</v>
      </c>
      <c r="S108" t="s">
        <v>40</v>
      </c>
      <c r="T108" t="s">
        <v>40</v>
      </c>
      <c r="U108" t="s">
        <v>40</v>
      </c>
      <c r="V108" t="s">
        <v>40</v>
      </c>
      <c r="W108" t="s">
        <v>40</v>
      </c>
      <c r="AB108" t="s">
        <v>3712</v>
      </c>
    </row>
    <row r="109" spans="1:30" x14ac:dyDescent="0.2">
      <c r="A109">
        <v>38416872</v>
      </c>
      <c r="B109">
        <v>52762249</v>
      </c>
      <c r="C109" t="s">
        <v>3713</v>
      </c>
      <c r="D109" t="s">
        <v>3505</v>
      </c>
      <c r="E109" s="9">
        <v>45098</v>
      </c>
      <c r="F109" s="9">
        <v>45301</v>
      </c>
      <c r="G109" t="s">
        <v>33</v>
      </c>
      <c r="H109" t="s">
        <v>34</v>
      </c>
      <c r="I109" t="s">
        <v>34</v>
      </c>
      <c r="J109" t="s">
        <v>234</v>
      </c>
      <c r="K109" t="s">
        <v>36</v>
      </c>
      <c r="L109" t="s">
        <v>164</v>
      </c>
      <c r="O109" t="s">
        <v>39</v>
      </c>
      <c r="P109" t="s">
        <v>39</v>
      </c>
      <c r="Q109" t="s">
        <v>40</v>
      </c>
      <c r="R109" t="s">
        <v>40</v>
      </c>
      <c r="S109" t="s">
        <v>40</v>
      </c>
      <c r="T109" t="s">
        <v>40</v>
      </c>
      <c r="U109" t="s">
        <v>40</v>
      </c>
      <c r="V109" t="s">
        <v>40</v>
      </c>
      <c r="W109" t="s">
        <v>40</v>
      </c>
      <c r="AB109" t="s">
        <v>3714</v>
      </c>
    </row>
    <row r="110" spans="1:30" x14ac:dyDescent="0.2">
      <c r="A110">
        <v>38419315</v>
      </c>
      <c r="B110">
        <v>52563826</v>
      </c>
      <c r="C110" t="s">
        <v>3715</v>
      </c>
      <c r="D110" t="s">
        <v>3505</v>
      </c>
      <c r="E110" s="9">
        <v>45098</v>
      </c>
      <c r="F110" s="9">
        <v>45296</v>
      </c>
      <c r="G110" t="s">
        <v>45</v>
      </c>
      <c r="H110" t="s">
        <v>68</v>
      </c>
      <c r="J110" t="s">
        <v>146</v>
      </c>
      <c r="K110" t="s">
        <v>36</v>
      </c>
      <c r="L110" t="s">
        <v>49</v>
      </c>
      <c r="M110" t="s">
        <v>74</v>
      </c>
      <c r="O110" t="s">
        <v>39</v>
      </c>
      <c r="P110" t="s">
        <v>39</v>
      </c>
      <c r="Q110" t="s">
        <v>40</v>
      </c>
      <c r="R110" t="s">
        <v>40</v>
      </c>
      <c r="S110" t="s">
        <v>40</v>
      </c>
      <c r="T110" t="s">
        <v>40</v>
      </c>
      <c r="U110" t="s">
        <v>40</v>
      </c>
      <c r="V110" t="s">
        <v>40</v>
      </c>
      <c r="W110" t="s">
        <v>40</v>
      </c>
      <c r="AB110" t="s">
        <v>3716</v>
      </c>
      <c r="AC110" t="s">
        <v>3717</v>
      </c>
    </row>
    <row r="111" spans="1:30" x14ac:dyDescent="0.2">
      <c r="A111">
        <v>38418183</v>
      </c>
      <c r="B111">
        <v>52576355</v>
      </c>
      <c r="C111" t="s">
        <v>3718</v>
      </c>
      <c r="D111" t="s">
        <v>3505</v>
      </c>
      <c r="E111" s="9">
        <v>45098</v>
      </c>
      <c r="F111" s="9">
        <v>45678</v>
      </c>
      <c r="G111" t="s">
        <v>45</v>
      </c>
      <c r="H111" t="s">
        <v>46</v>
      </c>
      <c r="J111" t="s">
        <v>146</v>
      </c>
      <c r="K111" t="s">
        <v>36</v>
      </c>
      <c r="L111" t="s">
        <v>49</v>
      </c>
      <c r="M111" t="s">
        <v>50</v>
      </c>
      <c r="O111" t="s">
        <v>39</v>
      </c>
      <c r="P111" t="s">
        <v>39</v>
      </c>
      <c r="Q111" t="s">
        <v>39</v>
      </c>
      <c r="R111" t="s">
        <v>39</v>
      </c>
      <c r="S111" t="s">
        <v>40</v>
      </c>
      <c r="T111" t="s">
        <v>41</v>
      </c>
      <c r="U111" t="s">
        <v>39</v>
      </c>
      <c r="V111" t="s">
        <v>39</v>
      </c>
      <c r="W111" t="s">
        <v>40</v>
      </c>
      <c r="X111" t="s">
        <v>3719</v>
      </c>
      <c r="AB111" t="s">
        <v>3720</v>
      </c>
    </row>
    <row r="112" spans="1:30" x14ac:dyDescent="0.2">
      <c r="A112">
        <v>38429726</v>
      </c>
      <c r="B112">
        <v>52851425</v>
      </c>
      <c r="C112" t="s">
        <v>3721</v>
      </c>
      <c r="D112" t="s">
        <v>3505</v>
      </c>
      <c r="E112" s="9">
        <v>45099</v>
      </c>
      <c r="F112" s="9">
        <v>45301</v>
      </c>
      <c r="G112" t="s">
        <v>33</v>
      </c>
      <c r="H112" t="s">
        <v>34</v>
      </c>
      <c r="I112" t="s">
        <v>34</v>
      </c>
      <c r="J112" t="s">
        <v>286</v>
      </c>
      <c r="K112" t="s">
        <v>36</v>
      </c>
      <c r="L112" t="s">
        <v>164</v>
      </c>
      <c r="O112" t="s">
        <v>39</v>
      </c>
      <c r="P112" t="s">
        <v>41</v>
      </c>
      <c r="Q112" t="s">
        <v>40</v>
      </c>
      <c r="R112" t="s">
        <v>40</v>
      </c>
      <c r="S112" t="s">
        <v>40</v>
      </c>
      <c r="T112" t="s">
        <v>40</v>
      </c>
      <c r="U112" t="s">
        <v>40</v>
      </c>
      <c r="V112" t="s">
        <v>40</v>
      </c>
      <c r="W112" t="s">
        <v>40</v>
      </c>
      <c r="AB112" t="s">
        <v>3722</v>
      </c>
    </row>
    <row r="113" spans="1:30" x14ac:dyDescent="0.2">
      <c r="A113">
        <v>38429727</v>
      </c>
      <c r="B113">
        <v>52851418</v>
      </c>
      <c r="C113" t="s">
        <v>3721</v>
      </c>
      <c r="D113" t="s">
        <v>3505</v>
      </c>
      <c r="E113" s="9">
        <v>45099</v>
      </c>
      <c r="F113" s="9">
        <v>45301</v>
      </c>
      <c r="G113" t="s">
        <v>33</v>
      </c>
      <c r="H113" t="s">
        <v>34</v>
      </c>
      <c r="I113" t="s">
        <v>34</v>
      </c>
      <c r="J113" t="s">
        <v>234</v>
      </c>
      <c r="K113" t="s">
        <v>48</v>
      </c>
      <c r="L113" t="s">
        <v>164</v>
      </c>
      <c r="O113" t="s">
        <v>39</v>
      </c>
      <c r="P113" t="s">
        <v>41</v>
      </c>
      <c r="Q113" t="s">
        <v>40</v>
      </c>
      <c r="R113" t="s">
        <v>40</v>
      </c>
      <c r="S113" t="s">
        <v>40</v>
      </c>
      <c r="T113" t="s">
        <v>40</v>
      </c>
      <c r="U113" t="s">
        <v>40</v>
      </c>
      <c r="V113" t="s">
        <v>40</v>
      </c>
      <c r="W113" t="s">
        <v>40</v>
      </c>
      <c r="AB113" t="s">
        <v>3723</v>
      </c>
    </row>
    <row r="114" spans="1:30" x14ac:dyDescent="0.2">
      <c r="A114">
        <v>38438898</v>
      </c>
      <c r="B114">
        <v>52801345</v>
      </c>
      <c r="C114">
        <v>52801345</v>
      </c>
      <c r="D114" t="s">
        <v>3505</v>
      </c>
      <c r="E114" s="9">
        <v>45100</v>
      </c>
      <c r="F114" s="9">
        <v>45301</v>
      </c>
      <c r="G114" t="s">
        <v>33</v>
      </c>
      <c r="H114" t="s">
        <v>34</v>
      </c>
      <c r="I114" t="s">
        <v>34</v>
      </c>
      <c r="J114" t="s">
        <v>234</v>
      </c>
      <c r="K114" t="s">
        <v>48</v>
      </c>
      <c r="L114" t="s">
        <v>164</v>
      </c>
      <c r="O114" t="s">
        <v>39</v>
      </c>
      <c r="P114" t="s">
        <v>41</v>
      </c>
      <c r="Q114" t="s">
        <v>40</v>
      </c>
      <c r="R114" t="s">
        <v>40</v>
      </c>
      <c r="S114" t="s">
        <v>40</v>
      </c>
      <c r="T114" t="s">
        <v>40</v>
      </c>
      <c r="U114" t="s">
        <v>40</v>
      </c>
      <c r="V114" t="s">
        <v>40</v>
      </c>
      <c r="W114" t="s">
        <v>40</v>
      </c>
      <c r="AB114" t="s">
        <v>3724</v>
      </c>
    </row>
    <row r="115" spans="1:30" x14ac:dyDescent="0.2">
      <c r="A115">
        <v>38438899</v>
      </c>
      <c r="B115">
        <v>52867359</v>
      </c>
      <c r="C115" t="s">
        <v>3725</v>
      </c>
      <c r="D115" t="s">
        <v>3505</v>
      </c>
      <c r="E115" s="9">
        <v>45100</v>
      </c>
      <c r="F115" s="9">
        <v>45301</v>
      </c>
      <c r="G115" t="s">
        <v>33</v>
      </c>
      <c r="H115" t="s">
        <v>34</v>
      </c>
      <c r="I115" t="s">
        <v>34</v>
      </c>
      <c r="J115" t="s">
        <v>3625</v>
      </c>
      <c r="K115" t="s">
        <v>48</v>
      </c>
      <c r="L115" t="s">
        <v>164</v>
      </c>
      <c r="O115" t="s">
        <v>39</v>
      </c>
      <c r="P115" t="s">
        <v>39</v>
      </c>
      <c r="Q115" t="s">
        <v>40</v>
      </c>
      <c r="R115" t="s">
        <v>40</v>
      </c>
      <c r="S115" t="s">
        <v>40</v>
      </c>
      <c r="T115" t="s">
        <v>40</v>
      </c>
      <c r="U115" t="s">
        <v>40</v>
      </c>
      <c r="V115" t="s">
        <v>40</v>
      </c>
      <c r="W115" t="s">
        <v>40</v>
      </c>
    </row>
    <row r="116" spans="1:30" x14ac:dyDescent="0.2">
      <c r="A116">
        <v>38469003</v>
      </c>
      <c r="B116">
        <v>52576360</v>
      </c>
      <c r="C116" t="s">
        <v>3726</v>
      </c>
      <c r="D116" t="s">
        <v>3505</v>
      </c>
      <c r="E116" s="9">
        <v>45103</v>
      </c>
      <c r="F116" s="9">
        <v>45212</v>
      </c>
      <c r="G116" t="s">
        <v>45</v>
      </c>
      <c r="H116" t="s">
        <v>46</v>
      </c>
      <c r="J116" t="s">
        <v>138</v>
      </c>
      <c r="K116" t="s">
        <v>36</v>
      </c>
      <c r="L116" t="s">
        <v>386</v>
      </c>
      <c r="M116" t="s">
        <v>50</v>
      </c>
      <c r="O116" t="s">
        <v>39</v>
      </c>
      <c r="P116" t="s">
        <v>41</v>
      </c>
      <c r="Q116" t="s">
        <v>40</v>
      </c>
      <c r="R116" t="s">
        <v>40</v>
      </c>
      <c r="S116" t="s">
        <v>40</v>
      </c>
      <c r="T116" t="s">
        <v>40</v>
      </c>
      <c r="U116" t="s">
        <v>40</v>
      </c>
      <c r="V116" t="s">
        <v>40</v>
      </c>
      <c r="W116" t="s">
        <v>40</v>
      </c>
      <c r="AB116" t="s">
        <v>3727</v>
      </c>
    </row>
    <row r="117" spans="1:30" x14ac:dyDescent="0.2">
      <c r="A117">
        <v>38468655</v>
      </c>
      <c r="B117">
        <v>52812488</v>
      </c>
      <c r="C117" t="s">
        <v>3728</v>
      </c>
      <c r="D117" t="s">
        <v>3500</v>
      </c>
      <c r="E117" s="9">
        <v>45103</v>
      </c>
      <c r="G117" t="s">
        <v>45</v>
      </c>
      <c r="H117" t="s">
        <v>3729</v>
      </c>
      <c r="J117" t="s">
        <v>47</v>
      </c>
      <c r="K117" t="s">
        <v>48</v>
      </c>
      <c r="L117" t="s">
        <v>37</v>
      </c>
      <c r="M117" t="s">
        <v>74</v>
      </c>
      <c r="O117" t="s">
        <v>39</v>
      </c>
      <c r="P117" t="s">
        <v>41</v>
      </c>
      <c r="Q117" t="s">
        <v>40</v>
      </c>
      <c r="R117" t="s">
        <v>40</v>
      </c>
      <c r="S117" t="s">
        <v>40</v>
      </c>
      <c r="T117" t="s">
        <v>40</v>
      </c>
      <c r="U117" t="s">
        <v>40</v>
      </c>
      <c r="V117" t="s">
        <v>40</v>
      </c>
      <c r="W117" t="s">
        <v>40</v>
      </c>
      <c r="AB117" t="s">
        <v>3730</v>
      </c>
      <c r="AC117" t="s">
        <v>3731</v>
      </c>
      <c r="AD117" t="s">
        <v>3732</v>
      </c>
    </row>
    <row r="118" spans="1:30" x14ac:dyDescent="0.2">
      <c r="A118">
        <v>38491905</v>
      </c>
      <c r="B118">
        <v>52934761</v>
      </c>
      <c r="C118" t="s">
        <v>3733</v>
      </c>
      <c r="D118" t="s">
        <v>3505</v>
      </c>
      <c r="E118" s="9">
        <v>45105</v>
      </c>
      <c r="F118" s="9">
        <v>45301</v>
      </c>
      <c r="G118" t="s">
        <v>33</v>
      </c>
      <c r="H118" t="s">
        <v>34</v>
      </c>
      <c r="I118" t="s">
        <v>34</v>
      </c>
      <c r="J118" t="s">
        <v>286</v>
      </c>
      <c r="K118" t="s">
        <v>36</v>
      </c>
      <c r="L118" t="s">
        <v>164</v>
      </c>
      <c r="O118" t="s">
        <v>39</v>
      </c>
      <c r="P118" t="s">
        <v>39</v>
      </c>
      <c r="Q118" t="s">
        <v>40</v>
      </c>
      <c r="R118" t="s">
        <v>40</v>
      </c>
      <c r="S118" t="s">
        <v>40</v>
      </c>
      <c r="T118" t="s">
        <v>40</v>
      </c>
      <c r="U118" t="s">
        <v>40</v>
      </c>
      <c r="V118" t="s">
        <v>40</v>
      </c>
      <c r="W118" t="s">
        <v>40</v>
      </c>
      <c r="AB118" t="s">
        <v>3734</v>
      </c>
    </row>
    <row r="119" spans="1:30" x14ac:dyDescent="0.2">
      <c r="A119">
        <v>38491904</v>
      </c>
      <c r="B119">
        <v>52937800</v>
      </c>
      <c r="C119" t="s">
        <v>3735</v>
      </c>
      <c r="D119" t="s">
        <v>3505</v>
      </c>
      <c r="E119" s="9">
        <v>45105</v>
      </c>
      <c r="F119" s="9">
        <v>45301</v>
      </c>
      <c r="G119" t="s">
        <v>33</v>
      </c>
      <c r="H119" t="s">
        <v>34</v>
      </c>
      <c r="I119" t="s">
        <v>34</v>
      </c>
      <c r="J119" t="s">
        <v>234</v>
      </c>
      <c r="K119" t="s">
        <v>48</v>
      </c>
      <c r="L119" t="s">
        <v>164</v>
      </c>
      <c r="O119" t="s">
        <v>39</v>
      </c>
      <c r="P119" t="s">
        <v>39</v>
      </c>
      <c r="Q119" t="s">
        <v>40</v>
      </c>
      <c r="R119" t="s">
        <v>40</v>
      </c>
      <c r="S119" t="s">
        <v>40</v>
      </c>
      <c r="T119" t="s">
        <v>40</v>
      </c>
      <c r="U119" t="s">
        <v>40</v>
      </c>
      <c r="V119" t="s">
        <v>40</v>
      </c>
      <c r="W119" t="s">
        <v>40</v>
      </c>
      <c r="AB119" t="s">
        <v>3736</v>
      </c>
    </row>
    <row r="120" spans="1:30" x14ac:dyDescent="0.2">
      <c r="A120">
        <v>38491903</v>
      </c>
      <c r="B120">
        <v>52937817</v>
      </c>
      <c r="C120" t="s">
        <v>3737</v>
      </c>
      <c r="D120" t="s">
        <v>3505</v>
      </c>
      <c r="E120" s="9">
        <v>45105</v>
      </c>
      <c r="F120" s="9">
        <v>45301</v>
      </c>
      <c r="G120" t="s">
        <v>33</v>
      </c>
      <c r="H120" t="s">
        <v>34</v>
      </c>
      <c r="I120" t="s">
        <v>34</v>
      </c>
      <c r="J120" t="s">
        <v>234</v>
      </c>
      <c r="K120" t="s">
        <v>48</v>
      </c>
      <c r="L120" t="s">
        <v>164</v>
      </c>
      <c r="O120" t="s">
        <v>39</v>
      </c>
      <c r="P120" t="s">
        <v>39</v>
      </c>
      <c r="Q120" t="s">
        <v>40</v>
      </c>
      <c r="R120" t="s">
        <v>40</v>
      </c>
      <c r="S120" t="s">
        <v>40</v>
      </c>
      <c r="T120" t="s">
        <v>40</v>
      </c>
      <c r="U120" t="s">
        <v>40</v>
      </c>
      <c r="V120" t="s">
        <v>40</v>
      </c>
      <c r="W120" t="s">
        <v>40</v>
      </c>
    </row>
    <row r="121" spans="1:30" x14ac:dyDescent="0.2">
      <c r="A121">
        <v>38491902</v>
      </c>
      <c r="B121">
        <v>52937805</v>
      </c>
      <c r="C121" t="s">
        <v>3738</v>
      </c>
      <c r="D121" t="s">
        <v>3505</v>
      </c>
      <c r="E121" s="9">
        <v>45105</v>
      </c>
      <c r="F121" s="9">
        <v>45301</v>
      </c>
      <c r="G121" t="s">
        <v>33</v>
      </c>
      <c r="H121" t="s">
        <v>34</v>
      </c>
      <c r="I121" t="s">
        <v>34</v>
      </c>
      <c r="J121" t="s">
        <v>234</v>
      </c>
      <c r="K121" t="s">
        <v>48</v>
      </c>
      <c r="L121" t="s">
        <v>164</v>
      </c>
      <c r="O121" t="s">
        <v>39</v>
      </c>
      <c r="P121" t="s">
        <v>39</v>
      </c>
      <c r="Q121" t="s">
        <v>40</v>
      </c>
      <c r="R121" t="s">
        <v>40</v>
      </c>
      <c r="S121" t="s">
        <v>40</v>
      </c>
      <c r="T121" t="s">
        <v>40</v>
      </c>
      <c r="U121" t="s">
        <v>40</v>
      </c>
      <c r="V121" t="s">
        <v>40</v>
      </c>
      <c r="W121" t="s">
        <v>40</v>
      </c>
      <c r="AB121" t="s">
        <v>3739</v>
      </c>
    </row>
    <row r="122" spans="1:30" x14ac:dyDescent="0.2">
      <c r="A122">
        <v>38504116</v>
      </c>
      <c r="B122">
        <v>52906286</v>
      </c>
      <c r="C122" t="s">
        <v>3740</v>
      </c>
      <c r="D122" t="s">
        <v>3505</v>
      </c>
      <c r="E122" s="9">
        <v>45106</v>
      </c>
      <c r="F122" s="9">
        <v>45389</v>
      </c>
      <c r="G122" t="s">
        <v>33</v>
      </c>
      <c r="H122" t="s">
        <v>34</v>
      </c>
      <c r="I122" t="s">
        <v>34</v>
      </c>
      <c r="J122" t="s">
        <v>3501</v>
      </c>
      <c r="K122" t="s">
        <v>48</v>
      </c>
      <c r="L122" t="s">
        <v>164</v>
      </c>
      <c r="O122" t="s">
        <v>39</v>
      </c>
      <c r="P122" t="s">
        <v>41</v>
      </c>
      <c r="Q122" t="s">
        <v>40</v>
      </c>
      <c r="R122" t="s">
        <v>40</v>
      </c>
      <c r="S122" t="s">
        <v>40</v>
      </c>
      <c r="T122" t="s">
        <v>40</v>
      </c>
      <c r="U122" t="s">
        <v>40</v>
      </c>
      <c r="V122" t="s">
        <v>40</v>
      </c>
      <c r="W122" t="s">
        <v>40</v>
      </c>
      <c r="AB122" t="s">
        <v>3741</v>
      </c>
    </row>
    <row r="123" spans="1:30" x14ac:dyDescent="0.2">
      <c r="A123">
        <v>38504113</v>
      </c>
      <c r="B123">
        <v>52971891</v>
      </c>
      <c r="C123" t="s">
        <v>3742</v>
      </c>
      <c r="D123" t="s">
        <v>3505</v>
      </c>
      <c r="E123" s="9">
        <v>45106</v>
      </c>
      <c r="F123" s="9">
        <v>45387</v>
      </c>
      <c r="G123" t="s">
        <v>33</v>
      </c>
      <c r="H123" t="s">
        <v>34</v>
      </c>
      <c r="I123" t="s">
        <v>34</v>
      </c>
      <c r="J123" t="s">
        <v>3501</v>
      </c>
      <c r="K123" t="s">
        <v>36</v>
      </c>
      <c r="L123" t="s">
        <v>37</v>
      </c>
      <c r="O123" t="s">
        <v>39</v>
      </c>
      <c r="P123" t="s">
        <v>41</v>
      </c>
      <c r="Q123" t="s">
        <v>40</v>
      </c>
      <c r="R123" t="s">
        <v>40</v>
      </c>
      <c r="S123" t="s">
        <v>40</v>
      </c>
      <c r="T123" t="s">
        <v>40</v>
      </c>
      <c r="U123" t="s">
        <v>40</v>
      </c>
      <c r="V123" t="s">
        <v>40</v>
      </c>
      <c r="W123" t="s">
        <v>40</v>
      </c>
      <c r="AB123" t="s">
        <v>3743</v>
      </c>
    </row>
    <row r="124" spans="1:30" x14ac:dyDescent="0.2">
      <c r="A124">
        <v>38504114</v>
      </c>
      <c r="B124">
        <v>52893040</v>
      </c>
      <c r="C124" t="s">
        <v>3744</v>
      </c>
      <c r="D124" t="s">
        <v>3505</v>
      </c>
      <c r="E124" s="9">
        <v>45106</v>
      </c>
      <c r="F124" s="9">
        <v>45389</v>
      </c>
      <c r="G124" t="s">
        <v>33</v>
      </c>
      <c r="H124" t="s">
        <v>34</v>
      </c>
      <c r="I124" t="s">
        <v>34</v>
      </c>
      <c r="J124" t="s">
        <v>234</v>
      </c>
      <c r="K124" t="s">
        <v>36</v>
      </c>
      <c r="L124" t="s">
        <v>164</v>
      </c>
      <c r="O124" t="s">
        <v>39</v>
      </c>
      <c r="P124" t="s">
        <v>39</v>
      </c>
      <c r="Q124" t="s">
        <v>40</v>
      </c>
      <c r="R124" t="s">
        <v>40</v>
      </c>
      <c r="S124" t="s">
        <v>40</v>
      </c>
      <c r="T124" t="s">
        <v>40</v>
      </c>
      <c r="U124" t="s">
        <v>40</v>
      </c>
      <c r="V124" t="s">
        <v>40</v>
      </c>
      <c r="W124" t="s">
        <v>40</v>
      </c>
    </row>
    <row r="125" spans="1:30" x14ac:dyDescent="0.2">
      <c r="A125">
        <v>38501417</v>
      </c>
      <c r="B125">
        <v>52881113</v>
      </c>
      <c r="C125" t="s">
        <v>3745</v>
      </c>
      <c r="D125" t="s">
        <v>3505</v>
      </c>
      <c r="E125" s="9">
        <v>45106</v>
      </c>
      <c r="F125" s="9">
        <v>45301</v>
      </c>
      <c r="G125" t="s">
        <v>33</v>
      </c>
      <c r="H125" t="s">
        <v>34</v>
      </c>
      <c r="I125" t="s">
        <v>34</v>
      </c>
      <c r="J125" t="s">
        <v>234</v>
      </c>
      <c r="K125" t="s">
        <v>48</v>
      </c>
      <c r="L125" t="s">
        <v>37</v>
      </c>
      <c r="O125" t="s">
        <v>39</v>
      </c>
      <c r="P125" t="s">
        <v>39</v>
      </c>
      <c r="Q125" t="s">
        <v>40</v>
      </c>
      <c r="R125" t="s">
        <v>40</v>
      </c>
      <c r="S125" t="s">
        <v>40</v>
      </c>
      <c r="T125" t="s">
        <v>40</v>
      </c>
      <c r="U125" t="s">
        <v>40</v>
      </c>
      <c r="V125" t="s">
        <v>40</v>
      </c>
      <c r="W125" t="s">
        <v>40</v>
      </c>
      <c r="AB125" t="s">
        <v>3746</v>
      </c>
    </row>
    <row r="126" spans="1:30" x14ac:dyDescent="0.2">
      <c r="A126">
        <v>38504110</v>
      </c>
      <c r="B126">
        <v>52906225</v>
      </c>
      <c r="C126" t="s">
        <v>3747</v>
      </c>
      <c r="D126" t="s">
        <v>3505</v>
      </c>
      <c r="E126" s="9">
        <v>45106</v>
      </c>
      <c r="F126" s="9">
        <v>45301</v>
      </c>
      <c r="G126" t="s">
        <v>33</v>
      </c>
      <c r="H126" t="s">
        <v>34</v>
      </c>
      <c r="I126" t="s">
        <v>34</v>
      </c>
      <c r="J126" t="s">
        <v>303</v>
      </c>
      <c r="K126" t="s">
        <v>48</v>
      </c>
      <c r="L126" t="s">
        <v>164</v>
      </c>
      <c r="O126" t="s">
        <v>39</v>
      </c>
      <c r="P126" t="s">
        <v>41</v>
      </c>
      <c r="Q126" t="s">
        <v>40</v>
      </c>
      <c r="R126" t="s">
        <v>40</v>
      </c>
      <c r="S126" t="s">
        <v>40</v>
      </c>
      <c r="T126" t="s">
        <v>40</v>
      </c>
      <c r="U126" t="s">
        <v>40</v>
      </c>
      <c r="V126" t="s">
        <v>40</v>
      </c>
      <c r="W126" t="s">
        <v>40</v>
      </c>
      <c r="AB126" t="s">
        <v>3748</v>
      </c>
    </row>
    <row r="127" spans="1:30" x14ac:dyDescent="0.2">
      <c r="A127">
        <v>38504115</v>
      </c>
      <c r="B127">
        <v>52906295</v>
      </c>
      <c r="C127" t="s">
        <v>3749</v>
      </c>
      <c r="D127" t="s">
        <v>3505</v>
      </c>
      <c r="E127" s="9">
        <v>45106</v>
      </c>
      <c r="F127" s="9">
        <v>45301</v>
      </c>
      <c r="G127" t="s">
        <v>33</v>
      </c>
      <c r="H127" t="s">
        <v>34</v>
      </c>
      <c r="I127" t="s">
        <v>34</v>
      </c>
      <c r="J127" t="s">
        <v>3625</v>
      </c>
      <c r="K127" t="s">
        <v>36</v>
      </c>
      <c r="L127" t="s">
        <v>164</v>
      </c>
      <c r="O127" t="s">
        <v>39</v>
      </c>
      <c r="P127" t="s">
        <v>41</v>
      </c>
      <c r="Q127" t="s">
        <v>40</v>
      </c>
      <c r="R127" t="s">
        <v>40</v>
      </c>
      <c r="S127" t="s">
        <v>40</v>
      </c>
      <c r="T127" t="s">
        <v>40</v>
      </c>
      <c r="U127" t="s">
        <v>40</v>
      </c>
      <c r="V127" t="s">
        <v>40</v>
      </c>
      <c r="W127" t="s">
        <v>40</v>
      </c>
      <c r="AB127" t="s">
        <v>3750</v>
      </c>
    </row>
    <row r="128" spans="1:30" x14ac:dyDescent="0.2">
      <c r="A128">
        <v>38501139</v>
      </c>
      <c r="B128">
        <v>52796963</v>
      </c>
      <c r="C128" t="s">
        <v>3751</v>
      </c>
      <c r="D128" t="s">
        <v>3505</v>
      </c>
      <c r="E128" s="9">
        <v>45106</v>
      </c>
      <c r="F128" s="9">
        <v>45301</v>
      </c>
      <c r="G128" t="s">
        <v>33</v>
      </c>
      <c r="H128" t="s">
        <v>34</v>
      </c>
      <c r="I128" t="s">
        <v>34</v>
      </c>
      <c r="J128" t="s">
        <v>286</v>
      </c>
      <c r="K128" t="s">
        <v>36</v>
      </c>
      <c r="L128" t="s">
        <v>49</v>
      </c>
      <c r="O128" t="s">
        <v>39</v>
      </c>
      <c r="P128" t="s">
        <v>39</v>
      </c>
      <c r="Q128" t="s">
        <v>40</v>
      </c>
      <c r="R128" t="s">
        <v>40</v>
      </c>
      <c r="S128" t="s">
        <v>40</v>
      </c>
      <c r="T128" t="s">
        <v>40</v>
      </c>
      <c r="U128" t="s">
        <v>40</v>
      </c>
      <c r="V128" t="s">
        <v>40</v>
      </c>
      <c r="W128" t="s">
        <v>40</v>
      </c>
      <c r="AB128" t="s">
        <v>3752</v>
      </c>
    </row>
    <row r="129" spans="1:31" x14ac:dyDescent="0.2">
      <c r="A129">
        <v>38504112</v>
      </c>
      <c r="B129">
        <v>52971933</v>
      </c>
      <c r="C129" t="s">
        <v>3753</v>
      </c>
      <c r="D129" t="s">
        <v>3505</v>
      </c>
      <c r="E129" s="9">
        <v>45106</v>
      </c>
      <c r="F129" s="9">
        <v>45301</v>
      </c>
      <c r="G129" t="s">
        <v>33</v>
      </c>
      <c r="H129" t="s">
        <v>34</v>
      </c>
      <c r="I129" t="s">
        <v>34</v>
      </c>
      <c r="J129" t="s">
        <v>1261</v>
      </c>
      <c r="K129" t="s">
        <v>36</v>
      </c>
      <c r="L129" t="s">
        <v>164</v>
      </c>
      <c r="O129" t="s">
        <v>39</v>
      </c>
      <c r="P129" t="s">
        <v>41</v>
      </c>
      <c r="Q129" t="s">
        <v>40</v>
      </c>
      <c r="R129" t="s">
        <v>40</v>
      </c>
      <c r="S129" t="s">
        <v>40</v>
      </c>
      <c r="T129" t="s">
        <v>40</v>
      </c>
      <c r="U129" t="s">
        <v>40</v>
      </c>
      <c r="V129" t="s">
        <v>40</v>
      </c>
      <c r="W129" t="s">
        <v>40</v>
      </c>
      <c r="AB129" t="s">
        <v>3754</v>
      </c>
    </row>
    <row r="130" spans="1:31" x14ac:dyDescent="0.2">
      <c r="A130">
        <v>38504108</v>
      </c>
      <c r="B130">
        <v>52906230</v>
      </c>
      <c r="C130" t="s">
        <v>3755</v>
      </c>
      <c r="D130" t="s">
        <v>3505</v>
      </c>
      <c r="E130" s="9">
        <v>45106</v>
      </c>
      <c r="F130" s="9">
        <v>45389</v>
      </c>
      <c r="G130" t="s">
        <v>33</v>
      </c>
      <c r="H130" t="s">
        <v>34</v>
      </c>
      <c r="I130" t="s">
        <v>34</v>
      </c>
      <c r="J130" t="s">
        <v>303</v>
      </c>
      <c r="K130" t="s">
        <v>48</v>
      </c>
      <c r="L130" t="s">
        <v>164</v>
      </c>
      <c r="O130" t="s">
        <v>39</v>
      </c>
      <c r="P130" t="s">
        <v>41</v>
      </c>
      <c r="Q130" t="s">
        <v>40</v>
      </c>
      <c r="R130" t="s">
        <v>40</v>
      </c>
      <c r="S130" t="s">
        <v>40</v>
      </c>
      <c r="T130" t="s">
        <v>40</v>
      </c>
      <c r="U130" t="s">
        <v>40</v>
      </c>
      <c r="V130" t="s">
        <v>40</v>
      </c>
      <c r="W130" t="s">
        <v>40</v>
      </c>
      <c r="AB130" t="s">
        <v>3756</v>
      </c>
    </row>
    <row r="131" spans="1:31" x14ac:dyDescent="0.2">
      <c r="A131">
        <v>38504109</v>
      </c>
      <c r="B131">
        <v>52971927</v>
      </c>
      <c r="C131" t="s">
        <v>3757</v>
      </c>
      <c r="D131" t="s">
        <v>3505</v>
      </c>
      <c r="E131" s="9">
        <v>45106</v>
      </c>
      <c r="F131" s="9">
        <v>45301</v>
      </c>
      <c r="G131" t="s">
        <v>33</v>
      </c>
      <c r="H131" t="s">
        <v>34</v>
      </c>
      <c r="I131" t="s">
        <v>34</v>
      </c>
      <c r="J131" t="s">
        <v>3501</v>
      </c>
      <c r="K131" t="s">
        <v>48</v>
      </c>
      <c r="L131" t="s">
        <v>164</v>
      </c>
      <c r="O131" t="s">
        <v>39</v>
      </c>
      <c r="P131" t="s">
        <v>41</v>
      </c>
      <c r="Q131" t="s">
        <v>40</v>
      </c>
      <c r="R131" t="s">
        <v>40</v>
      </c>
      <c r="S131" t="s">
        <v>40</v>
      </c>
      <c r="T131" t="s">
        <v>40</v>
      </c>
      <c r="U131" t="s">
        <v>40</v>
      </c>
      <c r="V131" t="s">
        <v>40</v>
      </c>
      <c r="W131" t="s">
        <v>40</v>
      </c>
    </row>
    <row r="132" spans="1:31" x14ac:dyDescent="0.2">
      <c r="A132">
        <v>38503257</v>
      </c>
      <c r="B132">
        <v>52881058</v>
      </c>
      <c r="C132" t="s">
        <v>3758</v>
      </c>
      <c r="D132" t="s">
        <v>3505</v>
      </c>
      <c r="E132" s="9">
        <v>45106</v>
      </c>
      <c r="F132" s="9">
        <v>45301</v>
      </c>
      <c r="G132" t="s">
        <v>33</v>
      </c>
      <c r="H132" t="s">
        <v>34</v>
      </c>
      <c r="I132" t="s">
        <v>34</v>
      </c>
      <c r="J132" t="s">
        <v>234</v>
      </c>
      <c r="K132" t="s">
        <v>36</v>
      </c>
      <c r="L132" t="s">
        <v>164</v>
      </c>
      <c r="O132" t="s">
        <v>39</v>
      </c>
      <c r="P132" t="s">
        <v>41</v>
      </c>
      <c r="Q132" t="s">
        <v>40</v>
      </c>
      <c r="R132" t="s">
        <v>40</v>
      </c>
      <c r="S132" t="s">
        <v>40</v>
      </c>
      <c r="T132" t="s">
        <v>40</v>
      </c>
      <c r="U132" t="s">
        <v>40</v>
      </c>
      <c r="V132" t="s">
        <v>40</v>
      </c>
      <c r="W132" t="s">
        <v>40</v>
      </c>
      <c r="AB132" t="s">
        <v>3759</v>
      </c>
    </row>
    <row r="133" spans="1:31" x14ac:dyDescent="0.2">
      <c r="A133">
        <v>38503258</v>
      </c>
      <c r="B133">
        <v>52879289</v>
      </c>
      <c r="C133" t="s">
        <v>3760</v>
      </c>
      <c r="D133" t="s">
        <v>3505</v>
      </c>
      <c r="E133" s="9">
        <v>45106</v>
      </c>
      <c r="F133" s="9">
        <v>45301</v>
      </c>
      <c r="G133" t="s">
        <v>33</v>
      </c>
      <c r="H133" t="s">
        <v>242</v>
      </c>
      <c r="I133" t="s">
        <v>34</v>
      </c>
      <c r="J133" t="s">
        <v>234</v>
      </c>
      <c r="K133" t="s">
        <v>36</v>
      </c>
      <c r="L133" t="s">
        <v>164</v>
      </c>
      <c r="O133" t="s">
        <v>39</v>
      </c>
      <c r="P133" t="s">
        <v>41</v>
      </c>
      <c r="Q133" t="s">
        <v>40</v>
      </c>
      <c r="R133" t="s">
        <v>40</v>
      </c>
      <c r="S133" t="s">
        <v>40</v>
      </c>
      <c r="T133" t="s">
        <v>40</v>
      </c>
      <c r="U133" t="s">
        <v>40</v>
      </c>
      <c r="V133" t="s">
        <v>40</v>
      </c>
      <c r="W133" t="s">
        <v>40</v>
      </c>
      <c r="AB133" t="s">
        <v>3761</v>
      </c>
    </row>
    <row r="134" spans="1:31" x14ac:dyDescent="0.2">
      <c r="A134">
        <v>38510593</v>
      </c>
      <c r="B134">
        <v>52884555</v>
      </c>
      <c r="C134" t="s">
        <v>3762</v>
      </c>
      <c r="D134" t="s">
        <v>3505</v>
      </c>
      <c r="E134" s="9">
        <v>45107</v>
      </c>
      <c r="F134" s="9">
        <v>45301</v>
      </c>
      <c r="G134" t="s">
        <v>33</v>
      </c>
      <c r="H134" t="s">
        <v>34</v>
      </c>
      <c r="I134" t="s">
        <v>34</v>
      </c>
      <c r="J134" t="s">
        <v>3501</v>
      </c>
      <c r="K134" t="s">
        <v>48</v>
      </c>
      <c r="L134" t="s">
        <v>164</v>
      </c>
      <c r="O134" t="s">
        <v>39</v>
      </c>
      <c r="P134" t="s">
        <v>39</v>
      </c>
      <c r="Q134" t="s">
        <v>40</v>
      </c>
      <c r="R134" t="s">
        <v>40</v>
      </c>
      <c r="S134" t="s">
        <v>40</v>
      </c>
      <c r="T134" t="s">
        <v>40</v>
      </c>
      <c r="U134" t="s">
        <v>40</v>
      </c>
      <c r="V134" t="s">
        <v>40</v>
      </c>
      <c r="W134" t="s">
        <v>40</v>
      </c>
    </row>
    <row r="135" spans="1:31" x14ac:dyDescent="0.2">
      <c r="A135">
        <v>38510592</v>
      </c>
      <c r="B135">
        <v>52884557</v>
      </c>
      <c r="C135" t="s">
        <v>3763</v>
      </c>
      <c r="D135" t="s">
        <v>3505</v>
      </c>
      <c r="E135" s="9">
        <v>45107</v>
      </c>
      <c r="F135" s="9">
        <v>45377</v>
      </c>
      <c r="G135" t="s">
        <v>33</v>
      </c>
      <c r="H135" t="s">
        <v>34</v>
      </c>
      <c r="I135" t="s">
        <v>34</v>
      </c>
      <c r="J135" t="s">
        <v>3501</v>
      </c>
      <c r="K135" t="s">
        <v>36</v>
      </c>
      <c r="L135" t="s">
        <v>164</v>
      </c>
      <c r="O135" t="s">
        <v>39</v>
      </c>
      <c r="P135" t="s">
        <v>39</v>
      </c>
      <c r="Q135" t="s">
        <v>40</v>
      </c>
      <c r="R135" t="s">
        <v>40</v>
      </c>
      <c r="S135" t="s">
        <v>40</v>
      </c>
      <c r="T135" t="s">
        <v>40</v>
      </c>
      <c r="U135" t="s">
        <v>40</v>
      </c>
      <c r="V135" t="s">
        <v>40</v>
      </c>
      <c r="W135" t="s">
        <v>40</v>
      </c>
      <c r="AB135" t="s">
        <v>3764</v>
      </c>
    </row>
    <row r="136" spans="1:31" x14ac:dyDescent="0.2">
      <c r="A136">
        <v>38509768</v>
      </c>
      <c r="B136">
        <v>52901652</v>
      </c>
      <c r="C136" t="s">
        <v>3693</v>
      </c>
      <c r="D136" t="s">
        <v>3505</v>
      </c>
      <c r="E136" s="9">
        <v>45107</v>
      </c>
      <c r="F136" s="9">
        <v>45301</v>
      </c>
      <c r="G136" t="s">
        <v>33</v>
      </c>
      <c r="H136" t="s">
        <v>34</v>
      </c>
      <c r="I136" t="s">
        <v>34</v>
      </c>
      <c r="J136" t="s">
        <v>3501</v>
      </c>
      <c r="K136" t="s">
        <v>36</v>
      </c>
      <c r="L136" t="s">
        <v>164</v>
      </c>
      <c r="O136" t="s">
        <v>39</v>
      </c>
      <c r="P136" t="s">
        <v>41</v>
      </c>
      <c r="Q136" t="s">
        <v>40</v>
      </c>
      <c r="R136" t="s">
        <v>40</v>
      </c>
      <c r="S136" t="s">
        <v>40</v>
      </c>
      <c r="T136" t="s">
        <v>40</v>
      </c>
      <c r="U136" t="s">
        <v>40</v>
      </c>
      <c r="V136" t="s">
        <v>40</v>
      </c>
      <c r="W136" t="s">
        <v>40</v>
      </c>
      <c r="AB136" t="s">
        <v>3765</v>
      </c>
    </row>
    <row r="137" spans="1:31" x14ac:dyDescent="0.2">
      <c r="A137">
        <v>38557537</v>
      </c>
      <c r="B137">
        <v>53405707</v>
      </c>
      <c r="C137" t="s">
        <v>3766</v>
      </c>
      <c r="D137" t="s">
        <v>3505</v>
      </c>
      <c r="E137" s="9">
        <v>45112</v>
      </c>
      <c r="F137" s="9">
        <v>45420</v>
      </c>
      <c r="G137" t="s">
        <v>45</v>
      </c>
      <c r="H137" t="s">
        <v>96</v>
      </c>
      <c r="J137" t="s">
        <v>342</v>
      </c>
      <c r="K137" t="s">
        <v>48</v>
      </c>
      <c r="L137" t="s">
        <v>49</v>
      </c>
      <c r="M137" t="s">
        <v>74</v>
      </c>
      <c r="O137" t="s">
        <v>39</v>
      </c>
      <c r="P137" t="s">
        <v>39</v>
      </c>
      <c r="Q137" t="s">
        <v>39</v>
      </c>
      <c r="R137" t="s">
        <v>41</v>
      </c>
      <c r="S137" t="s">
        <v>40</v>
      </c>
      <c r="T137" t="s">
        <v>41</v>
      </c>
      <c r="U137" t="s">
        <v>39</v>
      </c>
      <c r="V137" t="s">
        <v>39</v>
      </c>
      <c r="W137" t="s">
        <v>40</v>
      </c>
      <c r="X137" t="s">
        <v>3767</v>
      </c>
      <c r="AB137" t="s">
        <v>3768</v>
      </c>
      <c r="AC137" t="s">
        <v>3769</v>
      </c>
      <c r="AD137" t="s">
        <v>3770</v>
      </c>
      <c r="AE137" t="s">
        <v>3771</v>
      </c>
    </row>
    <row r="138" spans="1:31" x14ac:dyDescent="0.2">
      <c r="A138">
        <v>38563775</v>
      </c>
      <c r="B138">
        <v>52947098</v>
      </c>
      <c r="C138" t="s">
        <v>3772</v>
      </c>
      <c r="D138" t="s">
        <v>3505</v>
      </c>
      <c r="E138" s="9">
        <v>45113</v>
      </c>
      <c r="F138" s="9">
        <v>45301</v>
      </c>
      <c r="G138" t="s">
        <v>33</v>
      </c>
      <c r="H138" t="s">
        <v>34</v>
      </c>
      <c r="I138" t="s">
        <v>34</v>
      </c>
      <c r="J138" t="s">
        <v>303</v>
      </c>
      <c r="K138" t="s">
        <v>48</v>
      </c>
      <c r="L138" t="s">
        <v>164</v>
      </c>
      <c r="O138" t="s">
        <v>39</v>
      </c>
      <c r="P138" t="s">
        <v>39</v>
      </c>
      <c r="Q138" t="s">
        <v>40</v>
      </c>
      <c r="R138" t="s">
        <v>40</v>
      </c>
      <c r="S138" t="s">
        <v>40</v>
      </c>
      <c r="T138" t="s">
        <v>40</v>
      </c>
      <c r="U138" t="s">
        <v>40</v>
      </c>
      <c r="V138" t="s">
        <v>40</v>
      </c>
      <c r="W138" t="s">
        <v>40</v>
      </c>
    </row>
    <row r="139" spans="1:31" x14ac:dyDescent="0.2">
      <c r="A139">
        <v>38604387</v>
      </c>
      <c r="B139">
        <v>52628847</v>
      </c>
      <c r="C139" t="s">
        <v>3773</v>
      </c>
      <c r="D139" t="s">
        <v>3505</v>
      </c>
      <c r="E139" s="9">
        <v>45117</v>
      </c>
      <c r="F139" s="9">
        <v>45764</v>
      </c>
      <c r="G139" t="s">
        <v>33</v>
      </c>
      <c r="H139" t="s">
        <v>34</v>
      </c>
      <c r="I139" t="s">
        <v>34</v>
      </c>
      <c r="J139" t="s">
        <v>3501</v>
      </c>
      <c r="K139" t="s">
        <v>36</v>
      </c>
      <c r="L139" t="s">
        <v>37</v>
      </c>
      <c r="O139" t="s">
        <v>39</v>
      </c>
      <c r="P139" t="s">
        <v>39</v>
      </c>
      <c r="Q139" t="s">
        <v>40</v>
      </c>
      <c r="R139" t="s">
        <v>40</v>
      </c>
      <c r="S139" t="s">
        <v>40</v>
      </c>
      <c r="T139" t="s">
        <v>40</v>
      </c>
      <c r="U139" t="s">
        <v>40</v>
      </c>
      <c r="V139" t="s">
        <v>40</v>
      </c>
      <c r="W139" t="s">
        <v>40</v>
      </c>
      <c r="AB139" t="s">
        <v>3774</v>
      </c>
    </row>
    <row r="140" spans="1:31" x14ac:dyDescent="0.2">
      <c r="A140">
        <v>38614931</v>
      </c>
      <c r="B140">
        <v>53638156</v>
      </c>
      <c r="C140" t="s">
        <v>3775</v>
      </c>
      <c r="D140" t="s">
        <v>3505</v>
      </c>
      <c r="E140" s="9">
        <v>45118</v>
      </c>
      <c r="F140" s="9">
        <v>45301</v>
      </c>
      <c r="G140" t="s">
        <v>33</v>
      </c>
      <c r="H140" t="s">
        <v>34</v>
      </c>
      <c r="I140" t="s">
        <v>34</v>
      </c>
      <c r="J140" t="s">
        <v>3501</v>
      </c>
      <c r="K140" t="s">
        <v>48</v>
      </c>
      <c r="L140" t="s">
        <v>164</v>
      </c>
      <c r="O140" t="s">
        <v>39</v>
      </c>
      <c r="P140" t="s">
        <v>41</v>
      </c>
      <c r="Q140" t="s">
        <v>40</v>
      </c>
      <c r="R140" t="s">
        <v>40</v>
      </c>
      <c r="S140" t="s">
        <v>40</v>
      </c>
      <c r="T140" t="s">
        <v>40</v>
      </c>
      <c r="U140" t="s">
        <v>40</v>
      </c>
      <c r="V140" t="s">
        <v>40</v>
      </c>
      <c r="W140" t="s">
        <v>40</v>
      </c>
      <c r="AB140" t="s">
        <v>3776</v>
      </c>
    </row>
    <row r="141" spans="1:31" x14ac:dyDescent="0.2">
      <c r="A141">
        <v>38614553</v>
      </c>
      <c r="B141">
        <v>52918478</v>
      </c>
      <c r="C141" t="s">
        <v>3777</v>
      </c>
      <c r="D141" t="s">
        <v>3505</v>
      </c>
      <c r="E141" s="9">
        <v>45118</v>
      </c>
      <c r="F141" s="9">
        <v>45212</v>
      </c>
      <c r="G141" t="s">
        <v>45</v>
      </c>
      <c r="H141" t="s">
        <v>96</v>
      </c>
      <c r="J141" t="s">
        <v>82</v>
      </c>
      <c r="K141" t="s">
        <v>36</v>
      </c>
      <c r="L141" t="s">
        <v>386</v>
      </c>
      <c r="M141" t="s">
        <v>50</v>
      </c>
      <c r="O141" t="s">
        <v>39</v>
      </c>
      <c r="P141" t="s">
        <v>41</v>
      </c>
      <c r="Q141" t="s">
        <v>40</v>
      </c>
      <c r="R141" t="s">
        <v>40</v>
      </c>
      <c r="S141" t="s">
        <v>40</v>
      </c>
      <c r="T141" t="s">
        <v>40</v>
      </c>
      <c r="U141" t="s">
        <v>40</v>
      </c>
      <c r="V141" t="s">
        <v>40</v>
      </c>
      <c r="W141" t="s">
        <v>40</v>
      </c>
      <c r="AB141" t="s">
        <v>3778</v>
      </c>
    </row>
    <row r="142" spans="1:31" x14ac:dyDescent="0.2">
      <c r="A142">
        <v>38636988</v>
      </c>
      <c r="B142">
        <v>52895008</v>
      </c>
      <c r="C142" t="s">
        <v>3779</v>
      </c>
      <c r="D142" t="s">
        <v>3505</v>
      </c>
      <c r="E142" s="9">
        <v>45120</v>
      </c>
      <c r="F142" s="9">
        <v>45212</v>
      </c>
      <c r="G142" t="s">
        <v>45</v>
      </c>
      <c r="H142" t="s">
        <v>3565</v>
      </c>
      <c r="J142" t="s">
        <v>342</v>
      </c>
      <c r="K142" t="s">
        <v>36</v>
      </c>
      <c r="L142" t="s">
        <v>37</v>
      </c>
      <c r="M142" t="s">
        <v>50</v>
      </c>
      <c r="O142" t="s">
        <v>39</v>
      </c>
      <c r="P142" t="s">
        <v>41</v>
      </c>
      <c r="Q142" t="s">
        <v>40</v>
      </c>
      <c r="R142" t="s">
        <v>40</v>
      </c>
      <c r="S142" t="s">
        <v>40</v>
      </c>
      <c r="T142" t="s">
        <v>40</v>
      </c>
      <c r="U142" t="s">
        <v>40</v>
      </c>
      <c r="V142" t="s">
        <v>40</v>
      </c>
      <c r="W142" t="s">
        <v>40</v>
      </c>
      <c r="AB142" t="s">
        <v>3780</v>
      </c>
      <c r="AC142" t="s">
        <v>3781</v>
      </c>
      <c r="AD142" t="s">
        <v>3782</v>
      </c>
    </row>
    <row r="143" spans="1:31" x14ac:dyDescent="0.2">
      <c r="A143">
        <v>38636989</v>
      </c>
      <c r="B143">
        <v>52905940</v>
      </c>
      <c r="C143" t="s">
        <v>3186</v>
      </c>
      <c r="D143" t="s">
        <v>3505</v>
      </c>
      <c r="E143" s="9">
        <v>45120</v>
      </c>
      <c r="F143" s="9">
        <v>45212</v>
      </c>
      <c r="G143" t="s">
        <v>45</v>
      </c>
      <c r="H143" t="s">
        <v>132</v>
      </c>
      <c r="J143" t="s">
        <v>286</v>
      </c>
      <c r="K143" t="s">
        <v>36</v>
      </c>
      <c r="L143" t="s">
        <v>37</v>
      </c>
      <c r="M143" t="s">
        <v>50</v>
      </c>
      <c r="O143" t="s">
        <v>39</v>
      </c>
      <c r="P143" t="s">
        <v>41</v>
      </c>
      <c r="Q143" t="s">
        <v>40</v>
      </c>
      <c r="R143" t="s">
        <v>40</v>
      </c>
      <c r="S143" t="s">
        <v>40</v>
      </c>
      <c r="T143" t="s">
        <v>40</v>
      </c>
      <c r="U143" t="s">
        <v>40</v>
      </c>
      <c r="V143" t="s">
        <v>40</v>
      </c>
      <c r="W143" t="s">
        <v>40</v>
      </c>
      <c r="AB143" t="s">
        <v>3783</v>
      </c>
      <c r="AC143" t="s">
        <v>3784</v>
      </c>
    </row>
    <row r="144" spans="1:31" x14ac:dyDescent="0.2">
      <c r="A144">
        <v>38639704</v>
      </c>
      <c r="B144">
        <v>52460250</v>
      </c>
      <c r="C144" t="s">
        <v>3785</v>
      </c>
      <c r="D144" t="s">
        <v>3505</v>
      </c>
      <c r="E144" s="9">
        <v>45120</v>
      </c>
      <c r="F144" s="9">
        <v>45212</v>
      </c>
      <c r="G144" t="s">
        <v>45</v>
      </c>
      <c r="H144" t="s">
        <v>46</v>
      </c>
      <c r="J144" t="s">
        <v>138</v>
      </c>
      <c r="K144" t="s">
        <v>48</v>
      </c>
      <c r="L144" t="s">
        <v>49</v>
      </c>
      <c r="M144" t="s">
        <v>50</v>
      </c>
      <c r="O144" t="s">
        <v>39</v>
      </c>
      <c r="P144" t="s">
        <v>41</v>
      </c>
      <c r="Q144" t="s">
        <v>40</v>
      </c>
      <c r="R144" t="s">
        <v>40</v>
      </c>
      <c r="S144" t="s">
        <v>40</v>
      </c>
      <c r="T144" t="s">
        <v>40</v>
      </c>
      <c r="U144" t="s">
        <v>40</v>
      </c>
      <c r="V144" t="s">
        <v>40</v>
      </c>
      <c r="W144" t="s">
        <v>40</v>
      </c>
      <c r="AB144" t="s">
        <v>3786</v>
      </c>
      <c r="AC144" t="s">
        <v>3787</v>
      </c>
      <c r="AD144" t="s">
        <v>3788</v>
      </c>
    </row>
    <row r="145" spans="1:29" x14ac:dyDescent="0.2">
      <c r="A145">
        <v>38652330</v>
      </c>
      <c r="B145">
        <v>52734690</v>
      </c>
      <c r="C145" t="s">
        <v>3789</v>
      </c>
      <c r="D145" t="s">
        <v>3505</v>
      </c>
      <c r="E145" s="9">
        <v>45121</v>
      </c>
      <c r="F145" s="9">
        <v>45296</v>
      </c>
      <c r="G145" t="s">
        <v>45</v>
      </c>
      <c r="H145" t="s">
        <v>53</v>
      </c>
      <c r="J145" t="s">
        <v>47</v>
      </c>
      <c r="K145" t="s">
        <v>48</v>
      </c>
      <c r="L145" t="s">
        <v>386</v>
      </c>
      <c r="M145" t="s">
        <v>50</v>
      </c>
      <c r="O145" t="s">
        <v>39</v>
      </c>
      <c r="P145" t="s">
        <v>39</v>
      </c>
      <c r="Q145" t="s">
        <v>40</v>
      </c>
      <c r="R145" t="s">
        <v>40</v>
      </c>
      <c r="S145" t="s">
        <v>40</v>
      </c>
      <c r="T145" t="s">
        <v>40</v>
      </c>
      <c r="U145" t="s">
        <v>40</v>
      </c>
      <c r="V145" t="s">
        <v>40</v>
      </c>
      <c r="W145" t="s">
        <v>40</v>
      </c>
      <c r="AB145" t="s">
        <v>3790</v>
      </c>
      <c r="AC145" t="s">
        <v>3791</v>
      </c>
    </row>
    <row r="146" spans="1:29" x14ac:dyDescent="0.2">
      <c r="A146">
        <v>38675353</v>
      </c>
      <c r="B146">
        <v>53743750</v>
      </c>
      <c r="C146" t="s">
        <v>3792</v>
      </c>
      <c r="D146" t="s">
        <v>3505</v>
      </c>
      <c r="E146" s="9">
        <v>45124</v>
      </c>
      <c r="F146" s="9">
        <v>45212</v>
      </c>
      <c r="G146" t="s">
        <v>45</v>
      </c>
      <c r="H146" t="s">
        <v>200</v>
      </c>
      <c r="J146" t="s">
        <v>138</v>
      </c>
      <c r="K146" t="s">
        <v>48</v>
      </c>
      <c r="L146" t="s">
        <v>49</v>
      </c>
      <c r="M146" t="s">
        <v>74</v>
      </c>
      <c r="O146" t="s">
        <v>39</v>
      </c>
      <c r="P146" t="s">
        <v>41</v>
      </c>
      <c r="Q146" t="s">
        <v>40</v>
      </c>
      <c r="R146" t="s">
        <v>40</v>
      </c>
      <c r="S146" t="s">
        <v>40</v>
      </c>
      <c r="T146" t="s">
        <v>40</v>
      </c>
      <c r="U146" t="s">
        <v>40</v>
      </c>
      <c r="V146" t="s">
        <v>40</v>
      </c>
      <c r="W146" t="s">
        <v>40</v>
      </c>
      <c r="AB146" t="s">
        <v>3793</v>
      </c>
    </row>
    <row r="147" spans="1:29" x14ac:dyDescent="0.2">
      <c r="A147">
        <v>38673389</v>
      </c>
      <c r="B147">
        <v>52351746</v>
      </c>
      <c r="C147" t="s">
        <v>3794</v>
      </c>
      <c r="D147" t="s">
        <v>3505</v>
      </c>
      <c r="E147" s="9">
        <v>45124</v>
      </c>
      <c r="F147" s="9">
        <v>45212</v>
      </c>
      <c r="G147" t="s">
        <v>45</v>
      </c>
      <c r="H147" t="s">
        <v>3511</v>
      </c>
      <c r="J147" t="s">
        <v>82</v>
      </c>
      <c r="K147" t="s">
        <v>36</v>
      </c>
      <c r="L147" t="s">
        <v>49</v>
      </c>
      <c r="M147" t="s">
        <v>50</v>
      </c>
      <c r="O147" t="s">
        <v>39</v>
      </c>
      <c r="P147" t="s">
        <v>41</v>
      </c>
      <c r="Q147" t="s">
        <v>40</v>
      </c>
      <c r="R147" t="s">
        <v>40</v>
      </c>
      <c r="S147" t="s">
        <v>40</v>
      </c>
      <c r="T147" t="s">
        <v>40</v>
      </c>
      <c r="U147" t="s">
        <v>40</v>
      </c>
      <c r="V147" t="s">
        <v>40</v>
      </c>
      <c r="W147" t="s">
        <v>40</v>
      </c>
      <c r="AB147" t="s">
        <v>3795</v>
      </c>
    </row>
    <row r="148" spans="1:29" x14ac:dyDescent="0.2">
      <c r="A148">
        <v>38685731</v>
      </c>
      <c r="B148">
        <v>53654376</v>
      </c>
      <c r="C148" t="s">
        <v>3796</v>
      </c>
      <c r="D148" t="s">
        <v>3505</v>
      </c>
      <c r="E148" s="9">
        <v>45125</v>
      </c>
      <c r="F148" s="9">
        <v>45301</v>
      </c>
      <c r="G148" t="s">
        <v>33</v>
      </c>
      <c r="H148" t="s">
        <v>34</v>
      </c>
      <c r="I148" t="s">
        <v>34</v>
      </c>
      <c r="J148" t="s">
        <v>3501</v>
      </c>
      <c r="K148" t="s">
        <v>36</v>
      </c>
      <c r="L148" t="s">
        <v>164</v>
      </c>
      <c r="O148" t="s">
        <v>39</v>
      </c>
      <c r="P148" t="s">
        <v>41</v>
      </c>
      <c r="Q148" t="s">
        <v>40</v>
      </c>
      <c r="R148" t="s">
        <v>40</v>
      </c>
      <c r="S148" t="s">
        <v>40</v>
      </c>
      <c r="T148" t="s">
        <v>40</v>
      </c>
      <c r="U148" t="s">
        <v>40</v>
      </c>
      <c r="V148" t="s">
        <v>40</v>
      </c>
      <c r="W148" t="s">
        <v>40</v>
      </c>
      <c r="AB148" t="s">
        <v>3797</v>
      </c>
    </row>
    <row r="149" spans="1:29" x14ac:dyDescent="0.2">
      <c r="A149">
        <v>38696825</v>
      </c>
      <c r="B149">
        <v>52921791</v>
      </c>
      <c r="C149" t="s">
        <v>1117</v>
      </c>
      <c r="D149" t="s">
        <v>3505</v>
      </c>
      <c r="E149" s="9">
        <v>45126</v>
      </c>
      <c r="F149" s="9">
        <v>45328</v>
      </c>
      <c r="G149" t="s">
        <v>45</v>
      </c>
      <c r="H149" t="s">
        <v>3511</v>
      </c>
      <c r="J149" t="s">
        <v>47</v>
      </c>
      <c r="K149" t="s">
        <v>36</v>
      </c>
      <c r="L149" t="s">
        <v>386</v>
      </c>
      <c r="M149" t="s">
        <v>50</v>
      </c>
      <c r="O149" t="s">
        <v>39</v>
      </c>
      <c r="P149" t="s">
        <v>39</v>
      </c>
      <c r="Q149" t="s">
        <v>40</v>
      </c>
      <c r="R149" t="s">
        <v>40</v>
      </c>
      <c r="S149" t="s">
        <v>40</v>
      </c>
      <c r="T149" t="s">
        <v>40</v>
      </c>
      <c r="U149" t="s">
        <v>40</v>
      </c>
      <c r="V149" t="s">
        <v>40</v>
      </c>
      <c r="W149" t="s">
        <v>40</v>
      </c>
      <c r="AB149" t="s">
        <v>3798</v>
      </c>
    </row>
    <row r="150" spans="1:29" x14ac:dyDescent="0.2">
      <c r="A150">
        <v>38708561</v>
      </c>
      <c r="B150">
        <v>53780645</v>
      </c>
      <c r="C150" t="s">
        <v>3799</v>
      </c>
      <c r="D150" t="s">
        <v>3505</v>
      </c>
      <c r="E150" s="9">
        <v>45127</v>
      </c>
      <c r="F150" s="9">
        <v>45301</v>
      </c>
      <c r="G150" t="s">
        <v>33</v>
      </c>
      <c r="H150" t="s">
        <v>34</v>
      </c>
      <c r="I150" t="s">
        <v>34</v>
      </c>
      <c r="J150" t="s">
        <v>3501</v>
      </c>
      <c r="K150" t="s">
        <v>48</v>
      </c>
      <c r="L150" t="s">
        <v>37</v>
      </c>
      <c r="O150" t="s">
        <v>39</v>
      </c>
      <c r="P150" t="s">
        <v>39</v>
      </c>
      <c r="Q150" t="s">
        <v>40</v>
      </c>
      <c r="R150" t="s">
        <v>40</v>
      </c>
      <c r="S150" t="s">
        <v>40</v>
      </c>
      <c r="T150" t="s">
        <v>40</v>
      </c>
      <c r="U150" t="s">
        <v>40</v>
      </c>
      <c r="V150" t="s">
        <v>40</v>
      </c>
      <c r="W150" t="s">
        <v>40</v>
      </c>
      <c r="AB150" t="s">
        <v>3800</v>
      </c>
    </row>
    <row r="151" spans="1:29" x14ac:dyDescent="0.2">
      <c r="A151">
        <v>38704888</v>
      </c>
      <c r="B151">
        <v>52896201</v>
      </c>
      <c r="C151" t="s">
        <v>3801</v>
      </c>
      <c r="D151" t="s">
        <v>3505</v>
      </c>
      <c r="E151" s="9">
        <v>45127</v>
      </c>
      <c r="F151" s="9">
        <v>45301</v>
      </c>
      <c r="G151" t="s">
        <v>33</v>
      </c>
      <c r="H151" t="s">
        <v>34</v>
      </c>
      <c r="I151" t="s">
        <v>34</v>
      </c>
      <c r="J151" t="s">
        <v>3501</v>
      </c>
      <c r="K151" t="s">
        <v>36</v>
      </c>
      <c r="L151" t="s">
        <v>164</v>
      </c>
      <c r="O151" t="s">
        <v>39</v>
      </c>
      <c r="P151" t="s">
        <v>39</v>
      </c>
      <c r="Q151" t="s">
        <v>40</v>
      </c>
      <c r="R151" t="s">
        <v>40</v>
      </c>
      <c r="S151" t="s">
        <v>40</v>
      </c>
      <c r="T151" t="s">
        <v>40</v>
      </c>
      <c r="U151" t="s">
        <v>40</v>
      </c>
      <c r="V151" t="s">
        <v>40</v>
      </c>
      <c r="W151" t="s">
        <v>40</v>
      </c>
      <c r="AB151" t="s">
        <v>3802</v>
      </c>
    </row>
    <row r="152" spans="1:29" x14ac:dyDescent="0.2">
      <c r="A152">
        <v>38704889</v>
      </c>
      <c r="B152">
        <v>52896174</v>
      </c>
      <c r="C152" t="s">
        <v>3803</v>
      </c>
      <c r="D152" t="s">
        <v>3505</v>
      </c>
      <c r="E152" s="9">
        <v>45127</v>
      </c>
      <c r="F152" s="9">
        <v>45301</v>
      </c>
      <c r="G152" t="s">
        <v>33</v>
      </c>
      <c r="H152" t="s">
        <v>34</v>
      </c>
      <c r="I152" t="s">
        <v>34</v>
      </c>
      <c r="J152" t="s">
        <v>303</v>
      </c>
      <c r="K152" t="s">
        <v>48</v>
      </c>
      <c r="L152" t="s">
        <v>164</v>
      </c>
      <c r="O152" t="s">
        <v>39</v>
      </c>
      <c r="P152" t="s">
        <v>39</v>
      </c>
      <c r="Q152" t="s">
        <v>40</v>
      </c>
      <c r="R152" t="s">
        <v>40</v>
      </c>
      <c r="S152" t="s">
        <v>40</v>
      </c>
      <c r="T152" t="s">
        <v>40</v>
      </c>
      <c r="U152" t="s">
        <v>40</v>
      </c>
      <c r="V152" t="s">
        <v>40</v>
      </c>
      <c r="W152" t="s">
        <v>40</v>
      </c>
      <c r="AB152" t="s">
        <v>3804</v>
      </c>
    </row>
    <row r="153" spans="1:29" x14ac:dyDescent="0.2">
      <c r="A153">
        <v>38704605</v>
      </c>
      <c r="B153">
        <v>52896162</v>
      </c>
      <c r="C153" t="s">
        <v>3805</v>
      </c>
      <c r="D153" t="s">
        <v>3505</v>
      </c>
      <c r="E153" s="9">
        <v>45127</v>
      </c>
      <c r="F153" s="9">
        <v>45301</v>
      </c>
      <c r="G153" t="s">
        <v>33</v>
      </c>
      <c r="H153" t="s">
        <v>34</v>
      </c>
      <c r="I153" t="s">
        <v>34</v>
      </c>
      <c r="J153" t="s">
        <v>303</v>
      </c>
      <c r="K153" t="s">
        <v>48</v>
      </c>
      <c r="L153" t="s">
        <v>164</v>
      </c>
      <c r="O153" t="s">
        <v>39</v>
      </c>
      <c r="P153" t="s">
        <v>39</v>
      </c>
      <c r="Q153" t="s">
        <v>40</v>
      </c>
      <c r="R153" t="s">
        <v>40</v>
      </c>
      <c r="S153" t="s">
        <v>40</v>
      </c>
      <c r="T153" t="s">
        <v>40</v>
      </c>
      <c r="U153" t="s">
        <v>40</v>
      </c>
      <c r="V153" t="s">
        <v>40</v>
      </c>
      <c r="W153" t="s">
        <v>40</v>
      </c>
      <c r="AB153" t="s">
        <v>3806</v>
      </c>
    </row>
    <row r="154" spans="1:29" x14ac:dyDescent="0.2">
      <c r="A154">
        <v>38707806</v>
      </c>
      <c r="B154">
        <v>53682451</v>
      </c>
      <c r="C154" t="s">
        <v>3807</v>
      </c>
      <c r="D154" t="s">
        <v>3505</v>
      </c>
      <c r="E154" s="9">
        <v>45127</v>
      </c>
      <c r="F154" s="9">
        <v>45301</v>
      </c>
      <c r="G154" t="s">
        <v>33</v>
      </c>
      <c r="H154" t="s">
        <v>34</v>
      </c>
      <c r="I154" t="s">
        <v>34</v>
      </c>
      <c r="J154" t="s">
        <v>234</v>
      </c>
      <c r="K154" t="s">
        <v>36</v>
      </c>
      <c r="L154" t="s">
        <v>164</v>
      </c>
      <c r="O154" t="s">
        <v>39</v>
      </c>
      <c r="P154" t="s">
        <v>39</v>
      </c>
      <c r="Q154" t="s">
        <v>40</v>
      </c>
      <c r="R154" t="s">
        <v>40</v>
      </c>
      <c r="S154" t="s">
        <v>40</v>
      </c>
      <c r="T154" t="s">
        <v>40</v>
      </c>
      <c r="U154" t="s">
        <v>40</v>
      </c>
      <c r="V154" t="s">
        <v>40</v>
      </c>
      <c r="W154" t="s">
        <v>40</v>
      </c>
    </row>
    <row r="155" spans="1:29" x14ac:dyDescent="0.2">
      <c r="A155">
        <v>38704606</v>
      </c>
      <c r="B155">
        <v>52896169</v>
      </c>
      <c r="C155" t="s">
        <v>3808</v>
      </c>
      <c r="D155" t="s">
        <v>3505</v>
      </c>
      <c r="E155" s="9">
        <v>45127</v>
      </c>
      <c r="F155" s="9">
        <v>45301</v>
      </c>
      <c r="G155" t="s">
        <v>33</v>
      </c>
      <c r="H155" t="s">
        <v>34</v>
      </c>
      <c r="I155" t="s">
        <v>34</v>
      </c>
      <c r="J155" t="s">
        <v>303</v>
      </c>
      <c r="K155" t="s">
        <v>48</v>
      </c>
      <c r="L155" t="s">
        <v>164</v>
      </c>
      <c r="O155" t="s">
        <v>39</v>
      </c>
      <c r="P155" t="s">
        <v>39</v>
      </c>
      <c r="Q155" t="s">
        <v>40</v>
      </c>
      <c r="R155" t="s">
        <v>40</v>
      </c>
      <c r="S155" t="s">
        <v>40</v>
      </c>
      <c r="T155" t="s">
        <v>40</v>
      </c>
      <c r="U155" t="s">
        <v>40</v>
      </c>
      <c r="V155" t="s">
        <v>40</v>
      </c>
      <c r="W155" t="s">
        <v>40</v>
      </c>
      <c r="AB155" t="s">
        <v>3809</v>
      </c>
    </row>
    <row r="156" spans="1:29" x14ac:dyDescent="0.2">
      <c r="A156">
        <v>38704890</v>
      </c>
      <c r="B156">
        <v>52896195</v>
      </c>
      <c r="C156" t="s">
        <v>3810</v>
      </c>
      <c r="D156" t="s">
        <v>3505</v>
      </c>
      <c r="E156" s="9">
        <v>45127</v>
      </c>
      <c r="F156" s="9">
        <v>45301</v>
      </c>
      <c r="G156" t="s">
        <v>33</v>
      </c>
      <c r="H156" t="s">
        <v>34</v>
      </c>
      <c r="I156" t="s">
        <v>34</v>
      </c>
      <c r="J156" t="s">
        <v>3501</v>
      </c>
      <c r="K156" t="s">
        <v>36</v>
      </c>
      <c r="L156" t="s">
        <v>164</v>
      </c>
      <c r="O156" t="s">
        <v>39</v>
      </c>
      <c r="P156" t="s">
        <v>39</v>
      </c>
      <c r="Q156" t="s">
        <v>40</v>
      </c>
      <c r="R156" t="s">
        <v>40</v>
      </c>
      <c r="S156" t="s">
        <v>40</v>
      </c>
      <c r="T156" t="s">
        <v>40</v>
      </c>
      <c r="U156" t="s">
        <v>40</v>
      </c>
      <c r="V156" t="s">
        <v>40</v>
      </c>
      <c r="W156" t="s">
        <v>40</v>
      </c>
      <c r="AB156" t="s">
        <v>3811</v>
      </c>
    </row>
    <row r="157" spans="1:29" x14ac:dyDescent="0.2">
      <c r="A157">
        <v>38707279</v>
      </c>
      <c r="B157">
        <v>53682431</v>
      </c>
      <c r="C157" t="s">
        <v>3812</v>
      </c>
      <c r="D157" t="s">
        <v>3505</v>
      </c>
      <c r="E157" s="9">
        <v>45127</v>
      </c>
      <c r="F157" s="9">
        <v>45301</v>
      </c>
      <c r="G157" t="s">
        <v>33</v>
      </c>
      <c r="H157" t="s">
        <v>34</v>
      </c>
      <c r="I157" t="s">
        <v>34</v>
      </c>
      <c r="J157" t="s">
        <v>286</v>
      </c>
      <c r="K157" t="s">
        <v>48</v>
      </c>
      <c r="L157" t="s">
        <v>164</v>
      </c>
      <c r="O157" t="s">
        <v>39</v>
      </c>
      <c r="P157" t="s">
        <v>39</v>
      </c>
      <c r="Q157" t="s">
        <v>40</v>
      </c>
      <c r="R157" t="s">
        <v>40</v>
      </c>
      <c r="S157" t="s">
        <v>40</v>
      </c>
      <c r="T157" t="s">
        <v>40</v>
      </c>
      <c r="U157" t="s">
        <v>40</v>
      </c>
      <c r="V157" t="s">
        <v>40</v>
      </c>
      <c r="W157" t="s">
        <v>40</v>
      </c>
    </row>
    <row r="158" spans="1:29" x14ac:dyDescent="0.2">
      <c r="A158">
        <v>38708998</v>
      </c>
      <c r="B158">
        <v>53668426</v>
      </c>
      <c r="C158" t="s">
        <v>3813</v>
      </c>
      <c r="D158" t="s">
        <v>3505</v>
      </c>
      <c r="E158" s="9">
        <v>45127</v>
      </c>
      <c r="F158" s="9">
        <v>45301</v>
      </c>
      <c r="G158" t="s">
        <v>33</v>
      </c>
      <c r="H158" t="s">
        <v>34</v>
      </c>
      <c r="I158" t="s">
        <v>34</v>
      </c>
      <c r="J158" t="s">
        <v>234</v>
      </c>
      <c r="K158" t="s">
        <v>36</v>
      </c>
      <c r="L158" t="s">
        <v>164</v>
      </c>
      <c r="O158" t="s">
        <v>39</v>
      </c>
      <c r="P158" t="s">
        <v>41</v>
      </c>
      <c r="Q158" t="s">
        <v>40</v>
      </c>
      <c r="R158" t="s">
        <v>40</v>
      </c>
      <c r="S158" t="s">
        <v>40</v>
      </c>
      <c r="T158" t="s">
        <v>40</v>
      </c>
      <c r="U158" t="s">
        <v>40</v>
      </c>
      <c r="V158" t="s">
        <v>40</v>
      </c>
      <c r="W158" t="s">
        <v>40</v>
      </c>
      <c r="AB158" t="s">
        <v>3814</v>
      </c>
    </row>
    <row r="159" spans="1:29" x14ac:dyDescent="0.2">
      <c r="A159">
        <v>38708997</v>
      </c>
      <c r="B159">
        <v>53692498</v>
      </c>
      <c r="C159" t="s">
        <v>3815</v>
      </c>
      <c r="D159" t="s">
        <v>3505</v>
      </c>
      <c r="E159" s="9">
        <v>45127</v>
      </c>
      <c r="F159" s="9">
        <v>45301</v>
      </c>
      <c r="G159" t="s">
        <v>33</v>
      </c>
      <c r="H159" t="s">
        <v>34</v>
      </c>
      <c r="I159" t="s">
        <v>34</v>
      </c>
      <c r="J159" t="s">
        <v>234</v>
      </c>
      <c r="K159" t="s">
        <v>48</v>
      </c>
      <c r="L159" t="s">
        <v>164</v>
      </c>
      <c r="O159" t="s">
        <v>39</v>
      </c>
      <c r="P159" t="s">
        <v>41</v>
      </c>
      <c r="Q159" t="s">
        <v>40</v>
      </c>
      <c r="R159" t="s">
        <v>40</v>
      </c>
      <c r="S159" t="s">
        <v>40</v>
      </c>
      <c r="T159" t="s">
        <v>40</v>
      </c>
      <c r="U159" t="s">
        <v>40</v>
      </c>
      <c r="V159" t="s">
        <v>40</v>
      </c>
      <c r="W159" t="s">
        <v>40</v>
      </c>
      <c r="AB159" t="s">
        <v>3816</v>
      </c>
    </row>
    <row r="160" spans="1:29" x14ac:dyDescent="0.2">
      <c r="A160">
        <v>38719416</v>
      </c>
      <c r="B160">
        <v>52830769</v>
      </c>
      <c r="C160" t="s">
        <v>1940</v>
      </c>
      <c r="D160" t="s">
        <v>3505</v>
      </c>
      <c r="E160" s="9">
        <v>45128</v>
      </c>
      <c r="F160" s="9">
        <v>45296</v>
      </c>
      <c r="G160" t="s">
        <v>45</v>
      </c>
      <c r="H160" t="s">
        <v>46</v>
      </c>
      <c r="J160" t="s">
        <v>82</v>
      </c>
      <c r="K160" t="s">
        <v>36</v>
      </c>
      <c r="L160" t="s">
        <v>37</v>
      </c>
      <c r="M160" t="s">
        <v>50</v>
      </c>
      <c r="O160" t="s">
        <v>39</v>
      </c>
      <c r="P160" t="s">
        <v>41</v>
      </c>
      <c r="Q160" t="s">
        <v>40</v>
      </c>
      <c r="R160" t="s">
        <v>40</v>
      </c>
      <c r="S160" t="s">
        <v>40</v>
      </c>
      <c r="T160" t="s">
        <v>40</v>
      </c>
      <c r="U160" t="s">
        <v>40</v>
      </c>
      <c r="V160" t="s">
        <v>40</v>
      </c>
      <c r="W160" t="s">
        <v>40</v>
      </c>
      <c r="AB160" t="s">
        <v>3817</v>
      </c>
      <c r="AC160" t="s">
        <v>3818</v>
      </c>
    </row>
    <row r="161" spans="1:31" x14ac:dyDescent="0.2">
      <c r="A161">
        <v>38719016</v>
      </c>
      <c r="B161">
        <v>53718590</v>
      </c>
      <c r="C161" t="s">
        <v>3819</v>
      </c>
      <c r="D161" t="s">
        <v>3505</v>
      </c>
      <c r="E161" s="9">
        <v>45128</v>
      </c>
      <c r="F161" s="9">
        <v>45296</v>
      </c>
      <c r="G161" t="s">
        <v>45</v>
      </c>
      <c r="H161" t="s">
        <v>3565</v>
      </c>
      <c r="J161" t="s">
        <v>47</v>
      </c>
      <c r="K161" t="s">
        <v>48</v>
      </c>
      <c r="L161" t="s">
        <v>49</v>
      </c>
      <c r="M161" t="s">
        <v>50</v>
      </c>
      <c r="O161" t="s">
        <v>39</v>
      </c>
      <c r="P161" t="s">
        <v>41</v>
      </c>
      <c r="Q161" t="s">
        <v>40</v>
      </c>
      <c r="R161" t="s">
        <v>40</v>
      </c>
      <c r="S161" t="s">
        <v>40</v>
      </c>
      <c r="T161" t="s">
        <v>40</v>
      </c>
      <c r="U161" t="s">
        <v>40</v>
      </c>
      <c r="V161" t="s">
        <v>40</v>
      </c>
      <c r="W161" t="s">
        <v>40</v>
      </c>
      <c r="AB161" t="s">
        <v>3820</v>
      </c>
      <c r="AC161" t="s">
        <v>3821</v>
      </c>
    </row>
    <row r="162" spans="1:31" x14ac:dyDescent="0.2">
      <c r="A162">
        <v>38720705</v>
      </c>
      <c r="B162">
        <v>53647493</v>
      </c>
      <c r="C162" t="s">
        <v>3822</v>
      </c>
      <c r="D162" t="s">
        <v>3505</v>
      </c>
      <c r="E162" s="9">
        <v>45128</v>
      </c>
      <c r="F162" s="9">
        <v>45212</v>
      </c>
      <c r="G162" t="s">
        <v>45</v>
      </c>
      <c r="H162" t="s">
        <v>90</v>
      </c>
      <c r="J162" t="s">
        <v>146</v>
      </c>
      <c r="K162" t="s">
        <v>36</v>
      </c>
      <c r="L162" t="s">
        <v>230</v>
      </c>
      <c r="M162" t="s">
        <v>50</v>
      </c>
      <c r="O162" t="s">
        <v>39</v>
      </c>
      <c r="P162" t="s">
        <v>41</v>
      </c>
      <c r="Q162" t="s">
        <v>40</v>
      </c>
      <c r="R162" t="s">
        <v>40</v>
      </c>
      <c r="S162" t="s">
        <v>40</v>
      </c>
      <c r="T162" t="s">
        <v>40</v>
      </c>
      <c r="U162" t="s">
        <v>40</v>
      </c>
      <c r="V162" t="s">
        <v>40</v>
      </c>
      <c r="W162" t="s">
        <v>40</v>
      </c>
      <c r="AB162" t="s">
        <v>3823</v>
      </c>
      <c r="AC162" t="s">
        <v>3824</v>
      </c>
      <c r="AD162" t="s">
        <v>3825</v>
      </c>
    </row>
    <row r="163" spans="1:31" x14ac:dyDescent="0.2">
      <c r="A163">
        <v>38715380</v>
      </c>
      <c r="B163">
        <v>20143389</v>
      </c>
      <c r="C163" t="s">
        <v>3826</v>
      </c>
      <c r="D163" t="s">
        <v>3505</v>
      </c>
      <c r="E163" s="9">
        <v>45128</v>
      </c>
      <c r="F163" s="9">
        <v>45212</v>
      </c>
      <c r="G163" t="s">
        <v>45</v>
      </c>
      <c r="H163" t="s">
        <v>3533</v>
      </c>
      <c r="J163" t="s">
        <v>138</v>
      </c>
      <c r="K163" t="s">
        <v>48</v>
      </c>
      <c r="L163" t="s">
        <v>49</v>
      </c>
      <c r="M163" t="s">
        <v>50</v>
      </c>
      <c r="O163" t="s">
        <v>39</v>
      </c>
      <c r="P163" t="s">
        <v>39</v>
      </c>
      <c r="Q163" t="s">
        <v>40</v>
      </c>
      <c r="R163" t="s">
        <v>40</v>
      </c>
      <c r="S163" t="s">
        <v>40</v>
      </c>
      <c r="T163" t="s">
        <v>40</v>
      </c>
      <c r="U163" t="s">
        <v>40</v>
      </c>
      <c r="V163" t="s">
        <v>40</v>
      </c>
      <c r="W163" t="s">
        <v>40</v>
      </c>
    </row>
    <row r="164" spans="1:31" x14ac:dyDescent="0.2">
      <c r="A164">
        <v>38719014</v>
      </c>
      <c r="B164">
        <v>53692764</v>
      </c>
      <c r="C164" t="s">
        <v>3827</v>
      </c>
      <c r="D164" t="s">
        <v>3505</v>
      </c>
      <c r="E164" s="9">
        <v>45128</v>
      </c>
      <c r="F164" s="9">
        <v>45212</v>
      </c>
      <c r="G164" t="s">
        <v>45</v>
      </c>
      <c r="H164" t="s">
        <v>46</v>
      </c>
      <c r="J164" t="s">
        <v>146</v>
      </c>
      <c r="K164" t="s">
        <v>48</v>
      </c>
      <c r="L164" t="s">
        <v>386</v>
      </c>
      <c r="M164" t="s">
        <v>50</v>
      </c>
      <c r="O164" t="s">
        <v>39</v>
      </c>
      <c r="P164" t="s">
        <v>41</v>
      </c>
      <c r="Q164" t="s">
        <v>40</v>
      </c>
      <c r="R164" t="s">
        <v>40</v>
      </c>
      <c r="S164" t="s">
        <v>40</v>
      </c>
      <c r="T164" t="s">
        <v>40</v>
      </c>
      <c r="U164" t="s">
        <v>40</v>
      </c>
      <c r="V164" t="s">
        <v>40</v>
      </c>
      <c r="W164" t="s">
        <v>40</v>
      </c>
      <c r="AB164" t="s">
        <v>3828</v>
      </c>
      <c r="AC164" t="s">
        <v>3829</v>
      </c>
      <c r="AD164" t="s">
        <v>3830</v>
      </c>
    </row>
    <row r="165" spans="1:31" x14ac:dyDescent="0.2">
      <c r="A165">
        <v>38719711</v>
      </c>
      <c r="B165">
        <v>51746637</v>
      </c>
      <c r="C165" t="s">
        <v>270</v>
      </c>
      <c r="D165" t="s">
        <v>3505</v>
      </c>
      <c r="E165" s="9">
        <v>45128</v>
      </c>
      <c r="F165" s="9">
        <v>45327</v>
      </c>
      <c r="G165" t="s">
        <v>45</v>
      </c>
      <c r="H165" t="s">
        <v>46</v>
      </c>
      <c r="I165" t="s">
        <v>90</v>
      </c>
      <c r="J165" t="s">
        <v>286</v>
      </c>
      <c r="K165" t="s">
        <v>48</v>
      </c>
      <c r="L165" t="s">
        <v>37</v>
      </c>
      <c r="M165" t="s">
        <v>50</v>
      </c>
      <c r="O165" t="s">
        <v>39</v>
      </c>
      <c r="P165" t="s">
        <v>41</v>
      </c>
      <c r="Q165" t="s">
        <v>40</v>
      </c>
      <c r="R165" t="s">
        <v>40</v>
      </c>
      <c r="S165" t="s">
        <v>40</v>
      </c>
      <c r="T165" t="s">
        <v>40</v>
      </c>
      <c r="U165" t="s">
        <v>40</v>
      </c>
      <c r="V165" t="s">
        <v>40</v>
      </c>
      <c r="W165" t="s">
        <v>40</v>
      </c>
      <c r="AB165" t="s">
        <v>3831</v>
      </c>
      <c r="AC165" t="s">
        <v>3832</v>
      </c>
      <c r="AD165" t="s">
        <v>3833</v>
      </c>
    </row>
    <row r="166" spans="1:31" x14ac:dyDescent="0.2">
      <c r="A166">
        <v>38746681</v>
      </c>
      <c r="B166">
        <v>52870919</v>
      </c>
      <c r="C166" t="s">
        <v>3834</v>
      </c>
      <c r="D166" t="s">
        <v>3505</v>
      </c>
      <c r="E166" s="9">
        <v>45131</v>
      </c>
      <c r="F166" s="9">
        <v>45212</v>
      </c>
      <c r="G166" t="s">
        <v>45</v>
      </c>
      <c r="H166" t="s">
        <v>3511</v>
      </c>
      <c r="J166" t="s">
        <v>286</v>
      </c>
      <c r="K166" t="s">
        <v>48</v>
      </c>
      <c r="L166" t="s">
        <v>386</v>
      </c>
      <c r="M166" t="s">
        <v>50</v>
      </c>
      <c r="O166" t="s">
        <v>39</v>
      </c>
      <c r="P166" t="s">
        <v>39</v>
      </c>
      <c r="Q166" t="s">
        <v>40</v>
      </c>
      <c r="R166" t="s">
        <v>40</v>
      </c>
      <c r="S166" t="s">
        <v>40</v>
      </c>
      <c r="T166" t="s">
        <v>40</v>
      </c>
      <c r="U166" t="s">
        <v>40</v>
      </c>
      <c r="V166" t="s">
        <v>40</v>
      </c>
      <c r="W166" t="s">
        <v>40</v>
      </c>
      <c r="AB166" t="s">
        <v>3835</v>
      </c>
    </row>
    <row r="167" spans="1:31" x14ac:dyDescent="0.2">
      <c r="A167">
        <v>38745473</v>
      </c>
      <c r="B167">
        <v>52870925</v>
      </c>
      <c r="C167" t="s">
        <v>1927</v>
      </c>
      <c r="D167" t="s">
        <v>3505</v>
      </c>
      <c r="E167" s="9">
        <v>45131</v>
      </c>
      <c r="F167" s="9">
        <v>45212</v>
      </c>
      <c r="G167" t="s">
        <v>45</v>
      </c>
      <c r="H167" t="s">
        <v>3511</v>
      </c>
      <c r="J167" t="s">
        <v>286</v>
      </c>
      <c r="K167" t="s">
        <v>36</v>
      </c>
      <c r="L167" t="s">
        <v>386</v>
      </c>
      <c r="M167" t="s">
        <v>50</v>
      </c>
      <c r="O167" t="s">
        <v>39</v>
      </c>
      <c r="P167" t="s">
        <v>39</v>
      </c>
      <c r="Q167" t="s">
        <v>40</v>
      </c>
      <c r="R167" t="s">
        <v>40</v>
      </c>
      <c r="S167" t="s">
        <v>40</v>
      </c>
      <c r="T167" t="s">
        <v>40</v>
      </c>
      <c r="U167" t="s">
        <v>40</v>
      </c>
      <c r="V167" t="s">
        <v>40</v>
      </c>
      <c r="W167" t="s">
        <v>40</v>
      </c>
      <c r="AB167" t="s">
        <v>3836</v>
      </c>
    </row>
    <row r="168" spans="1:31" x14ac:dyDescent="0.2">
      <c r="A168">
        <v>38780912</v>
      </c>
      <c r="B168">
        <v>52732632</v>
      </c>
      <c r="C168" t="s">
        <v>3837</v>
      </c>
      <c r="D168" t="s">
        <v>3505</v>
      </c>
      <c r="E168" s="9">
        <v>45134</v>
      </c>
      <c r="F168" s="9">
        <v>45301</v>
      </c>
      <c r="G168" t="s">
        <v>33</v>
      </c>
      <c r="H168" t="s">
        <v>34</v>
      </c>
      <c r="I168" t="s">
        <v>34</v>
      </c>
      <c r="J168" t="s">
        <v>3625</v>
      </c>
      <c r="K168" t="s">
        <v>48</v>
      </c>
      <c r="L168" t="s">
        <v>164</v>
      </c>
      <c r="O168" t="s">
        <v>39</v>
      </c>
      <c r="P168" t="s">
        <v>39</v>
      </c>
      <c r="Q168" t="s">
        <v>40</v>
      </c>
      <c r="R168" t="s">
        <v>40</v>
      </c>
      <c r="S168" t="s">
        <v>40</v>
      </c>
      <c r="T168" t="s">
        <v>40</v>
      </c>
      <c r="U168" t="s">
        <v>40</v>
      </c>
      <c r="V168" t="s">
        <v>40</v>
      </c>
      <c r="W168" t="s">
        <v>40</v>
      </c>
    </row>
    <row r="169" spans="1:31" x14ac:dyDescent="0.2">
      <c r="A169">
        <v>38775964</v>
      </c>
      <c r="B169">
        <v>53721672</v>
      </c>
      <c r="C169" t="s">
        <v>3838</v>
      </c>
      <c r="D169" t="s">
        <v>3505</v>
      </c>
      <c r="E169" s="9">
        <v>45134</v>
      </c>
      <c r="F169" s="9">
        <v>45296</v>
      </c>
      <c r="G169" t="s">
        <v>45</v>
      </c>
      <c r="H169" t="s">
        <v>3511</v>
      </c>
      <c r="J169" t="s">
        <v>342</v>
      </c>
      <c r="K169" t="s">
        <v>48</v>
      </c>
      <c r="L169" t="s">
        <v>37</v>
      </c>
      <c r="M169" t="s">
        <v>50</v>
      </c>
      <c r="O169" t="s">
        <v>39</v>
      </c>
      <c r="P169" t="s">
        <v>41</v>
      </c>
      <c r="Q169" t="s">
        <v>40</v>
      </c>
      <c r="R169" t="s">
        <v>40</v>
      </c>
      <c r="S169" t="s">
        <v>40</v>
      </c>
      <c r="T169" t="s">
        <v>40</v>
      </c>
      <c r="U169" t="s">
        <v>40</v>
      </c>
      <c r="V169" t="s">
        <v>40</v>
      </c>
      <c r="W169" t="s">
        <v>40</v>
      </c>
      <c r="AB169" t="s">
        <v>3839</v>
      </c>
    </row>
    <row r="170" spans="1:31" x14ac:dyDescent="0.2">
      <c r="A170">
        <v>38780913</v>
      </c>
      <c r="B170">
        <v>52732554</v>
      </c>
      <c r="C170" t="s">
        <v>3840</v>
      </c>
      <c r="D170" t="s">
        <v>3505</v>
      </c>
      <c r="E170" s="9">
        <v>45134</v>
      </c>
      <c r="F170" s="9">
        <v>45301</v>
      </c>
      <c r="G170" t="s">
        <v>33</v>
      </c>
      <c r="H170" t="s">
        <v>34</v>
      </c>
      <c r="I170" t="s">
        <v>34</v>
      </c>
      <c r="J170" t="s">
        <v>234</v>
      </c>
      <c r="K170" t="s">
        <v>36</v>
      </c>
      <c r="L170" t="s">
        <v>164</v>
      </c>
      <c r="O170" t="s">
        <v>39</v>
      </c>
      <c r="P170" t="s">
        <v>39</v>
      </c>
      <c r="Q170" t="s">
        <v>40</v>
      </c>
      <c r="R170" t="s">
        <v>40</v>
      </c>
      <c r="S170" t="s">
        <v>40</v>
      </c>
      <c r="T170" t="s">
        <v>40</v>
      </c>
      <c r="U170" t="s">
        <v>40</v>
      </c>
      <c r="V170" t="s">
        <v>40</v>
      </c>
      <c r="W170" t="s">
        <v>40</v>
      </c>
    </row>
    <row r="171" spans="1:31" x14ac:dyDescent="0.2">
      <c r="A171">
        <v>38774525</v>
      </c>
      <c r="B171">
        <v>53750727</v>
      </c>
      <c r="C171" t="s">
        <v>3841</v>
      </c>
      <c r="D171" t="s">
        <v>3505</v>
      </c>
      <c r="E171" s="9">
        <v>45134</v>
      </c>
      <c r="F171" s="9">
        <v>45212</v>
      </c>
      <c r="G171" t="s">
        <v>45</v>
      </c>
      <c r="H171" t="s">
        <v>1158</v>
      </c>
      <c r="J171" t="s">
        <v>146</v>
      </c>
      <c r="K171" t="s">
        <v>48</v>
      </c>
      <c r="L171" t="s">
        <v>49</v>
      </c>
      <c r="M171" t="s">
        <v>50</v>
      </c>
      <c r="O171" t="s">
        <v>39</v>
      </c>
      <c r="P171" t="s">
        <v>39</v>
      </c>
      <c r="Q171" t="s">
        <v>40</v>
      </c>
      <c r="R171" t="s">
        <v>40</v>
      </c>
      <c r="S171" t="s">
        <v>40</v>
      </c>
      <c r="T171" t="s">
        <v>40</v>
      </c>
      <c r="U171" t="s">
        <v>40</v>
      </c>
      <c r="V171" t="s">
        <v>40</v>
      </c>
      <c r="W171" t="s">
        <v>40</v>
      </c>
      <c r="AB171" t="s">
        <v>3842</v>
      </c>
    </row>
    <row r="172" spans="1:31" x14ac:dyDescent="0.2">
      <c r="A172">
        <v>38774527</v>
      </c>
      <c r="B172">
        <v>53767085</v>
      </c>
      <c r="C172" t="s">
        <v>3843</v>
      </c>
      <c r="D172" t="s">
        <v>3505</v>
      </c>
      <c r="E172" s="9">
        <v>45134</v>
      </c>
      <c r="F172" s="9">
        <v>45296</v>
      </c>
      <c r="G172" t="s">
        <v>45</v>
      </c>
      <c r="H172" t="s">
        <v>2312</v>
      </c>
      <c r="J172" t="s">
        <v>138</v>
      </c>
      <c r="K172" t="s">
        <v>36</v>
      </c>
      <c r="L172" t="s">
        <v>37</v>
      </c>
      <c r="M172" t="s">
        <v>74</v>
      </c>
      <c r="O172" t="s">
        <v>39</v>
      </c>
      <c r="P172" t="s">
        <v>41</v>
      </c>
      <c r="Q172" t="s">
        <v>40</v>
      </c>
      <c r="R172" t="s">
        <v>40</v>
      </c>
      <c r="S172" t="s">
        <v>40</v>
      </c>
      <c r="T172" t="s">
        <v>40</v>
      </c>
      <c r="U172" t="s">
        <v>40</v>
      </c>
      <c r="V172" t="s">
        <v>40</v>
      </c>
      <c r="W172" t="s">
        <v>40</v>
      </c>
      <c r="AB172" t="s">
        <v>3844</v>
      </c>
    </row>
    <row r="173" spans="1:31" x14ac:dyDescent="0.2">
      <c r="A173">
        <v>38780914</v>
      </c>
      <c r="B173">
        <v>53747953</v>
      </c>
      <c r="C173" t="s">
        <v>3845</v>
      </c>
      <c r="D173" t="s">
        <v>3505</v>
      </c>
      <c r="E173" s="9">
        <v>45134</v>
      </c>
      <c r="F173" s="9">
        <v>45301</v>
      </c>
      <c r="G173" t="s">
        <v>33</v>
      </c>
      <c r="H173" t="s">
        <v>34</v>
      </c>
      <c r="I173" t="s">
        <v>34</v>
      </c>
      <c r="J173" t="s">
        <v>3501</v>
      </c>
      <c r="K173" t="s">
        <v>48</v>
      </c>
      <c r="L173" t="s">
        <v>164</v>
      </c>
      <c r="O173" t="s">
        <v>39</v>
      </c>
      <c r="P173" t="s">
        <v>39</v>
      </c>
      <c r="Q173" t="s">
        <v>40</v>
      </c>
      <c r="R173" t="s">
        <v>40</v>
      </c>
      <c r="S173" t="s">
        <v>40</v>
      </c>
      <c r="T173" t="s">
        <v>40</v>
      </c>
      <c r="U173" t="s">
        <v>40</v>
      </c>
      <c r="V173" t="s">
        <v>40</v>
      </c>
      <c r="W173" t="s">
        <v>40</v>
      </c>
    </row>
    <row r="174" spans="1:31" x14ac:dyDescent="0.2">
      <c r="A174">
        <v>38774528</v>
      </c>
      <c r="B174">
        <v>53692594</v>
      </c>
      <c r="C174" t="s">
        <v>3846</v>
      </c>
      <c r="D174" t="s">
        <v>3505</v>
      </c>
      <c r="E174" s="9">
        <v>45134</v>
      </c>
      <c r="F174" s="9">
        <v>45448</v>
      </c>
      <c r="G174" t="s">
        <v>45</v>
      </c>
      <c r="H174" t="s">
        <v>3511</v>
      </c>
      <c r="J174" t="s">
        <v>82</v>
      </c>
      <c r="K174" t="s">
        <v>48</v>
      </c>
      <c r="L174" t="s">
        <v>37</v>
      </c>
      <c r="M174" t="s">
        <v>74</v>
      </c>
      <c r="O174" t="s">
        <v>39</v>
      </c>
      <c r="P174" t="s">
        <v>39</v>
      </c>
      <c r="Q174" t="s">
        <v>39</v>
      </c>
      <c r="R174" t="s">
        <v>41</v>
      </c>
      <c r="S174" t="s">
        <v>40</v>
      </c>
      <c r="T174" t="s">
        <v>41</v>
      </c>
      <c r="U174" t="s">
        <v>39</v>
      </c>
      <c r="V174" t="s">
        <v>39</v>
      </c>
      <c r="W174" t="s">
        <v>40</v>
      </c>
      <c r="X174" t="s">
        <v>3847</v>
      </c>
      <c r="AB174" t="s">
        <v>3848</v>
      </c>
      <c r="AC174" t="s">
        <v>3849</v>
      </c>
      <c r="AD174" t="s">
        <v>3850</v>
      </c>
      <c r="AE174" t="s">
        <v>3851</v>
      </c>
    </row>
    <row r="175" spans="1:31" x14ac:dyDescent="0.2">
      <c r="A175">
        <v>38788721</v>
      </c>
      <c r="B175">
        <v>52945067</v>
      </c>
      <c r="C175" t="s">
        <v>3852</v>
      </c>
      <c r="D175" t="s">
        <v>3505</v>
      </c>
      <c r="E175" s="9">
        <v>45135</v>
      </c>
      <c r="F175" s="9">
        <v>45296</v>
      </c>
      <c r="G175" t="s">
        <v>45</v>
      </c>
      <c r="H175" t="s">
        <v>3565</v>
      </c>
      <c r="J175" t="s">
        <v>146</v>
      </c>
      <c r="K175" t="s">
        <v>48</v>
      </c>
      <c r="L175" t="s">
        <v>386</v>
      </c>
      <c r="M175" t="s">
        <v>50</v>
      </c>
      <c r="O175" t="s">
        <v>39</v>
      </c>
      <c r="P175" t="s">
        <v>41</v>
      </c>
      <c r="Q175" t="s">
        <v>40</v>
      </c>
      <c r="R175" t="s">
        <v>40</v>
      </c>
      <c r="S175" t="s">
        <v>40</v>
      </c>
      <c r="T175" t="s">
        <v>40</v>
      </c>
      <c r="U175" t="s">
        <v>40</v>
      </c>
      <c r="V175" t="s">
        <v>40</v>
      </c>
      <c r="W175" t="s">
        <v>40</v>
      </c>
      <c r="AB175" t="s">
        <v>3853</v>
      </c>
      <c r="AC175" t="s">
        <v>3854</v>
      </c>
    </row>
    <row r="176" spans="1:31" x14ac:dyDescent="0.2">
      <c r="A176">
        <v>38789578</v>
      </c>
      <c r="B176">
        <v>53740802</v>
      </c>
      <c r="C176" t="s">
        <v>3855</v>
      </c>
      <c r="D176" t="s">
        <v>3505</v>
      </c>
      <c r="E176" s="9">
        <v>45135</v>
      </c>
      <c r="F176" s="9">
        <v>45327</v>
      </c>
      <c r="G176" t="s">
        <v>45</v>
      </c>
      <c r="H176" t="s">
        <v>3511</v>
      </c>
      <c r="J176" t="s">
        <v>286</v>
      </c>
      <c r="K176" t="s">
        <v>36</v>
      </c>
      <c r="L176" t="s">
        <v>37</v>
      </c>
      <c r="M176" t="s">
        <v>50</v>
      </c>
      <c r="O176" t="s">
        <v>39</v>
      </c>
      <c r="P176" t="s">
        <v>41</v>
      </c>
      <c r="Q176" t="s">
        <v>40</v>
      </c>
      <c r="R176" t="s">
        <v>40</v>
      </c>
      <c r="S176" t="s">
        <v>40</v>
      </c>
      <c r="T176" t="s">
        <v>40</v>
      </c>
      <c r="U176" t="s">
        <v>40</v>
      </c>
      <c r="V176" t="s">
        <v>40</v>
      </c>
      <c r="W176" t="s">
        <v>40</v>
      </c>
      <c r="AB176" t="s">
        <v>3856</v>
      </c>
    </row>
    <row r="177" spans="1:29" x14ac:dyDescent="0.2">
      <c r="A177">
        <v>38788243</v>
      </c>
      <c r="B177">
        <v>52945127</v>
      </c>
      <c r="C177" t="s">
        <v>3857</v>
      </c>
      <c r="D177" t="s">
        <v>3505</v>
      </c>
      <c r="E177" s="9">
        <v>45135</v>
      </c>
      <c r="F177" s="9">
        <v>45212</v>
      </c>
      <c r="G177" t="s">
        <v>45</v>
      </c>
      <c r="H177" t="s">
        <v>3565</v>
      </c>
      <c r="J177" t="s">
        <v>146</v>
      </c>
      <c r="K177" t="s">
        <v>36</v>
      </c>
      <c r="L177" t="s">
        <v>386</v>
      </c>
      <c r="M177" t="s">
        <v>50</v>
      </c>
      <c r="O177" t="s">
        <v>39</v>
      </c>
      <c r="P177" t="s">
        <v>41</v>
      </c>
      <c r="Q177" t="s">
        <v>40</v>
      </c>
      <c r="R177" t="s">
        <v>40</v>
      </c>
      <c r="S177" t="s">
        <v>40</v>
      </c>
      <c r="T177" t="s">
        <v>40</v>
      </c>
      <c r="U177" t="s">
        <v>40</v>
      </c>
      <c r="V177" t="s">
        <v>40</v>
      </c>
      <c r="W177" t="s">
        <v>40</v>
      </c>
      <c r="AB177" t="s">
        <v>3858</v>
      </c>
      <c r="AC177" t="s">
        <v>3859</v>
      </c>
    </row>
    <row r="178" spans="1:29" x14ac:dyDescent="0.2">
      <c r="A178">
        <v>38798788</v>
      </c>
      <c r="B178">
        <v>53764366</v>
      </c>
      <c r="C178" t="s">
        <v>199</v>
      </c>
      <c r="D178" t="s">
        <v>3505</v>
      </c>
      <c r="E178" s="9">
        <v>45136</v>
      </c>
      <c r="F178" s="9">
        <v>45212</v>
      </c>
      <c r="G178" t="s">
        <v>45</v>
      </c>
      <c r="H178" t="s">
        <v>3565</v>
      </c>
      <c r="J178" t="s">
        <v>47</v>
      </c>
      <c r="K178" t="s">
        <v>48</v>
      </c>
      <c r="L178" t="s">
        <v>37</v>
      </c>
      <c r="M178" t="s">
        <v>50</v>
      </c>
      <c r="O178" t="s">
        <v>39</v>
      </c>
      <c r="P178" t="s">
        <v>41</v>
      </c>
      <c r="Q178" t="s">
        <v>40</v>
      </c>
      <c r="R178" t="s">
        <v>40</v>
      </c>
      <c r="S178" t="s">
        <v>40</v>
      </c>
      <c r="T178" t="s">
        <v>40</v>
      </c>
      <c r="U178" t="s">
        <v>40</v>
      </c>
      <c r="V178" t="s">
        <v>40</v>
      </c>
      <c r="W178" t="s">
        <v>40</v>
      </c>
      <c r="AB178" t="s">
        <v>3860</v>
      </c>
      <c r="AC178" t="s">
        <v>3861</v>
      </c>
    </row>
    <row r="179" spans="1:29" x14ac:dyDescent="0.2">
      <c r="A179">
        <v>38799775</v>
      </c>
      <c r="B179">
        <v>53756056</v>
      </c>
      <c r="C179" t="s">
        <v>3862</v>
      </c>
      <c r="D179" t="s">
        <v>3505</v>
      </c>
      <c r="E179" s="9">
        <v>45136</v>
      </c>
      <c r="F179" s="9">
        <v>45327</v>
      </c>
      <c r="G179" t="s">
        <v>45</v>
      </c>
      <c r="H179" t="s">
        <v>46</v>
      </c>
      <c r="J179" t="s">
        <v>47</v>
      </c>
      <c r="K179" t="s">
        <v>36</v>
      </c>
      <c r="L179" t="s">
        <v>37</v>
      </c>
      <c r="M179" t="s">
        <v>50</v>
      </c>
      <c r="O179" t="s">
        <v>39</v>
      </c>
      <c r="P179" t="s">
        <v>41</v>
      </c>
      <c r="Q179" t="s">
        <v>40</v>
      </c>
      <c r="R179" t="s">
        <v>40</v>
      </c>
      <c r="S179" t="s">
        <v>40</v>
      </c>
      <c r="T179" t="s">
        <v>40</v>
      </c>
      <c r="U179" t="s">
        <v>40</v>
      </c>
      <c r="V179" t="s">
        <v>40</v>
      </c>
      <c r="W179" t="s">
        <v>40</v>
      </c>
      <c r="AB179" t="s">
        <v>3863</v>
      </c>
    </row>
    <row r="180" spans="1:29" x14ac:dyDescent="0.2">
      <c r="A180">
        <v>38812474</v>
      </c>
      <c r="B180">
        <v>52981895</v>
      </c>
      <c r="C180">
        <v>52981895</v>
      </c>
      <c r="D180" t="s">
        <v>3505</v>
      </c>
      <c r="E180" s="9">
        <v>45138</v>
      </c>
      <c r="F180" s="9">
        <v>45301</v>
      </c>
      <c r="G180" t="s">
        <v>33</v>
      </c>
      <c r="H180" t="s">
        <v>34</v>
      </c>
      <c r="I180" t="s">
        <v>34</v>
      </c>
      <c r="J180" t="s">
        <v>286</v>
      </c>
      <c r="K180" t="s">
        <v>36</v>
      </c>
      <c r="L180" t="s">
        <v>164</v>
      </c>
      <c r="O180" t="s">
        <v>39</v>
      </c>
      <c r="P180" t="s">
        <v>41</v>
      </c>
      <c r="Q180" t="s">
        <v>40</v>
      </c>
      <c r="R180" t="s">
        <v>40</v>
      </c>
      <c r="S180" t="s">
        <v>40</v>
      </c>
      <c r="T180" t="s">
        <v>40</v>
      </c>
      <c r="U180" t="s">
        <v>40</v>
      </c>
      <c r="V180" t="s">
        <v>40</v>
      </c>
      <c r="W180" t="s">
        <v>40</v>
      </c>
      <c r="AB180" t="s">
        <v>3864</v>
      </c>
    </row>
    <row r="181" spans="1:29" x14ac:dyDescent="0.2">
      <c r="A181">
        <v>38812476</v>
      </c>
      <c r="B181">
        <v>52981909</v>
      </c>
      <c r="C181">
        <v>52981909</v>
      </c>
      <c r="D181" t="s">
        <v>3505</v>
      </c>
      <c r="E181" s="9">
        <v>45138</v>
      </c>
      <c r="F181" s="9">
        <v>45301</v>
      </c>
      <c r="G181" t="s">
        <v>33</v>
      </c>
      <c r="H181" t="s">
        <v>34</v>
      </c>
      <c r="I181" t="s">
        <v>34</v>
      </c>
      <c r="J181" t="s">
        <v>3501</v>
      </c>
      <c r="K181" t="s">
        <v>36</v>
      </c>
      <c r="L181" t="s">
        <v>164</v>
      </c>
      <c r="O181" t="s">
        <v>39</v>
      </c>
      <c r="P181" t="s">
        <v>41</v>
      </c>
      <c r="Q181" t="s">
        <v>40</v>
      </c>
      <c r="R181" t="s">
        <v>40</v>
      </c>
      <c r="S181" t="s">
        <v>40</v>
      </c>
      <c r="T181" t="s">
        <v>40</v>
      </c>
      <c r="U181" t="s">
        <v>40</v>
      </c>
      <c r="V181" t="s">
        <v>40</v>
      </c>
      <c r="W181" t="s">
        <v>40</v>
      </c>
      <c r="AB181" t="s">
        <v>3865</v>
      </c>
    </row>
    <row r="182" spans="1:29" x14ac:dyDescent="0.2">
      <c r="A182">
        <v>38812800</v>
      </c>
      <c r="B182">
        <v>53688777</v>
      </c>
      <c r="C182">
        <v>53688777</v>
      </c>
      <c r="D182" t="s">
        <v>3505</v>
      </c>
      <c r="E182" s="9">
        <v>45138</v>
      </c>
      <c r="F182" s="9">
        <v>45212</v>
      </c>
      <c r="G182" t="s">
        <v>45</v>
      </c>
      <c r="H182" t="s">
        <v>3866</v>
      </c>
      <c r="J182" t="s">
        <v>286</v>
      </c>
      <c r="K182" t="s">
        <v>36</v>
      </c>
      <c r="L182" t="s">
        <v>386</v>
      </c>
      <c r="M182" t="s">
        <v>289</v>
      </c>
      <c r="O182" t="s">
        <v>39</v>
      </c>
      <c r="P182" t="s">
        <v>41</v>
      </c>
      <c r="Q182" t="s">
        <v>40</v>
      </c>
      <c r="R182" t="s">
        <v>40</v>
      </c>
      <c r="S182" t="s">
        <v>40</v>
      </c>
      <c r="T182" t="s">
        <v>40</v>
      </c>
      <c r="U182" t="s">
        <v>40</v>
      </c>
      <c r="V182" t="s">
        <v>40</v>
      </c>
      <c r="W182" t="s">
        <v>40</v>
      </c>
      <c r="AB182" t="s">
        <v>3867</v>
      </c>
    </row>
    <row r="183" spans="1:29" x14ac:dyDescent="0.2">
      <c r="A183">
        <v>38812802</v>
      </c>
      <c r="B183">
        <v>53831146</v>
      </c>
      <c r="C183">
        <v>53831146</v>
      </c>
      <c r="D183" t="s">
        <v>3505</v>
      </c>
      <c r="E183" s="9">
        <v>45138</v>
      </c>
      <c r="F183" s="9">
        <v>45301</v>
      </c>
      <c r="G183" t="s">
        <v>33</v>
      </c>
      <c r="H183" t="s">
        <v>34</v>
      </c>
      <c r="I183" t="s">
        <v>34</v>
      </c>
      <c r="J183" t="s">
        <v>3501</v>
      </c>
      <c r="K183" t="s">
        <v>48</v>
      </c>
      <c r="L183" t="s">
        <v>164</v>
      </c>
      <c r="O183" t="s">
        <v>39</v>
      </c>
      <c r="P183" t="s">
        <v>41</v>
      </c>
      <c r="Q183" t="s">
        <v>40</v>
      </c>
      <c r="R183" t="s">
        <v>40</v>
      </c>
      <c r="S183" t="s">
        <v>40</v>
      </c>
      <c r="T183" t="s">
        <v>40</v>
      </c>
      <c r="U183" t="s">
        <v>40</v>
      </c>
      <c r="V183" t="s">
        <v>40</v>
      </c>
      <c r="W183" t="s">
        <v>40</v>
      </c>
      <c r="AB183" t="s">
        <v>3868</v>
      </c>
    </row>
    <row r="184" spans="1:29" x14ac:dyDescent="0.2">
      <c r="A184">
        <v>38812799</v>
      </c>
      <c r="B184">
        <v>53836099</v>
      </c>
      <c r="C184">
        <v>53836099</v>
      </c>
      <c r="D184" t="s">
        <v>3505</v>
      </c>
      <c r="E184" s="9">
        <v>45138</v>
      </c>
      <c r="F184" s="9">
        <v>45301</v>
      </c>
      <c r="G184" t="s">
        <v>33</v>
      </c>
      <c r="H184" t="s">
        <v>34</v>
      </c>
      <c r="I184" t="s">
        <v>34</v>
      </c>
      <c r="J184" t="s">
        <v>286</v>
      </c>
      <c r="K184" t="s">
        <v>48</v>
      </c>
      <c r="L184" t="s">
        <v>164</v>
      </c>
      <c r="O184" t="s">
        <v>39</v>
      </c>
      <c r="P184" t="s">
        <v>41</v>
      </c>
      <c r="Q184" t="s">
        <v>40</v>
      </c>
      <c r="R184" t="s">
        <v>40</v>
      </c>
      <c r="S184" t="s">
        <v>40</v>
      </c>
      <c r="T184" t="s">
        <v>40</v>
      </c>
      <c r="U184" t="s">
        <v>40</v>
      </c>
      <c r="V184" t="s">
        <v>40</v>
      </c>
      <c r="W184" t="s">
        <v>40</v>
      </c>
      <c r="AB184" t="s">
        <v>3869</v>
      </c>
    </row>
    <row r="185" spans="1:29" x14ac:dyDescent="0.2">
      <c r="A185">
        <v>38812801</v>
      </c>
      <c r="B185">
        <v>52872727</v>
      </c>
      <c r="C185" t="s">
        <v>3870</v>
      </c>
      <c r="D185" t="s">
        <v>3505</v>
      </c>
      <c r="E185" s="9">
        <v>45138</v>
      </c>
      <c r="F185" s="9">
        <v>45301</v>
      </c>
      <c r="G185" t="s">
        <v>33</v>
      </c>
      <c r="H185" t="s">
        <v>34</v>
      </c>
      <c r="I185" t="s">
        <v>34</v>
      </c>
      <c r="J185" t="s">
        <v>3625</v>
      </c>
      <c r="K185" t="s">
        <v>48</v>
      </c>
      <c r="L185" t="s">
        <v>164</v>
      </c>
      <c r="O185" t="s">
        <v>39</v>
      </c>
      <c r="P185" t="s">
        <v>41</v>
      </c>
      <c r="Q185" t="s">
        <v>40</v>
      </c>
      <c r="R185" t="s">
        <v>40</v>
      </c>
      <c r="S185" t="s">
        <v>40</v>
      </c>
      <c r="T185" t="s">
        <v>40</v>
      </c>
      <c r="U185" t="s">
        <v>40</v>
      </c>
      <c r="V185" t="s">
        <v>40</v>
      </c>
      <c r="W185" t="s">
        <v>40</v>
      </c>
      <c r="AB185" t="s">
        <v>3871</v>
      </c>
    </row>
    <row r="186" spans="1:29" x14ac:dyDescent="0.2">
      <c r="A186">
        <v>38811450</v>
      </c>
      <c r="B186">
        <v>53830791</v>
      </c>
      <c r="C186" t="s">
        <v>3872</v>
      </c>
      <c r="D186" t="s">
        <v>3505</v>
      </c>
      <c r="E186" s="9">
        <v>45138</v>
      </c>
      <c r="F186" s="9">
        <v>45301</v>
      </c>
      <c r="G186" t="s">
        <v>33</v>
      </c>
      <c r="H186" t="s">
        <v>34</v>
      </c>
      <c r="I186" t="s">
        <v>34</v>
      </c>
      <c r="J186" t="s">
        <v>234</v>
      </c>
      <c r="K186" t="s">
        <v>48</v>
      </c>
      <c r="L186" t="s">
        <v>37</v>
      </c>
      <c r="O186" t="s">
        <v>39</v>
      </c>
      <c r="P186" t="s">
        <v>39</v>
      </c>
      <c r="Q186" t="s">
        <v>40</v>
      </c>
      <c r="R186" t="s">
        <v>40</v>
      </c>
      <c r="S186" t="s">
        <v>40</v>
      </c>
      <c r="T186" t="s">
        <v>40</v>
      </c>
      <c r="U186" t="s">
        <v>40</v>
      </c>
      <c r="V186" t="s">
        <v>40</v>
      </c>
      <c r="W186" t="s">
        <v>40</v>
      </c>
    </row>
    <row r="187" spans="1:29" x14ac:dyDescent="0.2">
      <c r="A187">
        <v>38812798</v>
      </c>
      <c r="B187">
        <v>52872723</v>
      </c>
      <c r="C187" t="s">
        <v>3873</v>
      </c>
      <c r="D187" t="s">
        <v>3505</v>
      </c>
      <c r="E187" s="9">
        <v>45138</v>
      </c>
      <c r="F187" s="9">
        <v>45301</v>
      </c>
      <c r="G187" t="s">
        <v>33</v>
      </c>
      <c r="H187" t="s">
        <v>34</v>
      </c>
      <c r="I187" t="s">
        <v>34</v>
      </c>
      <c r="J187" t="s">
        <v>3625</v>
      </c>
      <c r="K187" t="s">
        <v>48</v>
      </c>
      <c r="L187" t="s">
        <v>164</v>
      </c>
      <c r="O187" t="s">
        <v>39</v>
      </c>
      <c r="P187" t="s">
        <v>41</v>
      </c>
      <c r="Q187" t="s">
        <v>40</v>
      </c>
      <c r="R187" t="s">
        <v>40</v>
      </c>
      <c r="S187" t="s">
        <v>40</v>
      </c>
      <c r="T187" t="s">
        <v>40</v>
      </c>
      <c r="U187" t="s">
        <v>40</v>
      </c>
      <c r="V187" t="s">
        <v>40</v>
      </c>
      <c r="W187" t="s">
        <v>40</v>
      </c>
      <c r="AB187" t="s">
        <v>3874</v>
      </c>
    </row>
    <row r="188" spans="1:29" x14ac:dyDescent="0.2">
      <c r="A188">
        <v>38812475</v>
      </c>
      <c r="B188">
        <v>52978789</v>
      </c>
      <c r="C188" t="s">
        <v>3875</v>
      </c>
      <c r="D188" t="s">
        <v>3505</v>
      </c>
      <c r="E188" s="9">
        <v>45138</v>
      </c>
      <c r="F188" s="9">
        <v>45301</v>
      </c>
      <c r="G188" t="s">
        <v>33</v>
      </c>
      <c r="H188" t="s">
        <v>34</v>
      </c>
      <c r="I188" t="s">
        <v>34</v>
      </c>
      <c r="J188" t="s">
        <v>3501</v>
      </c>
      <c r="K188" t="s">
        <v>36</v>
      </c>
      <c r="L188" t="s">
        <v>164</v>
      </c>
      <c r="O188" t="s">
        <v>39</v>
      </c>
      <c r="P188" t="s">
        <v>41</v>
      </c>
      <c r="Q188" t="s">
        <v>40</v>
      </c>
      <c r="R188" t="s">
        <v>40</v>
      </c>
      <c r="S188" t="s">
        <v>40</v>
      </c>
      <c r="T188" t="s">
        <v>40</v>
      </c>
      <c r="U188" t="s">
        <v>40</v>
      </c>
      <c r="V188" t="s">
        <v>40</v>
      </c>
      <c r="W188" t="s">
        <v>40</v>
      </c>
      <c r="AB188" t="s">
        <v>3876</v>
      </c>
    </row>
    <row r="189" spans="1:29" x14ac:dyDescent="0.2">
      <c r="A189">
        <v>38812473</v>
      </c>
      <c r="B189">
        <v>53436596</v>
      </c>
      <c r="C189" t="s">
        <v>3877</v>
      </c>
      <c r="D189" t="s">
        <v>3505</v>
      </c>
      <c r="E189" s="9">
        <v>45138</v>
      </c>
      <c r="F189" s="9">
        <v>45301</v>
      </c>
      <c r="G189" t="s">
        <v>33</v>
      </c>
      <c r="H189" t="s">
        <v>34</v>
      </c>
      <c r="I189" t="s">
        <v>34</v>
      </c>
      <c r="J189" t="s">
        <v>234</v>
      </c>
      <c r="K189" t="s">
        <v>48</v>
      </c>
      <c r="L189" t="s">
        <v>164</v>
      </c>
      <c r="O189" t="s">
        <v>39</v>
      </c>
      <c r="P189" t="s">
        <v>41</v>
      </c>
      <c r="Q189" t="s">
        <v>40</v>
      </c>
      <c r="R189" t="s">
        <v>40</v>
      </c>
      <c r="S189" t="s">
        <v>40</v>
      </c>
      <c r="T189" t="s">
        <v>40</v>
      </c>
      <c r="U189" t="s">
        <v>40</v>
      </c>
      <c r="V189" t="s">
        <v>40</v>
      </c>
      <c r="W189" t="s">
        <v>40</v>
      </c>
      <c r="AB189" t="s">
        <v>3878</v>
      </c>
    </row>
    <row r="190" spans="1:29" x14ac:dyDescent="0.2">
      <c r="A190">
        <v>38812472</v>
      </c>
      <c r="B190">
        <v>53657565</v>
      </c>
      <c r="C190" t="s">
        <v>3879</v>
      </c>
      <c r="D190" t="s">
        <v>3505</v>
      </c>
      <c r="E190" s="9">
        <v>45138</v>
      </c>
      <c r="F190" s="9">
        <v>45301</v>
      </c>
      <c r="G190" t="s">
        <v>33</v>
      </c>
      <c r="H190" t="s">
        <v>34</v>
      </c>
      <c r="I190" t="s">
        <v>34</v>
      </c>
      <c r="J190" t="s">
        <v>303</v>
      </c>
      <c r="K190" t="s">
        <v>48</v>
      </c>
      <c r="L190" t="s">
        <v>164</v>
      </c>
      <c r="O190" t="s">
        <v>39</v>
      </c>
      <c r="P190" t="s">
        <v>41</v>
      </c>
      <c r="Q190" t="s">
        <v>40</v>
      </c>
      <c r="R190" t="s">
        <v>40</v>
      </c>
      <c r="S190" t="s">
        <v>40</v>
      </c>
      <c r="T190" t="s">
        <v>40</v>
      </c>
      <c r="U190" t="s">
        <v>40</v>
      </c>
      <c r="V190" t="s">
        <v>40</v>
      </c>
      <c r="W190" t="s">
        <v>40</v>
      </c>
      <c r="AB190" t="s">
        <v>3880</v>
      </c>
    </row>
    <row r="191" spans="1:29" x14ac:dyDescent="0.2">
      <c r="A191">
        <v>38825647</v>
      </c>
      <c r="B191">
        <v>53683142</v>
      </c>
      <c r="C191" t="s">
        <v>3881</v>
      </c>
      <c r="D191" t="s">
        <v>3505</v>
      </c>
      <c r="E191" s="9">
        <v>45139</v>
      </c>
      <c r="F191" s="9">
        <v>45212</v>
      </c>
      <c r="G191" t="s">
        <v>45</v>
      </c>
      <c r="H191" t="s">
        <v>90</v>
      </c>
      <c r="J191" t="s">
        <v>146</v>
      </c>
      <c r="K191" t="s">
        <v>36</v>
      </c>
      <c r="L191" t="s">
        <v>386</v>
      </c>
      <c r="M191" t="s">
        <v>50</v>
      </c>
      <c r="O191" t="s">
        <v>39</v>
      </c>
      <c r="P191" t="s">
        <v>41</v>
      </c>
      <c r="Q191" t="s">
        <v>40</v>
      </c>
      <c r="R191" t="s">
        <v>40</v>
      </c>
      <c r="S191" t="s">
        <v>40</v>
      </c>
      <c r="T191" t="s">
        <v>40</v>
      </c>
      <c r="U191" t="s">
        <v>40</v>
      </c>
      <c r="V191" t="s">
        <v>40</v>
      </c>
      <c r="W191" t="s">
        <v>40</v>
      </c>
      <c r="AB191" t="s">
        <v>3882</v>
      </c>
    </row>
    <row r="192" spans="1:29" x14ac:dyDescent="0.2">
      <c r="A192">
        <v>38825363</v>
      </c>
      <c r="B192">
        <v>53796097</v>
      </c>
      <c r="C192" t="s">
        <v>774</v>
      </c>
      <c r="D192" t="s">
        <v>3505</v>
      </c>
      <c r="E192" s="9">
        <v>45139</v>
      </c>
      <c r="F192" s="9">
        <v>45296</v>
      </c>
      <c r="G192" t="s">
        <v>45</v>
      </c>
      <c r="H192" t="s">
        <v>3883</v>
      </c>
      <c r="J192" t="s">
        <v>138</v>
      </c>
      <c r="K192" t="s">
        <v>48</v>
      </c>
      <c r="L192" t="s">
        <v>49</v>
      </c>
      <c r="M192" t="s">
        <v>50</v>
      </c>
      <c r="O192" t="s">
        <v>39</v>
      </c>
      <c r="P192" t="s">
        <v>41</v>
      </c>
      <c r="Q192" t="s">
        <v>40</v>
      </c>
      <c r="R192" t="s">
        <v>40</v>
      </c>
      <c r="S192" t="s">
        <v>40</v>
      </c>
      <c r="T192" t="s">
        <v>40</v>
      </c>
      <c r="U192" t="s">
        <v>40</v>
      </c>
      <c r="V192" t="s">
        <v>40</v>
      </c>
      <c r="W192" t="s">
        <v>40</v>
      </c>
      <c r="AB192" t="s">
        <v>3884</v>
      </c>
    </row>
    <row r="193" spans="1:28" x14ac:dyDescent="0.2">
      <c r="A193">
        <v>38825646</v>
      </c>
      <c r="B193">
        <v>53715223</v>
      </c>
      <c r="C193" t="s">
        <v>3885</v>
      </c>
      <c r="D193" t="s">
        <v>3505</v>
      </c>
      <c r="E193" s="9">
        <v>45139</v>
      </c>
      <c r="F193" s="9">
        <v>45212</v>
      </c>
      <c r="G193" t="s">
        <v>45</v>
      </c>
      <c r="H193" t="s">
        <v>3511</v>
      </c>
      <c r="J193" t="s">
        <v>286</v>
      </c>
      <c r="K193" t="s">
        <v>48</v>
      </c>
      <c r="L193" t="s">
        <v>49</v>
      </c>
      <c r="M193" t="s">
        <v>74</v>
      </c>
      <c r="O193" t="s">
        <v>39</v>
      </c>
      <c r="P193" t="s">
        <v>41</v>
      </c>
      <c r="Q193" t="s">
        <v>40</v>
      </c>
      <c r="R193" t="s">
        <v>40</v>
      </c>
      <c r="S193" t="s">
        <v>40</v>
      </c>
      <c r="T193" t="s">
        <v>40</v>
      </c>
      <c r="U193" t="s">
        <v>40</v>
      </c>
      <c r="V193" t="s">
        <v>40</v>
      </c>
      <c r="W193" t="s">
        <v>40</v>
      </c>
      <c r="AB193" t="s">
        <v>3886</v>
      </c>
    </row>
    <row r="194" spans="1:28" x14ac:dyDescent="0.2">
      <c r="A194">
        <v>40714582</v>
      </c>
      <c r="B194" t="s">
        <v>3887</v>
      </c>
      <c r="C194" t="s">
        <v>3888</v>
      </c>
      <c r="D194" t="s">
        <v>3500</v>
      </c>
      <c r="E194" s="9">
        <v>45328</v>
      </c>
      <c r="G194" t="s">
        <v>45</v>
      </c>
      <c r="H194" t="s">
        <v>3889</v>
      </c>
      <c r="J194" t="s">
        <v>146</v>
      </c>
      <c r="K194" t="s">
        <v>36</v>
      </c>
      <c r="L194" t="s">
        <v>49</v>
      </c>
      <c r="M194" t="s">
        <v>74</v>
      </c>
      <c r="O194" t="s">
        <v>39</v>
      </c>
      <c r="P194" t="s">
        <v>39</v>
      </c>
      <c r="Q194" t="s">
        <v>39</v>
      </c>
      <c r="R194" t="s">
        <v>41</v>
      </c>
      <c r="S194" t="s">
        <v>40</v>
      </c>
      <c r="T194" t="s">
        <v>41</v>
      </c>
      <c r="U194" t="s">
        <v>39</v>
      </c>
      <c r="V194" t="s">
        <v>39</v>
      </c>
      <c r="W194" t="s">
        <v>40</v>
      </c>
      <c r="AB194" t="s">
        <v>3890</v>
      </c>
    </row>
    <row r="195" spans="1:28" x14ac:dyDescent="0.2">
      <c r="A195">
        <v>40714560</v>
      </c>
      <c r="B195" t="s">
        <v>305</v>
      </c>
      <c r="C195" t="s">
        <v>306</v>
      </c>
      <c r="D195" t="s">
        <v>3500</v>
      </c>
      <c r="E195" s="9">
        <v>45328</v>
      </c>
      <c r="G195" t="s">
        <v>45</v>
      </c>
      <c r="H195" t="s">
        <v>81</v>
      </c>
      <c r="J195" t="s">
        <v>65</v>
      </c>
      <c r="K195" t="s">
        <v>36</v>
      </c>
      <c r="L195" t="s">
        <v>49</v>
      </c>
      <c r="M195" t="s">
        <v>50</v>
      </c>
      <c r="O195" t="s">
        <v>39</v>
      </c>
      <c r="P195" t="s">
        <v>39</v>
      </c>
      <c r="Q195" t="s">
        <v>39</v>
      </c>
      <c r="R195" t="s">
        <v>41</v>
      </c>
      <c r="S195" t="s">
        <v>40</v>
      </c>
      <c r="T195" t="s">
        <v>41</v>
      </c>
      <c r="U195" t="s">
        <v>40</v>
      </c>
      <c r="V195" t="s">
        <v>39</v>
      </c>
      <c r="W195" t="s">
        <v>40</v>
      </c>
      <c r="AB195" t="s">
        <v>3891</v>
      </c>
    </row>
    <row r="196" spans="1:28" x14ac:dyDescent="0.2">
      <c r="A196">
        <v>40714285</v>
      </c>
      <c r="B196" t="s">
        <v>3892</v>
      </c>
      <c r="C196" t="s">
        <v>3210</v>
      </c>
      <c r="D196" t="s">
        <v>3500</v>
      </c>
      <c r="E196" s="9">
        <v>45328</v>
      </c>
      <c r="G196" t="s">
        <v>45</v>
      </c>
      <c r="H196" t="s">
        <v>132</v>
      </c>
      <c r="J196" t="s">
        <v>154</v>
      </c>
      <c r="K196" t="s">
        <v>48</v>
      </c>
      <c r="L196" t="s">
        <v>37</v>
      </c>
      <c r="M196" t="s">
        <v>50</v>
      </c>
      <c r="O196" t="s">
        <v>39</v>
      </c>
      <c r="P196" t="s">
        <v>39</v>
      </c>
      <c r="Q196" t="s">
        <v>39</v>
      </c>
      <c r="R196" t="s">
        <v>41</v>
      </c>
      <c r="S196" t="s">
        <v>40</v>
      </c>
      <c r="T196" t="s">
        <v>41</v>
      </c>
      <c r="U196" t="s">
        <v>39</v>
      </c>
      <c r="V196" t="s">
        <v>39</v>
      </c>
      <c r="W196" t="s">
        <v>40</v>
      </c>
      <c r="AB196" t="s">
        <v>3893</v>
      </c>
    </row>
    <row r="197" spans="1:28" x14ac:dyDescent="0.2">
      <c r="A197">
        <v>40714378</v>
      </c>
      <c r="B197" t="s">
        <v>3894</v>
      </c>
      <c r="C197" t="s">
        <v>3895</v>
      </c>
      <c r="D197" t="s">
        <v>3505</v>
      </c>
      <c r="E197" s="9">
        <v>45328</v>
      </c>
      <c r="F197" s="9">
        <v>45363</v>
      </c>
      <c r="G197" t="s">
        <v>45</v>
      </c>
      <c r="H197" t="s">
        <v>96</v>
      </c>
      <c r="J197" t="s">
        <v>123</v>
      </c>
      <c r="K197" t="s">
        <v>36</v>
      </c>
      <c r="L197" t="s">
        <v>37</v>
      </c>
      <c r="M197" t="s">
        <v>50</v>
      </c>
      <c r="O197" t="s">
        <v>39</v>
      </c>
      <c r="P197" t="s">
        <v>39</v>
      </c>
      <c r="Q197" t="s">
        <v>39</v>
      </c>
      <c r="R197" t="s">
        <v>41</v>
      </c>
      <c r="S197" t="s">
        <v>40</v>
      </c>
      <c r="T197" t="s">
        <v>41</v>
      </c>
      <c r="U197" t="s">
        <v>40</v>
      </c>
      <c r="V197" t="s">
        <v>39</v>
      </c>
      <c r="W197" t="s">
        <v>40</v>
      </c>
      <c r="AB197" t="s">
        <v>3896</v>
      </c>
    </row>
    <row r="198" spans="1:28" x14ac:dyDescent="0.2">
      <c r="A198">
        <v>40714599</v>
      </c>
      <c r="B198" t="s">
        <v>3897</v>
      </c>
      <c r="C198" t="s">
        <v>3555</v>
      </c>
      <c r="D198" t="s">
        <v>3500</v>
      </c>
      <c r="E198" s="9">
        <v>45328</v>
      </c>
      <c r="G198" t="s">
        <v>45</v>
      </c>
      <c r="H198" t="s">
        <v>81</v>
      </c>
      <c r="J198" t="s">
        <v>117</v>
      </c>
      <c r="K198" t="s">
        <v>48</v>
      </c>
      <c r="L198" t="s">
        <v>49</v>
      </c>
      <c r="M198" t="s">
        <v>74</v>
      </c>
      <c r="O198" t="s">
        <v>39</v>
      </c>
      <c r="P198" t="s">
        <v>39</v>
      </c>
      <c r="Q198" t="s">
        <v>39</v>
      </c>
      <c r="R198" t="s">
        <v>41</v>
      </c>
      <c r="S198" t="s">
        <v>40</v>
      </c>
      <c r="T198" t="s">
        <v>41</v>
      </c>
      <c r="U198" t="s">
        <v>40</v>
      </c>
      <c r="V198" t="s">
        <v>39</v>
      </c>
      <c r="W198" t="s">
        <v>40</v>
      </c>
      <c r="AB198" t="s">
        <v>3898</v>
      </c>
    </row>
    <row r="199" spans="1:28" x14ac:dyDescent="0.2">
      <c r="A199">
        <v>40714329</v>
      </c>
      <c r="B199" t="s">
        <v>3899</v>
      </c>
      <c r="C199" t="s">
        <v>3900</v>
      </c>
      <c r="D199" t="s">
        <v>3505</v>
      </c>
      <c r="E199" s="9">
        <v>45328</v>
      </c>
      <c r="F199" s="9">
        <v>45363</v>
      </c>
      <c r="G199" t="s">
        <v>45</v>
      </c>
      <c r="H199" t="s">
        <v>81</v>
      </c>
      <c r="J199" t="s">
        <v>286</v>
      </c>
      <c r="K199" t="s">
        <v>36</v>
      </c>
      <c r="L199" t="s">
        <v>37</v>
      </c>
      <c r="M199" t="s">
        <v>50</v>
      </c>
      <c r="O199" t="s">
        <v>39</v>
      </c>
      <c r="P199" t="s">
        <v>39</v>
      </c>
      <c r="Q199" t="s">
        <v>39</v>
      </c>
      <c r="R199" t="s">
        <v>41</v>
      </c>
      <c r="S199" t="s">
        <v>40</v>
      </c>
      <c r="T199" t="s">
        <v>41</v>
      </c>
      <c r="U199" t="s">
        <v>39</v>
      </c>
      <c r="V199" t="s">
        <v>39</v>
      </c>
      <c r="W199" t="s">
        <v>40</v>
      </c>
      <c r="AB199" t="s">
        <v>3901</v>
      </c>
    </row>
    <row r="200" spans="1:28" x14ac:dyDescent="0.2">
      <c r="A200">
        <v>40714322</v>
      </c>
      <c r="B200" t="s">
        <v>3902</v>
      </c>
      <c r="C200" t="s">
        <v>3903</v>
      </c>
      <c r="D200" t="s">
        <v>3500</v>
      </c>
      <c r="E200" s="9">
        <v>45328</v>
      </c>
      <c r="G200" t="s">
        <v>45</v>
      </c>
      <c r="H200" t="s">
        <v>96</v>
      </c>
      <c r="J200" t="s">
        <v>60</v>
      </c>
      <c r="K200" t="s">
        <v>48</v>
      </c>
      <c r="L200" t="s">
        <v>37</v>
      </c>
      <c r="M200" t="s">
        <v>50</v>
      </c>
      <c r="O200" t="s">
        <v>39</v>
      </c>
      <c r="P200" t="s">
        <v>39</v>
      </c>
      <c r="Q200" t="s">
        <v>39</v>
      </c>
      <c r="R200" t="s">
        <v>41</v>
      </c>
      <c r="S200" t="s">
        <v>40</v>
      </c>
      <c r="T200" t="s">
        <v>41</v>
      </c>
      <c r="U200" t="s">
        <v>40</v>
      </c>
      <c r="V200" t="s">
        <v>39</v>
      </c>
      <c r="W200" t="s">
        <v>40</v>
      </c>
      <c r="AB200" t="s">
        <v>3904</v>
      </c>
    </row>
    <row r="201" spans="1:28" x14ac:dyDescent="0.2">
      <c r="A201">
        <v>40714240</v>
      </c>
      <c r="B201" t="s">
        <v>3905</v>
      </c>
      <c r="C201" t="s">
        <v>3906</v>
      </c>
      <c r="D201" t="s">
        <v>3500</v>
      </c>
      <c r="E201" s="9">
        <v>45328</v>
      </c>
      <c r="G201" t="s">
        <v>45</v>
      </c>
      <c r="H201" t="s">
        <v>96</v>
      </c>
      <c r="J201" t="s">
        <v>254</v>
      </c>
      <c r="K201" t="s">
        <v>48</v>
      </c>
      <c r="L201" t="s">
        <v>49</v>
      </c>
      <c r="M201" t="s">
        <v>50</v>
      </c>
      <c r="O201" t="s">
        <v>39</v>
      </c>
      <c r="P201" t="s">
        <v>39</v>
      </c>
      <c r="Q201" t="s">
        <v>39</v>
      </c>
      <c r="R201" t="s">
        <v>41</v>
      </c>
      <c r="S201" t="s">
        <v>40</v>
      </c>
      <c r="T201" t="s">
        <v>41</v>
      </c>
      <c r="U201" t="s">
        <v>40</v>
      </c>
      <c r="V201" t="s">
        <v>39</v>
      </c>
      <c r="W201" t="s">
        <v>40</v>
      </c>
      <c r="X201" t="s">
        <v>3907</v>
      </c>
      <c r="AB201" t="s">
        <v>3908</v>
      </c>
    </row>
    <row r="202" spans="1:28" x14ac:dyDescent="0.2">
      <c r="A202">
        <v>40714551</v>
      </c>
      <c r="B202" t="s">
        <v>3909</v>
      </c>
      <c r="C202" t="s">
        <v>3910</v>
      </c>
      <c r="D202" t="s">
        <v>3500</v>
      </c>
      <c r="E202" s="9">
        <v>45328</v>
      </c>
      <c r="G202" t="s">
        <v>45</v>
      </c>
      <c r="H202" t="s">
        <v>96</v>
      </c>
      <c r="J202" t="s">
        <v>2230</v>
      </c>
      <c r="K202" t="s">
        <v>48</v>
      </c>
      <c r="L202" t="s">
        <v>37</v>
      </c>
      <c r="M202" t="s">
        <v>50</v>
      </c>
      <c r="O202" t="s">
        <v>39</v>
      </c>
      <c r="P202" t="s">
        <v>39</v>
      </c>
      <c r="Q202" t="s">
        <v>39</v>
      </c>
      <c r="R202" t="s">
        <v>41</v>
      </c>
      <c r="S202" t="s">
        <v>40</v>
      </c>
      <c r="T202" t="s">
        <v>41</v>
      </c>
      <c r="U202" t="s">
        <v>40</v>
      </c>
      <c r="V202" t="s">
        <v>39</v>
      </c>
      <c r="W202" t="s">
        <v>40</v>
      </c>
      <c r="AB202" t="s">
        <v>3911</v>
      </c>
    </row>
    <row r="203" spans="1:28" x14ac:dyDescent="0.2">
      <c r="A203">
        <v>40714352</v>
      </c>
      <c r="B203" t="s">
        <v>3912</v>
      </c>
      <c r="C203" t="s">
        <v>3913</v>
      </c>
      <c r="D203" t="s">
        <v>3500</v>
      </c>
      <c r="E203" s="9">
        <v>45328</v>
      </c>
      <c r="G203" t="s">
        <v>45</v>
      </c>
      <c r="H203" t="s">
        <v>132</v>
      </c>
      <c r="J203" t="s">
        <v>342</v>
      </c>
      <c r="K203" t="s">
        <v>48</v>
      </c>
      <c r="L203" t="s">
        <v>37</v>
      </c>
      <c r="M203" t="s">
        <v>50</v>
      </c>
      <c r="O203" t="s">
        <v>39</v>
      </c>
      <c r="P203" t="s">
        <v>39</v>
      </c>
      <c r="Q203" t="s">
        <v>39</v>
      </c>
      <c r="R203" t="s">
        <v>41</v>
      </c>
      <c r="S203" t="s">
        <v>40</v>
      </c>
      <c r="T203" t="s">
        <v>41</v>
      </c>
      <c r="U203" t="s">
        <v>40</v>
      </c>
      <c r="V203" t="s">
        <v>39</v>
      </c>
      <c r="W203" t="s">
        <v>40</v>
      </c>
      <c r="AB203" t="s">
        <v>3914</v>
      </c>
    </row>
    <row r="204" spans="1:28" x14ac:dyDescent="0.2">
      <c r="A204">
        <v>40714271</v>
      </c>
      <c r="C204" t="s">
        <v>3915</v>
      </c>
      <c r="D204" t="s">
        <v>3500</v>
      </c>
      <c r="E204" s="9">
        <v>45328</v>
      </c>
      <c r="G204" t="s">
        <v>45</v>
      </c>
      <c r="H204" t="s">
        <v>96</v>
      </c>
      <c r="J204" t="s">
        <v>254</v>
      </c>
      <c r="K204" t="s">
        <v>36</v>
      </c>
      <c r="L204" t="s">
        <v>49</v>
      </c>
      <c r="M204" t="s">
        <v>50</v>
      </c>
      <c r="O204" t="s">
        <v>39</v>
      </c>
      <c r="P204" t="s">
        <v>39</v>
      </c>
      <c r="Q204" t="s">
        <v>41</v>
      </c>
      <c r="R204" t="s">
        <v>41</v>
      </c>
      <c r="S204" t="s">
        <v>40</v>
      </c>
      <c r="T204" t="s">
        <v>41</v>
      </c>
      <c r="U204" t="s">
        <v>39</v>
      </c>
      <c r="V204" t="s">
        <v>39</v>
      </c>
      <c r="W204" t="s">
        <v>40</v>
      </c>
      <c r="AB204" t="s">
        <v>3916</v>
      </c>
    </row>
    <row r="205" spans="1:28" x14ac:dyDescent="0.2">
      <c r="A205">
        <v>40714576</v>
      </c>
      <c r="B205" t="s">
        <v>3917</v>
      </c>
      <c r="C205" t="s">
        <v>3918</v>
      </c>
      <c r="D205" t="s">
        <v>3500</v>
      </c>
      <c r="E205" s="9">
        <v>45328</v>
      </c>
      <c r="G205" t="s">
        <v>45</v>
      </c>
      <c r="H205" t="s">
        <v>3565</v>
      </c>
      <c r="J205" t="s">
        <v>117</v>
      </c>
      <c r="K205" t="s">
        <v>48</v>
      </c>
      <c r="L205" t="s">
        <v>37</v>
      </c>
      <c r="M205" t="s">
        <v>50</v>
      </c>
      <c r="O205" t="s">
        <v>39</v>
      </c>
      <c r="P205" t="s">
        <v>39</v>
      </c>
      <c r="Q205" t="s">
        <v>39</v>
      </c>
      <c r="R205" t="s">
        <v>41</v>
      </c>
      <c r="S205" t="s">
        <v>40</v>
      </c>
      <c r="T205" t="s">
        <v>41</v>
      </c>
      <c r="U205" t="s">
        <v>40</v>
      </c>
      <c r="V205" t="s">
        <v>39</v>
      </c>
      <c r="W205" t="s">
        <v>40</v>
      </c>
      <c r="AB205" t="s">
        <v>3919</v>
      </c>
    </row>
    <row r="206" spans="1:28" x14ac:dyDescent="0.2">
      <c r="A206">
        <v>40714402</v>
      </c>
      <c r="B206" t="s">
        <v>3920</v>
      </c>
      <c r="C206" t="s">
        <v>3921</v>
      </c>
      <c r="D206" t="s">
        <v>3500</v>
      </c>
      <c r="E206" s="9">
        <v>45328</v>
      </c>
      <c r="G206" t="s">
        <v>45</v>
      </c>
      <c r="H206" t="s">
        <v>3565</v>
      </c>
      <c r="J206" t="s">
        <v>342</v>
      </c>
      <c r="K206" t="s">
        <v>36</v>
      </c>
      <c r="L206" t="s">
        <v>49</v>
      </c>
      <c r="M206" t="s">
        <v>50</v>
      </c>
      <c r="O206" t="s">
        <v>39</v>
      </c>
      <c r="P206" t="s">
        <v>39</v>
      </c>
      <c r="Q206" t="s">
        <v>39</v>
      </c>
      <c r="R206" t="s">
        <v>41</v>
      </c>
      <c r="S206" t="s">
        <v>40</v>
      </c>
      <c r="T206" t="s">
        <v>41</v>
      </c>
      <c r="U206" t="s">
        <v>40</v>
      </c>
      <c r="V206" t="s">
        <v>39</v>
      </c>
      <c r="W206" t="s">
        <v>40</v>
      </c>
      <c r="AB206" t="s">
        <v>3922</v>
      </c>
    </row>
    <row r="207" spans="1:28" x14ac:dyDescent="0.2">
      <c r="A207">
        <v>40714592</v>
      </c>
      <c r="B207" t="s">
        <v>3923</v>
      </c>
      <c r="C207" t="s">
        <v>3924</v>
      </c>
      <c r="D207" t="s">
        <v>3500</v>
      </c>
      <c r="E207" s="9">
        <v>45328</v>
      </c>
      <c r="G207" t="s">
        <v>45</v>
      </c>
      <c r="H207" t="s">
        <v>46</v>
      </c>
      <c r="J207" t="s">
        <v>60</v>
      </c>
      <c r="K207" t="s">
        <v>36</v>
      </c>
      <c r="L207" t="s">
        <v>49</v>
      </c>
      <c r="M207" t="s">
        <v>50</v>
      </c>
      <c r="O207" t="s">
        <v>39</v>
      </c>
      <c r="P207" t="s">
        <v>39</v>
      </c>
      <c r="Q207" t="s">
        <v>39</v>
      </c>
      <c r="R207" t="s">
        <v>41</v>
      </c>
      <c r="S207" t="s">
        <v>40</v>
      </c>
      <c r="T207" t="s">
        <v>41</v>
      </c>
      <c r="U207" t="s">
        <v>40</v>
      </c>
      <c r="V207" t="s">
        <v>39</v>
      </c>
      <c r="W207" t="s">
        <v>40</v>
      </c>
      <c r="AB207" t="s">
        <v>3925</v>
      </c>
    </row>
    <row r="208" spans="1:28" x14ac:dyDescent="0.2">
      <c r="A208">
        <v>40714547</v>
      </c>
      <c r="B208" t="s">
        <v>3926</v>
      </c>
      <c r="C208" t="s">
        <v>3927</v>
      </c>
      <c r="D208" t="s">
        <v>3500</v>
      </c>
      <c r="E208" s="9">
        <v>45328</v>
      </c>
      <c r="G208" t="s">
        <v>45</v>
      </c>
      <c r="H208" t="s">
        <v>81</v>
      </c>
      <c r="J208" t="s">
        <v>112</v>
      </c>
      <c r="K208" t="s">
        <v>48</v>
      </c>
      <c r="L208" t="s">
        <v>49</v>
      </c>
      <c r="M208" t="s">
        <v>50</v>
      </c>
      <c r="O208" t="s">
        <v>39</v>
      </c>
      <c r="P208" t="s">
        <v>39</v>
      </c>
      <c r="Q208" t="s">
        <v>39</v>
      </c>
      <c r="R208" t="s">
        <v>41</v>
      </c>
      <c r="S208" t="s">
        <v>40</v>
      </c>
      <c r="T208" t="s">
        <v>41</v>
      </c>
      <c r="U208" t="s">
        <v>40</v>
      </c>
      <c r="V208" t="s">
        <v>39</v>
      </c>
      <c r="W208" t="s">
        <v>40</v>
      </c>
      <c r="AB208" t="s">
        <v>3928</v>
      </c>
    </row>
    <row r="209" spans="1:28" x14ac:dyDescent="0.2">
      <c r="A209">
        <v>40714620</v>
      </c>
      <c r="B209" t="s">
        <v>3929</v>
      </c>
      <c r="C209" t="s">
        <v>3499</v>
      </c>
      <c r="D209" t="s">
        <v>3500</v>
      </c>
      <c r="E209" s="9">
        <v>45328</v>
      </c>
      <c r="G209" t="s">
        <v>45</v>
      </c>
      <c r="H209" t="s">
        <v>81</v>
      </c>
      <c r="J209" t="s">
        <v>342</v>
      </c>
      <c r="K209" t="s">
        <v>36</v>
      </c>
      <c r="L209" t="s">
        <v>49</v>
      </c>
      <c r="M209" t="s">
        <v>50</v>
      </c>
      <c r="O209" t="s">
        <v>39</v>
      </c>
      <c r="P209" t="s">
        <v>39</v>
      </c>
      <c r="Q209" t="s">
        <v>39</v>
      </c>
      <c r="R209" t="s">
        <v>41</v>
      </c>
      <c r="S209" t="s">
        <v>40</v>
      </c>
      <c r="T209" t="s">
        <v>41</v>
      </c>
      <c r="U209" t="s">
        <v>39</v>
      </c>
      <c r="V209" t="s">
        <v>39</v>
      </c>
      <c r="W209" t="s">
        <v>40</v>
      </c>
      <c r="AB209" t="s">
        <v>3930</v>
      </c>
    </row>
    <row r="210" spans="1:28" x14ac:dyDescent="0.2">
      <c r="A210">
        <v>40714236</v>
      </c>
      <c r="B210" t="s">
        <v>3931</v>
      </c>
      <c r="C210" t="s">
        <v>3549</v>
      </c>
      <c r="D210" t="s">
        <v>3500</v>
      </c>
      <c r="E210" s="9">
        <v>45328</v>
      </c>
      <c r="G210" t="s">
        <v>45</v>
      </c>
      <c r="H210" t="s">
        <v>3533</v>
      </c>
      <c r="J210" t="s">
        <v>203</v>
      </c>
      <c r="K210" t="s">
        <v>48</v>
      </c>
      <c r="L210" t="s">
        <v>49</v>
      </c>
      <c r="M210" t="s">
        <v>74</v>
      </c>
      <c r="O210" t="s">
        <v>39</v>
      </c>
      <c r="P210" t="s">
        <v>39</v>
      </c>
      <c r="Q210" t="s">
        <v>39</v>
      </c>
      <c r="R210" t="s">
        <v>41</v>
      </c>
      <c r="S210" t="s">
        <v>40</v>
      </c>
      <c r="T210" t="s">
        <v>41</v>
      </c>
      <c r="U210" t="s">
        <v>40</v>
      </c>
      <c r="V210" t="s">
        <v>39</v>
      </c>
      <c r="W210" t="s">
        <v>40</v>
      </c>
      <c r="AB210" t="s">
        <v>3932</v>
      </c>
    </row>
    <row r="211" spans="1:28" x14ac:dyDescent="0.2">
      <c r="A211">
        <v>40714628</v>
      </c>
      <c r="B211" t="s">
        <v>3933</v>
      </c>
      <c r="C211" t="s">
        <v>3934</v>
      </c>
      <c r="D211" t="s">
        <v>3500</v>
      </c>
      <c r="E211" s="9">
        <v>45328</v>
      </c>
      <c r="G211" t="s">
        <v>45</v>
      </c>
      <c r="H211" t="s">
        <v>81</v>
      </c>
      <c r="J211" t="s">
        <v>154</v>
      </c>
      <c r="K211" t="s">
        <v>36</v>
      </c>
      <c r="L211" t="s">
        <v>49</v>
      </c>
      <c r="M211" t="s">
        <v>50</v>
      </c>
      <c r="O211" t="s">
        <v>39</v>
      </c>
      <c r="P211" t="s">
        <v>39</v>
      </c>
      <c r="Q211" t="s">
        <v>39</v>
      </c>
      <c r="R211" t="s">
        <v>41</v>
      </c>
      <c r="S211" t="s">
        <v>40</v>
      </c>
      <c r="T211" t="s">
        <v>41</v>
      </c>
      <c r="U211" t="s">
        <v>39</v>
      </c>
      <c r="V211" t="s">
        <v>39</v>
      </c>
      <c r="W211" t="s">
        <v>40</v>
      </c>
      <c r="X211" t="s">
        <v>3935</v>
      </c>
      <c r="AB211" t="s">
        <v>3936</v>
      </c>
    </row>
    <row r="212" spans="1:28" x14ac:dyDescent="0.2">
      <c r="A212">
        <v>40714562</v>
      </c>
      <c r="B212" t="s">
        <v>3937</v>
      </c>
      <c r="C212" t="s">
        <v>3938</v>
      </c>
      <c r="D212" t="s">
        <v>3500</v>
      </c>
      <c r="E212" s="9">
        <v>45328</v>
      </c>
      <c r="G212" t="s">
        <v>45</v>
      </c>
      <c r="H212" t="s">
        <v>96</v>
      </c>
      <c r="J212" t="s">
        <v>138</v>
      </c>
      <c r="K212" t="s">
        <v>48</v>
      </c>
      <c r="L212" t="s">
        <v>49</v>
      </c>
      <c r="M212" t="s">
        <v>50</v>
      </c>
      <c r="O212" t="s">
        <v>39</v>
      </c>
      <c r="P212" t="s">
        <v>39</v>
      </c>
      <c r="Q212" t="s">
        <v>39</v>
      </c>
      <c r="R212" t="s">
        <v>41</v>
      </c>
      <c r="S212" t="s">
        <v>40</v>
      </c>
      <c r="T212" t="s">
        <v>41</v>
      </c>
      <c r="U212" t="s">
        <v>40</v>
      </c>
      <c r="V212" t="s">
        <v>39</v>
      </c>
      <c r="W212" t="s">
        <v>40</v>
      </c>
      <c r="AB212" t="s">
        <v>3939</v>
      </c>
    </row>
    <row r="213" spans="1:28" x14ac:dyDescent="0.2">
      <c r="A213">
        <v>40713934</v>
      </c>
      <c r="B213" t="s">
        <v>3940</v>
      </c>
      <c r="C213" t="s">
        <v>3941</v>
      </c>
      <c r="D213" t="s">
        <v>3505</v>
      </c>
      <c r="E213" s="9">
        <v>45328</v>
      </c>
      <c r="F213" s="9">
        <v>45363</v>
      </c>
      <c r="G213" t="s">
        <v>45</v>
      </c>
      <c r="H213" t="s">
        <v>81</v>
      </c>
      <c r="J213" t="s">
        <v>154</v>
      </c>
      <c r="K213" t="s">
        <v>36</v>
      </c>
      <c r="L213" t="s">
        <v>37</v>
      </c>
      <c r="M213" t="s">
        <v>50</v>
      </c>
      <c r="O213" t="s">
        <v>39</v>
      </c>
      <c r="P213" t="s">
        <v>39</v>
      </c>
      <c r="Q213" t="s">
        <v>39</v>
      </c>
      <c r="R213" t="s">
        <v>41</v>
      </c>
      <c r="S213" t="s">
        <v>40</v>
      </c>
      <c r="T213" t="s">
        <v>41</v>
      </c>
      <c r="U213" t="s">
        <v>40</v>
      </c>
      <c r="V213" t="s">
        <v>39</v>
      </c>
      <c r="W213" t="s">
        <v>40</v>
      </c>
      <c r="AB213" t="s">
        <v>3942</v>
      </c>
    </row>
    <row r="214" spans="1:28" x14ac:dyDescent="0.2">
      <c r="A214">
        <v>40714580</v>
      </c>
      <c r="B214" t="s">
        <v>3943</v>
      </c>
      <c r="C214" t="s">
        <v>3944</v>
      </c>
      <c r="D214" t="s">
        <v>3500</v>
      </c>
      <c r="E214" s="9">
        <v>45328</v>
      </c>
      <c r="G214" t="s">
        <v>45</v>
      </c>
      <c r="H214" t="s">
        <v>96</v>
      </c>
      <c r="J214" t="s">
        <v>117</v>
      </c>
      <c r="K214" t="s">
        <v>48</v>
      </c>
      <c r="L214" t="s">
        <v>37</v>
      </c>
      <c r="M214" t="s">
        <v>50</v>
      </c>
      <c r="O214" t="s">
        <v>39</v>
      </c>
      <c r="P214" t="s">
        <v>39</v>
      </c>
      <c r="Q214" t="s">
        <v>39</v>
      </c>
      <c r="R214" t="s">
        <v>41</v>
      </c>
      <c r="S214" t="s">
        <v>40</v>
      </c>
      <c r="T214" t="s">
        <v>41</v>
      </c>
      <c r="U214" t="s">
        <v>40</v>
      </c>
      <c r="V214" t="s">
        <v>39</v>
      </c>
      <c r="W214" t="s">
        <v>40</v>
      </c>
      <c r="AB214" t="s">
        <v>3945</v>
      </c>
    </row>
    <row r="215" spans="1:28" x14ac:dyDescent="0.2">
      <c r="A215">
        <v>40714613</v>
      </c>
      <c r="B215" t="s">
        <v>3946</v>
      </c>
      <c r="C215" t="s">
        <v>3947</v>
      </c>
      <c r="D215" t="s">
        <v>3500</v>
      </c>
      <c r="E215" s="9">
        <v>45328</v>
      </c>
      <c r="G215" t="s">
        <v>45</v>
      </c>
      <c r="H215" t="s">
        <v>96</v>
      </c>
      <c r="J215" t="s">
        <v>254</v>
      </c>
      <c r="K215" t="s">
        <v>36</v>
      </c>
      <c r="L215" t="s">
        <v>49</v>
      </c>
      <c r="M215" t="s">
        <v>50</v>
      </c>
      <c r="O215" t="s">
        <v>39</v>
      </c>
      <c r="P215" t="s">
        <v>39</v>
      </c>
      <c r="Q215" t="s">
        <v>39</v>
      </c>
      <c r="R215" t="s">
        <v>41</v>
      </c>
      <c r="S215" t="s">
        <v>40</v>
      </c>
      <c r="T215" t="s">
        <v>41</v>
      </c>
      <c r="U215" t="s">
        <v>40</v>
      </c>
      <c r="V215" t="s">
        <v>39</v>
      </c>
      <c r="W215" t="s">
        <v>40</v>
      </c>
      <c r="AB215" t="s">
        <v>3948</v>
      </c>
    </row>
    <row r="216" spans="1:28" x14ac:dyDescent="0.2">
      <c r="A216">
        <v>40714545</v>
      </c>
      <c r="B216" t="s">
        <v>3949</v>
      </c>
      <c r="C216" t="s">
        <v>3950</v>
      </c>
      <c r="D216" t="s">
        <v>3500</v>
      </c>
      <c r="E216" s="9">
        <v>45328</v>
      </c>
      <c r="G216" t="s">
        <v>45</v>
      </c>
      <c r="H216" t="s">
        <v>3533</v>
      </c>
      <c r="J216" t="s">
        <v>154</v>
      </c>
      <c r="K216" t="s">
        <v>48</v>
      </c>
      <c r="L216" t="s">
        <v>49</v>
      </c>
      <c r="M216" t="s">
        <v>289</v>
      </c>
      <c r="O216" t="s">
        <v>39</v>
      </c>
      <c r="P216" t="s">
        <v>39</v>
      </c>
      <c r="Q216" t="s">
        <v>39</v>
      </c>
      <c r="R216" t="s">
        <v>41</v>
      </c>
      <c r="S216" t="s">
        <v>40</v>
      </c>
      <c r="T216" t="s">
        <v>41</v>
      </c>
      <c r="U216" t="s">
        <v>40</v>
      </c>
      <c r="V216" t="s">
        <v>39</v>
      </c>
      <c r="W216" t="s">
        <v>40</v>
      </c>
      <c r="AB216" t="s">
        <v>3951</v>
      </c>
    </row>
    <row r="217" spans="1:28" x14ac:dyDescent="0.2">
      <c r="A217">
        <v>40714553</v>
      </c>
      <c r="B217" t="s">
        <v>3952</v>
      </c>
      <c r="C217" t="s">
        <v>3953</v>
      </c>
      <c r="D217" t="s">
        <v>3500</v>
      </c>
      <c r="E217" s="9">
        <v>45328</v>
      </c>
      <c r="G217" t="s">
        <v>45</v>
      </c>
      <c r="H217" t="s">
        <v>81</v>
      </c>
      <c r="J217" t="s">
        <v>3954</v>
      </c>
      <c r="K217" t="s">
        <v>48</v>
      </c>
      <c r="L217" t="s">
        <v>49</v>
      </c>
      <c r="M217" t="s">
        <v>74</v>
      </c>
      <c r="O217" t="s">
        <v>39</v>
      </c>
      <c r="P217" t="s">
        <v>39</v>
      </c>
      <c r="Q217" t="s">
        <v>39</v>
      </c>
      <c r="R217" t="s">
        <v>41</v>
      </c>
      <c r="S217" t="s">
        <v>40</v>
      </c>
      <c r="T217" t="s">
        <v>41</v>
      </c>
      <c r="U217" t="s">
        <v>39</v>
      </c>
      <c r="V217" t="s">
        <v>39</v>
      </c>
      <c r="W217" t="s">
        <v>40</v>
      </c>
      <c r="AB217" t="s">
        <v>3955</v>
      </c>
    </row>
    <row r="218" spans="1:28" x14ac:dyDescent="0.2">
      <c r="A218">
        <v>40714625</v>
      </c>
      <c r="B218" t="s">
        <v>3956</v>
      </c>
      <c r="C218" t="s">
        <v>3957</v>
      </c>
      <c r="D218" t="s">
        <v>3500</v>
      </c>
      <c r="E218" s="9">
        <v>45328</v>
      </c>
      <c r="G218" t="s">
        <v>45</v>
      </c>
      <c r="H218" t="s">
        <v>132</v>
      </c>
      <c r="J218" t="s">
        <v>138</v>
      </c>
      <c r="K218" t="s">
        <v>48</v>
      </c>
      <c r="L218" t="s">
        <v>49</v>
      </c>
      <c r="M218" t="s">
        <v>50</v>
      </c>
      <c r="O218" t="s">
        <v>39</v>
      </c>
      <c r="P218" t="s">
        <v>39</v>
      </c>
      <c r="Q218" t="s">
        <v>39</v>
      </c>
      <c r="R218" t="s">
        <v>41</v>
      </c>
      <c r="S218" t="s">
        <v>40</v>
      </c>
      <c r="T218" t="s">
        <v>41</v>
      </c>
      <c r="U218" t="s">
        <v>40</v>
      </c>
      <c r="V218" t="s">
        <v>39</v>
      </c>
      <c r="W218" t="s">
        <v>40</v>
      </c>
      <c r="AB218" t="s">
        <v>3958</v>
      </c>
    </row>
    <row r="219" spans="1:28" x14ac:dyDescent="0.2">
      <c r="A219">
        <v>40740870</v>
      </c>
      <c r="B219" t="s">
        <v>3959</v>
      </c>
      <c r="C219" t="s">
        <v>3960</v>
      </c>
      <c r="D219" t="s">
        <v>3505</v>
      </c>
      <c r="E219" s="9">
        <v>45331</v>
      </c>
      <c r="F219" s="9">
        <v>45363</v>
      </c>
      <c r="G219" t="s">
        <v>45</v>
      </c>
      <c r="H219" t="s">
        <v>81</v>
      </c>
      <c r="J219" t="s">
        <v>69</v>
      </c>
      <c r="K219" t="s">
        <v>48</v>
      </c>
      <c r="L219" t="s">
        <v>37</v>
      </c>
      <c r="M219" t="s">
        <v>50</v>
      </c>
      <c r="O219" t="s">
        <v>39</v>
      </c>
      <c r="P219" t="s">
        <v>39</v>
      </c>
      <c r="Q219" t="s">
        <v>39</v>
      </c>
      <c r="R219" t="s">
        <v>41</v>
      </c>
      <c r="S219" t="s">
        <v>40</v>
      </c>
      <c r="T219" t="s">
        <v>41</v>
      </c>
      <c r="U219" t="s">
        <v>39</v>
      </c>
      <c r="V219" t="s">
        <v>39</v>
      </c>
      <c r="W219" t="s">
        <v>40</v>
      </c>
      <c r="X219" t="s">
        <v>3961</v>
      </c>
      <c r="AB219" t="s">
        <v>3962</v>
      </c>
    </row>
    <row r="220" spans="1:28" x14ac:dyDescent="0.2">
      <c r="A220">
        <v>40805692</v>
      </c>
      <c r="B220" t="s">
        <v>2946</v>
      </c>
      <c r="C220" t="s">
        <v>2947</v>
      </c>
      <c r="D220" t="s">
        <v>3500</v>
      </c>
      <c r="E220" s="9">
        <v>45338</v>
      </c>
      <c r="G220" t="s">
        <v>45</v>
      </c>
      <c r="H220" t="s">
        <v>81</v>
      </c>
      <c r="J220" t="s">
        <v>2230</v>
      </c>
      <c r="K220" t="s">
        <v>48</v>
      </c>
      <c r="L220" t="s">
        <v>49</v>
      </c>
      <c r="M220" t="s">
        <v>50</v>
      </c>
      <c r="O220" t="s">
        <v>39</v>
      </c>
      <c r="P220" t="s">
        <v>39</v>
      </c>
      <c r="Q220" t="s">
        <v>39</v>
      </c>
      <c r="R220" t="s">
        <v>41</v>
      </c>
      <c r="S220" t="s">
        <v>40</v>
      </c>
      <c r="T220" t="s">
        <v>41</v>
      </c>
      <c r="U220" t="s">
        <v>39</v>
      </c>
      <c r="V220" t="s">
        <v>39</v>
      </c>
      <c r="W220" t="s">
        <v>40</v>
      </c>
      <c r="AB220" t="s">
        <v>3963</v>
      </c>
    </row>
    <row r="221" spans="1:28" x14ac:dyDescent="0.2">
      <c r="A221">
        <v>40805175</v>
      </c>
      <c r="B221" t="s">
        <v>3964</v>
      </c>
      <c r="C221" t="s">
        <v>3965</v>
      </c>
      <c r="D221" t="s">
        <v>3505</v>
      </c>
      <c r="E221" s="9">
        <v>45338</v>
      </c>
      <c r="F221" s="9">
        <v>45363</v>
      </c>
      <c r="G221" t="s">
        <v>45</v>
      </c>
      <c r="H221" t="s">
        <v>3966</v>
      </c>
      <c r="J221" t="s">
        <v>69</v>
      </c>
      <c r="K221" t="s">
        <v>48</v>
      </c>
      <c r="L221" t="s">
        <v>386</v>
      </c>
      <c r="M221" t="s">
        <v>74</v>
      </c>
      <c r="O221" t="s">
        <v>39</v>
      </c>
      <c r="P221" t="s">
        <v>41</v>
      </c>
      <c r="Q221" t="s">
        <v>41</v>
      </c>
      <c r="R221" t="s">
        <v>41</v>
      </c>
      <c r="S221" t="s">
        <v>40</v>
      </c>
      <c r="T221" t="s">
        <v>41</v>
      </c>
      <c r="U221" t="s">
        <v>39</v>
      </c>
      <c r="V221" t="s">
        <v>39</v>
      </c>
      <c r="W221" t="s">
        <v>40</v>
      </c>
      <c r="AB221" t="s">
        <v>3967</v>
      </c>
    </row>
    <row r="222" spans="1:28" x14ac:dyDescent="0.2">
      <c r="A222">
        <v>40805533</v>
      </c>
      <c r="B222" t="s">
        <v>3968</v>
      </c>
      <c r="C222" t="s">
        <v>3969</v>
      </c>
      <c r="D222" t="s">
        <v>3500</v>
      </c>
      <c r="E222" s="9">
        <v>45338</v>
      </c>
      <c r="G222" t="s">
        <v>45</v>
      </c>
      <c r="H222" t="s">
        <v>81</v>
      </c>
      <c r="J222" t="s">
        <v>54</v>
      </c>
      <c r="K222" t="s">
        <v>48</v>
      </c>
      <c r="L222" t="s">
        <v>49</v>
      </c>
      <c r="M222" t="s">
        <v>50</v>
      </c>
      <c r="O222" t="s">
        <v>39</v>
      </c>
      <c r="P222" t="s">
        <v>39</v>
      </c>
      <c r="Q222" t="s">
        <v>39</v>
      </c>
      <c r="R222" t="s">
        <v>41</v>
      </c>
      <c r="S222" t="s">
        <v>40</v>
      </c>
      <c r="T222" t="s">
        <v>41</v>
      </c>
      <c r="U222" t="s">
        <v>39</v>
      </c>
      <c r="V222" t="s">
        <v>39</v>
      </c>
      <c r="W222" t="s">
        <v>40</v>
      </c>
      <c r="AB222" t="s">
        <v>3970</v>
      </c>
    </row>
    <row r="223" spans="1:28" x14ac:dyDescent="0.2">
      <c r="A223">
        <v>40805266</v>
      </c>
      <c r="B223" t="s">
        <v>3971</v>
      </c>
      <c r="C223" t="s">
        <v>3972</v>
      </c>
      <c r="D223" t="s">
        <v>3500</v>
      </c>
      <c r="E223" s="9">
        <v>45338</v>
      </c>
      <c r="G223" t="s">
        <v>45</v>
      </c>
      <c r="H223" t="s">
        <v>90</v>
      </c>
      <c r="J223" t="s">
        <v>138</v>
      </c>
      <c r="K223" t="s">
        <v>36</v>
      </c>
      <c r="L223" t="s">
        <v>49</v>
      </c>
      <c r="M223" t="s">
        <v>50</v>
      </c>
      <c r="O223" t="s">
        <v>39</v>
      </c>
      <c r="P223" t="s">
        <v>39</v>
      </c>
      <c r="Q223" t="s">
        <v>39</v>
      </c>
      <c r="R223" t="s">
        <v>41</v>
      </c>
      <c r="S223" t="s">
        <v>40</v>
      </c>
      <c r="T223" t="s">
        <v>41</v>
      </c>
      <c r="U223" t="s">
        <v>39</v>
      </c>
      <c r="V223" t="s">
        <v>39</v>
      </c>
      <c r="W223" t="s">
        <v>40</v>
      </c>
      <c r="AB223" t="s">
        <v>3973</v>
      </c>
    </row>
    <row r="224" spans="1:28" x14ac:dyDescent="0.2">
      <c r="A224">
        <v>40805179</v>
      </c>
      <c r="B224" t="s">
        <v>3974</v>
      </c>
      <c r="C224" t="s">
        <v>3975</v>
      </c>
      <c r="D224" t="s">
        <v>3500</v>
      </c>
      <c r="E224" s="9">
        <v>45338</v>
      </c>
      <c r="G224" t="s">
        <v>45</v>
      </c>
      <c r="H224" t="s">
        <v>3966</v>
      </c>
      <c r="J224" t="s">
        <v>154</v>
      </c>
      <c r="K224" t="s">
        <v>48</v>
      </c>
      <c r="L224" t="s">
        <v>386</v>
      </c>
      <c r="M224" t="s">
        <v>74</v>
      </c>
      <c r="O224" t="s">
        <v>39</v>
      </c>
      <c r="P224" t="s">
        <v>41</v>
      </c>
      <c r="Q224" t="s">
        <v>41</v>
      </c>
      <c r="R224" t="s">
        <v>41</v>
      </c>
      <c r="S224" t="s">
        <v>40</v>
      </c>
      <c r="T224" t="s">
        <v>41</v>
      </c>
      <c r="U224" t="s">
        <v>39</v>
      </c>
      <c r="V224" t="s">
        <v>39</v>
      </c>
      <c r="W224" t="s">
        <v>40</v>
      </c>
      <c r="AB224" t="s">
        <v>3976</v>
      </c>
    </row>
    <row r="225" spans="1:29" x14ac:dyDescent="0.2">
      <c r="A225">
        <v>40805734</v>
      </c>
      <c r="B225" t="s">
        <v>3977</v>
      </c>
      <c r="C225" t="s">
        <v>110</v>
      </c>
      <c r="D225" t="s">
        <v>3500</v>
      </c>
      <c r="E225" s="9">
        <v>45338</v>
      </c>
      <c r="G225" t="s">
        <v>45</v>
      </c>
      <c r="H225" t="s">
        <v>81</v>
      </c>
      <c r="J225" t="s">
        <v>54</v>
      </c>
      <c r="K225" t="s">
        <v>48</v>
      </c>
      <c r="L225" t="s">
        <v>37</v>
      </c>
      <c r="M225" t="s">
        <v>50</v>
      </c>
      <c r="O225" t="s">
        <v>39</v>
      </c>
      <c r="P225" t="s">
        <v>39</v>
      </c>
      <c r="Q225" t="s">
        <v>39</v>
      </c>
      <c r="R225" t="s">
        <v>41</v>
      </c>
      <c r="S225" t="s">
        <v>40</v>
      </c>
      <c r="T225" t="s">
        <v>41</v>
      </c>
      <c r="U225" t="s">
        <v>39</v>
      </c>
      <c r="V225" t="s">
        <v>39</v>
      </c>
      <c r="W225" t="s">
        <v>40</v>
      </c>
      <c r="AB225" t="s">
        <v>3978</v>
      </c>
    </row>
    <row r="226" spans="1:29" x14ac:dyDescent="0.2">
      <c r="A226">
        <v>40805520</v>
      </c>
      <c r="B226" t="s">
        <v>3979</v>
      </c>
      <c r="C226" t="s">
        <v>3980</v>
      </c>
      <c r="D226" t="s">
        <v>3500</v>
      </c>
      <c r="E226" s="9">
        <v>45338</v>
      </c>
      <c r="G226" t="s">
        <v>45</v>
      </c>
      <c r="H226" t="s">
        <v>3565</v>
      </c>
      <c r="J226" t="s">
        <v>138</v>
      </c>
      <c r="K226" t="s">
        <v>48</v>
      </c>
      <c r="L226" t="s">
        <v>49</v>
      </c>
      <c r="M226" t="s">
        <v>50</v>
      </c>
      <c r="O226" t="s">
        <v>39</v>
      </c>
      <c r="P226" t="s">
        <v>39</v>
      </c>
      <c r="Q226" t="s">
        <v>39</v>
      </c>
      <c r="R226" t="s">
        <v>41</v>
      </c>
      <c r="S226" t="s">
        <v>40</v>
      </c>
      <c r="T226" t="s">
        <v>41</v>
      </c>
      <c r="U226" t="s">
        <v>39</v>
      </c>
      <c r="V226" t="s">
        <v>39</v>
      </c>
      <c r="W226" t="s">
        <v>40</v>
      </c>
      <c r="AB226" t="s">
        <v>3981</v>
      </c>
    </row>
    <row r="227" spans="1:29" x14ac:dyDescent="0.2">
      <c r="A227">
        <v>40805697</v>
      </c>
      <c r="B227" t="s">
        <v>3982</v>
      </c>
      <c r="C227" t="s">
        <v>3983</v>
      </c>
      <c r="D227" t="s">
        <v>3500</v>
      </c>
      <c r="E227" s="9">
        <v>45338</v>
      </c>
      <c r="G227" t="s">
        <v>45</v>
      </c>
      <c r="H227" t="s">
        <v>96</v>
      </c>
      <c r="J227" t="s">
        <v>254</v>
      </c>
      <c r="K227" t="s">
        <v>36</v>
      </c>
      <c r="L227" t="s">
        <v>49</v>
      </c>
      <c r="M227" t="s">
        <v>50</v>
      </c>
      <c r="O227" t="s">
        <v>39</v>
      </c>
      <c r="P227" t="s">
        <v>39</v>
      </c>
      <c r="Q227" t="s">
        <v>39</v>
      </c>
      <c r="R227" t="s">
        <v>41</v>
      </c>
      <c r="S227" t="s">
        <v>40</v>
      </c>
      <c r="T227" t="s">
        <v>41</v>
      </c>
      <c r="U227" t="s">
        <v>39</v>
      </c>
      <c r="V227" t="s">
        <v>39</v>
      </c>
      <c r="W227" t="s">
        <v>40</v>
      </c>
      <c r="AB227" t="s">
        <v>3984</v>
      </c>
    </row>
    <row r="228" spans="1:29" x14ac:dyDescent="0.2">
      <c r="A228">
        <v>40805481</v>
      </c>
      <c r="B228" t="s">
        <v>3985</v>
      </c>
      <c r="C228" t="s">
        <v>3986</v>
      </c>
      <c r="D228" t="s">
        <v>3500</v>
      </c>
      <c r="E228" s="9">
        <v>45338</v>
      </c>
      <c r="G228" t="s">
        <v>45</v>
      </c>
      <c r="H228" t="s">
        <v>81</v>
      </c>
      <c r="J228" t="s">
        <v>117</v>
      </c>
      <c r="K228" t="s">
        <v>48</v>
      </c>
      <c r="L228" t="s">
        <v>37</v>
      </c>
      <c r="M228" t="s">
        <v>50</v>
      </c>
      <c r="O228" t="s">
        <v>39</v>
      </c>
      <c r="P228" t="s">
        <v>39</v>
      </c>
      <c r="Q228" t="s">
        <v>39</v>
      </c>
      <c r="R228" t="s">
        <v>41</v>
      </c>
      <c r="S228" t="s">
        <v>40</v>
      </c>
      <c r="T228" t="s">
        <v>41</v>
      </c>
      <c r="U228" t="s">
        <v>39</v>
      </c>
      <c r="V228" t="s">
        <v>39</v>
      </c>
      <c r="W228" t="s">
        <v>40</v>
      </c>
      <c r="AB228" t="s">
        <v>3987</v>
      </c>
    </row>
    <row r="229" spans="1:29" x14ac:dyDescent="0.2">
      <c r="A229">
        <v>40805542</v>
      </c>
      <c r="B229" t="s">
        <v>3988</v>
      </c>
      <c r="C229" t="s">
        <v>3989</v>
      </c>
      <c r="D229" t="s">
        <v>3500</v>
      </c>
      <c r="E229" s="9">
        <v>45338</v>
      </c>
      <c r="G229" t="s">
        <v>45</v>
      </c>
      <c r="H229" t="s">
        <v>3565</v>
      </c>
      <c r="J229" t="s">
        <v>154</v>
      </c>
      <c r="K229" t="s">
        <v>48</v>
      </c>
      <c r="L229" t="s">
        <v>37</v>
      </c>
      <c r="M229" t="s">
        <v>50</v>
      </c>
      <c r="O229" t="s">
        <v>39</v>
      </c>
      <c r="P229" t="s">
        <v>39</v>
      </c>
      <c r="Q229" t="s">
        <v>39</v>
      </c>
      <c r="R229" t="s">
        <v>41</v>
      </c>
      <c r="S229" t="s">
        <v>40</v>
      </c>
      <c r="T229" t="s">
        <v>41</v>
      </c>
      <c r="U229" t="s">
        <v>39</v>
      </c>
      <c r="V229" t="s">
        <v>39</v>
      </c>
      <c r="W229" t="s">
        <v>40</v>
      </c>
      <c r="AB229" t="s">
        <v>3990</v>
      </c>
    </row>
    <row r="230" spans="1:29" x14ac:dyDescent="0.2">
      <c r="A230">
        <v>40805187</v>
      </c>
      <c r="B230" t="s">
        <v>3991</v>
      </c>
      <c r="C230" t="s">
        <v>3992</v>
      </c>
      <c r="D230" t="s">
        <v>3500</v>
      </c>
      <c r="E230" s="9">
        <v>45338</v>
      </c>
      <c r="G230" t="s">
        <v>45</v>
      </c>
      <c r="H230" t="s">
        <v>3966</v>
      </c>
      <c r="J230" t="s">
        <v>154</v>
      </c>
      <c r="K230" t="s">
        <v>36</v>
      </c>
      <c r="L230" t="s">
        <v>386</v>
      </c>
      <c r="M230" t="s">
        <v>74</v>
      </c>
      <c r="O230" t="s">
        <v>39</v>
      </c>
      <c r="P230" t="s">
        <v>41</v>
      </c>
      <c r="Q230" t="s">
        <v>41</v>
      </c>
      <c r="R230" t="s">
        <v>41</v>
      </c>
      <c r="S230" t="s">
        <v>40</v>
      </c>
      <c r="T230" t="s">
        <v>41</v>
      </c>
      <c r="U230" t="s">
        <v>39</v>
      </c>
      <c r="V230" t="s">
        <v>39</v>
      </c>
      <c r="W230" t="s">
        <v>40</v>
      </c>
      <c r="AB230" t="s">
        <v>3993</v>
      </c>
    </row>
    <row r="231" spans="1:29" x14ac:dyDescent="0.2">
      <c r="A231">
        <v>40805238</v>
      </c>
      <c r="B231" t="s">
        <v>3994</v>
      </c>
      <c r="C231" t="s">
        <v>3995</v>
      </c>
      <c r="D231" t="s">
        <v>3500</v>
      </c>
      <c r="E231" s="9">
        <v>45338</v>
      </c>
      <c r="G231" t="s">
        <v>45</v>
      </c>
      <c r="H231" t="s">
        <v>96</v>
      </c>
      <c r="J231" t="s">
        <v>254</v>
      </c>
      <c r="K231" t="s">
        <v>48</v>
      </c>
      <c r="L231" t="s">
        <v>49</v>
      </c>
      <c r="M231" t="s">
        <v>50</v>
      </c>
      <c r="O231" t="s">
        <v>39</v>
      </c>
      <c r="P231" t="s">
        <v>39</v>
      </c>
      <c r="Q231" t="s">
        <v>39</v>
      </c>
      <c r="R231" t="s">
        <v>41</v>
      </c>
      <c r="S231" t="s">
        <v>40</v>
      </c>
      <c r="T231" t="s">
        <v>41</v>
      </c>
      <c r="U231" t="s">
        <v>39</v>
      </c>
      <c r="V231" t="s">
        <v>39</v>
      </c>
      <c r="W231" t="s">
        <v>40</v>
      </c>
      <c r="AB231" t="s">
        <v>3996</v>
      </c>
    </row>
    <row r="232" spans="1:29" x14ac:dyDescent="0.2">
      <c r="A232">
        <v>40805255</v>
      </c>
      <c r="B232" t="s">
        <v>3997</v>
      </c>
      <c r="C232" t="s">
        <v>3998</v>
      </c>
      <c r="D232" t="s">
        <v>3500</v>
      </c>
      <c r="E232" s="9">
        <v>45338</v>
      </c>
      <c r="G232" t="s">
        <v>45</v>
      </c>
      <c r="H232" t="s">
        <v>3999</v>
      </c>
      <c r="J232" t="s">
        <v>254</v>
      </c>
      <c r="K232" t="s">
        <v>48</v>
      </c>
      <c r="L232" t="s">
        <v>37</v>
      </c>
      <c r="M232" t="s">
        <v>50</v>
      </c>
      <c r="O232" t="s">
        <v>39</v>
      </c>
      <c r="P232" t="s">
        <v>39</v>
      </c>
      <c r="Q232" t="s">
        <v>39</v>
      </c>
      <c r="R232" t="s">
        <v>41</v>
      </c>
      <c r="S232" t="s">
        <v>40</v>
      </c>
      <c r="T232" t="s">
        <v>41</v>
      </c>
      <c r="U232" t="s">
        <v>39</v>
      </c>
      <c r="V232" t="s">
        <v>39</v>
      </c>
      <c r="W232" t="s">
        <v>40</v>
      </c>
      <c r="AB232" t="s">
        <v>4000</v>
      </c>
    </row>
    <row r="233" spans="1:29" x14ac:dyDescent="0.2">
      <c r="A233">
        <v>40881303</v>
      </c>
      <c r="B233" t="s">
        <v>4001</v>
      </c>
      <c r="C233" t="s">
        <v>4002</v>
      </c>
      <c r="D233" t="s">
        <v>3500</v>
      </c>
      <c r="E233" s="9">
        <v>45348</v>
      </c>
      <c r="G233" t="s">
        <v>45</v>
      </c>
      <c r="H233" t="s">
        <v>81</v>
      </c>
      <c r="J233" t="s">
        <v>138</v>
      </c>
      <c r="K233" t="s">
        <v>36</v>
      </c>
      <c r="L233" t="s">
        <v>386</v>
      </c>
      <c r="M233" t="s">
        <v>289</v>
      </c>
      <c r="O233" t="s">
        <v>39</v>
      </c>
      <c r="P233" t="s">
        <v>39</v>
      </c>
      <c r="Q233" t="s">
        <v>39</v>
      </c>
      <c r="R233" t="s">
        <v>41</v>
      </c>
      <c r="S233" t="s">
        <v>40</v>
      </c>
      <c r="T233" t="s">
        <v>41</v>
      </c>
      <c r="U233" t="s">
        <v>39</v>
      </c>
      <c r="V233" t="s">
        <v>39</v>
      </c>
      <c r="W233" t="s">
        <v>40</v>
      </c>
      <c r="AB233" t="s">
        <v>4003</v>
      </c>
    </row>
    <row r="234" spans="1:29" x14ac:dyDescent="0.2">
      <c r="A234">
        <v>40881299</v>
      </c>
      <c r="B234" t="s">
        <v>4004</v>
      </c>
      <c r="C234" t="s">
        <v>3742</v>
      </c>
      <c r="D234" t="s">
        <v>3500</v>
      </c>
      <c r="E234" s="9">
        <v>45348</v>
      </c>
      <c r="G234" t="s">
        <v>45</v>
      </c>
      <c r="H234" t="s">
        <v>81</v>
      </c>
      <c r="J234" t="s">
        <v>82</v>
      </c>
      <c r="K234" t="s">
        <v>36</v>
      </c>
      <c r="L234" t="s">
        <v>386</v>
      </c>
      <c r="M234" t="s">
        <v>289</v>
      </c>
      <c r="O234" t="s">
        <v>39</v>
      </c>
      <c r="P234" t="s">
        <v>39</v>
      </c>
      <c r="Q234" t="s">
        <v>39</v>
      </c>
      <c r="R234" t="s">
        <v>41</v>
      </c>
      <c r="S234" t="s">
        <v>40</v>
      </c>
      <c r="T234" t="s">
        <v>41</v>
      </c>
      <c r="U234" t="s">
        <v>39</v>
      </c>
      <c r="V234" t="s">
        <v>39</v>
      </c>
      <c r="W234" t="s">
        <v>40</v>
      </c>
      <c r="AB234" t="s">
        <v>4005</v>
      </c>
    </row>
    <row r="235" spans="1:29" x14ac:dyDescent="0.2">
      <c r="A235">
        <v>40880876</v>
      </c>
      <c r="B235" t="s">
        <v>4006</v>
      </c>
      <c r="C235" t="s">
        <v>4007</v>
      </c>
      <c r="D235" t="s">
        <v>3500</v>
      </c>
      <c r="E235" s="9">
        <v>45348</v>
      </c>
      <c r="G235" t="s">
        <v>45</v>
      </c>
      <c r="H235" t="s">
        <v>4008</v>
      </c>
      <c r="J235" t="s">
        <v>54</v>
      </c>
      <c r="K235" t="s">
        <v>48</v>
      </c>
      <c r="L235" t="s">
        <v>37</v>
      </c>
      <c r="M235" t="s">
        <v>50</v>
      </c>
      <c r="O235" t="s">
        <v>39</v>
      </c>
      <c r="P235" t="s">
        <v>39</v>
      </c>
      <c r="Q235" t="s">
        <v>39</v>
      </c>
      <c r="R235" t="s">
        <v>41</v>
      </c>
      <c r="S235" t="s">
        <v>40</v>
      </c>
      <c r="T235" t="s">
        <v>41</v>
      </c>
      <c r="U235" t="s">
        <v>39</v>
      </c>
      <c r="V235" t="s">
        <v>39</v>
      </c>
      <c r="W235" t="s">
        <v>40</v>
      </c>
      <c r="AB235" t="s">
        <v>4009</v>
      </c>
    </row>
    <row r="236" spans="1:29" x14ac:dyDescent="0.2">
      <c r="A236">
        <v>40880492</v>
      </c>
      <c r="B236" t="s">
        <v>4010</v>
      </c>
      <c r="C236" t="s">
        <v>4011</v>
      </c>
      <c r="D236" t="s">
        <v>3500</v>
      </c>
      <c r="E236" s="9">
        <v>45348</v>
      </c>
      <c r="G236" t="s">
        <v>45</v>
      </c>
      <c r="H236" t="s">
        <v>96</v>
      </c>
      <c r="J236" t="s">
        <v>254</v>
      </c>
      <c r="K236" t="s">
        <v>48</v>
      </c>
      <c r="L236" t="s">
        <v>37</v>
      </c>
      <c r="M236" t="s">
        <v>50</v>
      </c>
      <c r="O236" t="s">
        <v>39</v>
      </c>
      <c r="P236" t="s">
        <v>39</v>
      </c>
      <c r="Q236" t="s">
        <v>39</v>
      </c>
      <c r="R236" t="s">
        <v>41</v>
      </c>
      <c r="S236" t="s">
        <v>40</v>
      </c>
      <c r="T236" t="s">
        <v>41</v>
      </c>
      <c r="U236" t="s">
        <v>39</v>
      </c>
      <c r="V236" t="s">
        <v>39</v>
      </c>
      <c r="W236" t="s">
        <v>40</v>
      </c>
      <c r="AB236" t="s">
        <v>4012</v>
      </c>
    </row>
    <row r="237" spans="1:29" x14ac:dyDescent="0.2">
      <c r="A237">
        <v>40881034</v>
      </c>
      <c r="B237" t="s">
        <v>4013</v>
      </c>
      <c r="C237" t="s">
        <v>4014</v>
      </c>
      <c r="D237" t="s">
        <v>3500</v>
      </c>
      <c r="E237" s="9">
        <v>45348</v>
      </c>
      <c r="G237" t="s">
        <v>45</v>
      </c>
      <c r="H237" t="s">
        <v>3565</v>
      </c>
      <c r="J237" t="s">
        <v>65</v>
      </c>
      <c r="K237" t="s">
        <v>36</v>
      </c>
      <c r="L237" t="s">
        <v>49</v>
      </c>
      <c r="M237" t="s">
        <v>50</v>
      </c>
      <c r="O237" t="s">
        <v>39</v>
      </c>
      <c r="P237" t="s">
        <v>39</v>
      </c>
      <c r="Q237" t="s">
        <v>39</v>
      </c>
      <c r="R237" t="s">
        <v>41</v>
      </c>
      <c r="S237" t="s">
        <v>40</v>
      </c>
      <c r="T237" t="s">
        <v>41</v>
      </c>
      <c r="U237" t="s">
        <v>39</v>
      </c>
      <c r="V237" t="s">
        <v>39</v>
      </c>
      <c r="W237" t="s">
        <v>40</v>
      </c>
      <c r="AB237" t="s">
        <v>4015</v>
      </c>
    </row>
    <row r="238" spans="1:29" x14ac:dyDescent="0.2">
      <c r="A238">
        <v>40880994</v>
      </c>
      <c r="B238" t="s">
        <v>4016</v>
      </c>
      <c r="C238" t="s">
        <v>4017</v>
      </c>
      <c r="D238" t="s">
        <v>3500</v>
      </c>
      <c r="E238" s="9">
        <v>45348</v>
      </c>
      <c r="G238" t="s">
        <v>45</v>
      </c>
      <c r="H238" t="s">
        <v>80</v>
      </c>
      <c r="J238" t="s">
        <v>47</v>
      </c>
      <c r="K238" t="s">
        <v>36</v>
      </c>
      <c r="L238" t="s">
        <v>37</v>
      </c>
      <c r="M238" t="s">
        <v>50</v>
      </c>
      <c r="O238" t="s">
        <v>39</v>
      </c>
      <c r="P238" t="s">
        <v>39</v>
      </c>
      <c r="Q238" t="s">
        <v>39</v>
      </c>
      <c r="R238" t="s">
        <v>41</v>
      </c>
      <c r="S238" t="s">
        <v>40</v>
      </c>
      <c r="T238" t="s">
        <v>41</v>
      </c>
      <c r="U238" t="s">
        <v>39</v>
      </c>
      <c r="V238" t="s">
        <v>39</v>
      </c>
      <c r="W238" t="s">
        <v>40</v>
      </c>
      <c r="AB238" t="s">
        <v>4018</v>
      </c>
    </row>
    <row r="239" spans="1:29" x14ac:dyDescent="0.2">
      <c r="A239">
        <v>40962218</v>
      </c>
      <c r="B239" t="s">
        <v>4019</v>
      </c>
      <c r="C239" t="s">
        <v>4020</v>
      </c>
      <c r="D239" t="s">
        <v>3500</v>
      </c>
      <c r="E239" s="9">
        <v>45359</v>
      </c>
      <c r="G239" t="s">
        <v>45</v>
      </c>
      <c r="H239" t="s">
        <v>81</v>
      </c>
      <c r="J239" t="s">
        <v>60</v>
      </c>
      <c r="K239" t="s">
        <v>48</v>
      </c>
      <c r="L239" t="s">
        <v>49</v>
      </c>
      <c r="M239" t="s">
        <v>50</v>
      </c>
      <c r="O239" t="s">
        <v>39</v>
      </c>
      <c r="P239" t="s">
        <v>39</v>
      </c>
      <c r="Q239" t="s">
        <v>39</v>
      </c>
      <c r="R239" t="s">
        <v>41</v>
      </c>
      <c r="S239" t="s">
        <v>40</v>
      </c>
      <c r="T239" t="s">
        <v>41</v>
      </c>
      <c r="U239" t="s">
        <v>39</v>
      </c>
      <c r="V239" t="s">
        <v>39</v>
      </c>
      <c r="W239" t="s">
        <v>40</v>
      </c>
      <c r="AB239" t="s">
        <v>4021</v>
      </c>
    </row>
    <row r="240" spans="1:29" x14ac:dyDescent="0.2">
      <c r="A240">
        <v>41095863</v>
      </c>
      <c r="B240" t="s">
        <v>3887</v>
      </c>
      <c r="C240" t="s">
        <v>3888</v>
      </c>
      <c r="D240" t="s">
        <v>3500</v>
      </c>
      <c r="E240" s="9">
        <v>45377</v>
      </c>
      <c r="G240" t="s">
        <v>45</v>
      </c>
      <c r="H240" t="s">
        <v>81</v>
      </c>
      <c r="J240" t="s">
        <v>47</v>
      </c>
      <c r="K240" t="s">
        <v>36</v>
      </c>
      <c r="L240" t="s">
        <v>49</v>
      </c>
      <c r="M240" t="s">
        <v>74</v>
      </c>
      <c r="O240" t="s">
        <v>39</v>
      </c>
      <c r="P240" t="s">
        <v>39</v>
      </c>
      <c r="Q240" t="s">
        <v>39</v>
      </c>
      <c r="R240" t="s">
        <v>41</v>
      </c>
      <c r="S240" t="s">
        <v>40</v>
      </c>
      <c r="T240" t="s">
        <v>41</v>
      </c>
      <c r="U240" t="s">
        <v>39</v>
      </c>
      <c r="V240" t="s">
        <v>39</v>
      </c>
      <c r="W240" t="s">
        <v>40</v>
      </c>
      <c r="X240" t="s">
        <v>4022</v>
      </c>
      <c r="AB240" t="s">
        <v>4023</v>
      </c>
      <c r="AC240" t="s">
        <v>4024</v>
      </c>
    </row>
    <row r="241" spans="1:30" x14ac:dyDescent="0.2">
      <c r="A241">
        <v>41095787</v>
      </c>
      <c r="B241" t="s">
        <v>4025</v>
      </c>
      <c r="C241" t="s">
        <v>1173</v>
      </c>
      <c r="D241" t="s">
        <v>3500</v>
      </c>
      <c r="E241" s="9">
        <v>45377</v>
      </c>
      <c r="G241" t="s">
        <v>45</v>
      </c>
      <c r="H241" t="s">
        <v>96</v>
      </c>
      <c r="J241" t="s">
        <v>73</v>
      </c>
      <c r="K241" t="s">
        <v>48</v>
      </c>
      <c r="L241" t="s">
        <v>49</v>
      </c>
      <c r="M241" t="s">
        <v>50</v>
      </c>
      <c r="O241" t="s">
        <v>39</v>
      </c>
      <c r="P241" t="s">
        <v>39</v>
      </c>
      <c r="Q241" t="s">
        <v>39</v>
      </c>
      <c r="R241" t="s">
        <v>41</v>
      </c>
      <c r="S241" t="s">
        <v>40</v>
      </c>
      <c r="T241" t="s">
        <v>41</v>
      </c>
      <c r="U241" t="s">
        <v>39</v>
      </c>
      <c r="V241" t="s">
        <v>39</v>
      </c>
      <c r="W241" t="s">
        <v>40</v>
      </c>
      <c r="X241" t="s">
        <v>4026</v>
      </c>
      <c r="AB241" t="s">
        <v>4027</v>
      </c>
      <c r="AC241" t="s">
        <v>4028</v>
      </c>
    </row>
    <row r="242" spans="1:30" x14ac:dyDescent="0.2">
      <c r="A242">
        <v>41095582</v>
      </c>
      <c r="B242" t="s">
        <v>3892</v>
      </c>
      <c r="C242" t="s">
        <v>3210</v>
      </c>
      <c r="D242" t="s">
        <v>3500</v>
      </c>
      <c r="E242" s="9">
        <v>45377</v>
      </c>
      <c r="G242" t="s">
        <v>45</v>
      </c>
      <c r="H242" t="s">
        <v>81</v>
      </c>
      <c r="J242" t="s">
        <v>154</v>
      </c>
      <c r="K242" t="s">
        <v>48</v>
      </c>
      <c r="L242" t="s">
        <v>37</v>
      </c>
      <c r="M242" t="s">
        <v>50</v>
      </c>
      <c r="O242" t="s">
        <v>39</v>
      </c>
      <c r="P242" t="s">
        <v>39</v>
      </c>
      <c r="Q242" t="s">
        <v>39</v>
      </c>
      <c r="R242" t="s">
        <v>41</v>
      </c>
      <c r="S242" t="s">
        <v>40</v>
      </c>
      <c r="T242" t="s">
        <v>41</v>
      </c>
      <c r="U242" t="s">
        <v>39</v>
      </c>
      <c r="V242" t="s">
        <v>39</v>
      </c>
      <c r="W242" t="s">
        <v>40</v>
      </c>
      <c r="AB242" t="s">
        <v>4029</v>
      </c>
    </row>
    <row r="243" spans="1:30" x14ac:dyDescent="0.2">
      <c r="A243">
        <v>41095742</v>
      </c>
      <c r="B243" t="s">
        <v>4030</v>
      </c>
      <c r="C243" t="s">
        <v>4031</v>
      </c>
      <c r="D243" t="s">
        <v>3500</v>
      </c>
      <c r="E243" s="9">
        <v>45377</v>
      </c>
      <c r="G243" t="s">
        <v>45</v>
      </c>
      <c r="H243" t="s">
        <v>96</v>
      </c>
      <c r="J243" t="s">
        <v>254</v>
      </c>
      <c r="K243" t="s">
        <v>48</v>
      </c>
      <c r="L243" t="s">
        <v>37</v>
      </c>
      <c r="M243" t="s">
        <v>50</v>
      </c>
      <c r="O243" t="s">
        <v>39</v>
      </c>
      <c r="P243" t="s">
        <v>39</v>
      </c>
      <c r="Q243" t="s">
        <v>39</v>
      </c>
      <c r="R243" t="s">
        <v>41</v>
      </c>
      <c r="S243" t="s">
        <v>40</v>
      </c>
      <c r="T243" t="s">
        <v>41</v>
      </c>
      <c r="U243" t="s">
        <v>39</v>
      </c>
      <c r="V243" t="s">
        <v>39</v>
      </c>
      <c r="W243" t="s">
        <v>40</v>
      </c>
      <c r="X243" t="s">
        <v>4032</v>
      </c>
      <c r="AB243" t="s">
        <v>4033</v>
      </c>
      <c r="AC243" t="s">
        <v>4034</v>
      </c>
      <c r="AD243" t="s">
        <v>4035</v>
      </c>
    </row>
    <row r="244" spans="1:30" x14ac:dyDescent="0.2">
      <c r="A244">
        <v>41095822</v>
      </c>
      <c r="B244" t="s">
        <v>4036</v>
      </c>
      <c r="C244" t="s">
        <v>4037</v>
      </c>
      <c r="D244" t="s">
        <v>3500</v>
      </c>
      <c r="E244" s="9">
        <v>45377</v>
      </c>
      <c r="G244" t="s">
        <v>45</v>
      </c>
      <c r="H244" t="s">
        <v>429</v>
      </c>
      <c r="J244" t="s">
        <v>4038</v>
      </c>
      <c r="K244" t="s">
        <v>48</v>
      </c>
      <c r="L244" t="s">
        <v>49</v>
      </c>
      <c r="M244" t="s">
        <v>50</v>
      </c>
      <c r="O244" t="s">
        <v>39</v>
      </c>
      <c r="P244" t="s">
        <v>39</v>
      </c>
      <c r="Q244" t="s">
        <v>39</v>
      </c>
      <c r="R244" t="s">
        <v>41</v>
      </c>
      <c r="S244" t="s">
        <v>40</v>
      </c>
      <c r="T244" t="s">
        <v>41</v>
      </c>
      <c r="U244" t="s">
        <v>39</v>
      </c>
      <c r="V244" t="s">
        <v>39</v>
      </c>
      <c r="W244" t="s">
        <v>40</v>
      </c>
      <c r="X244" t="s">
        <v>4039</v>
      </c>
      <c r="AB244" t="s">
        <v>4040</v>
      </c>
      <c r="AC244" t="s">
        <v>4041</v>
      </c>
      <c r="AD244" t="s">
        <v>4042</v>
      </c>
    </row>
    <row r="245" spans="1:30" x14ac:dyDescent="0.2">
      <c r="A245">
        <v>41095807</v>
      </c>
      <c r="B245" t="s">
        <v>3902</v>
      </c>
      <c r="C245" t="s">
        <v>3903</v>
      </c>
      <c r="D245" t="s">
        <v>3500</v>
      </c>
      <c r="E245" s="9">
        <v>45377</v>
      </c>
      <c r="G245" t="s">
        <v>45</v>
      </c>
      <c r="H245" t="s">
        <v>96</v>
      </c>
      <c r="J245" t="s">
        <v>254</v>
      </c>
      <c r="K245" t="s">
        <v>48</v>
      </c>
      <c r="L245" t="s">
        <v>37</v>
      </c>
      <c r="M245" t="s">
        <v>50</v>
      </c>
      <c r="O245" t="s">
        <v>39</v>
      </c>
      <c r="P245" t="s">
        <v>39</v>
      </c>
      <c r="Q245" t="s">
        <v>39</v>
      </c>
      <c r="R245" t="s">
        <v>41</v>
      </c>
      <c r="S245" t="s">
        <v>40</v>
      </c>
      <c r="T245" t="s">
        <v>41</v>
      </c>
      <c r="U245" t="s">
        <v>39</v>
      </c>
      <c r="V245" t="s">
        <v>39</v>
      </c>
      <c r="W245" t="s">
        <v>40</v>
      </c>
      <c r="AB245" t="s">
        <v>4043</v>
      </c>
      <c r="AC245" t="s">
        <v>4044</v>
      </c>
    </row>
    <row r="246" spans="1:30" x14ac:dyDescent="0.2">
      <c r="A246">
        <v>41095588</v>
      </c>
      <c r="B246" t="s">
        <v>3979</v>
      </c>
      <c r="C246" t="s">
        <v>3980</v>
      </c>
      <c r="D246" t="s">
        <v>3500</v>
      </c>
      <c r="E246" s="9">
        <v>45377</v>
      </c>
      <c r="G246" t="s">
        <v>45</v>
      </c>
      <c r="H246" t="s">
        <v>132</v>
      </c>
      <c r="J246" t="s">
        <v>138</v>
      </c>
      <c r="K246" t="s">
        <v>48</v>
      </c>
      <c r="L246" t="s">
        <v>49</v>
      </c>
      <c r="M246" t="s">
        <v>50</v>
      </c>
      <c r="O246" t="s">
        <v>39</v>
      </c>
      <c r="P246" t="s">
        <v>39</v>
      </c>
      <c r="Q246" t="s">
        <v>39</v>
      </c>
      <c r="R246" t="s">
        <v>41</v>
      </c>
      <c r="S246" t="s">
        <v>40</v>
      </c>
      <c r="T246" t="s">
        <v>41</v>
      </c>
      <c r="U246" t="s">
        <v>39</v>
      </c>
      <c r="V246" t="s">
        <v>39</v>
      </c>
      <c r="W246" t="s">
        <v>40</v>
      </c>
      <c r="X246" t="s">
        <v>4045</v>
      </c>
      <c r="AB246" t="s">
        <v>4046</v>
      </c>
      <c r="AC246" t="s">
        <v>4047</v>
      </c>
    </row>
    <row r="247" spans="1:30" x14ac:dyDescent="0.2">
      <c r="A247">
        <v>41095804</v>
      </c>
      <c r="B247" t="s">
        <v>4048</v>
      </c>
      <c r="C247" t="s">
        <v>4049</v>
      </c>
      <c r="D247" t="s">
        <v>3505</v>
      </c>
      <c r="E247" s="9">
        <v>45377</v>
      </c>
      <c r="F247" s="9">
        <v>45420</v>
      </c>
      <c r="G247" t="s">
        <v>45</v>
      </c>
      <c r="H247" t="s">
        <v>96</v>
      </c>
      <c r="J247" t="s">
        <v>254</v>
      </c>
      <c r="K247" t="s">
        <v>36</v>
      </c>
      <c r="L247" t="s">
        <v>49</v>
      </c>
      <c r="M247" t="s">
        <v>50</v>
      </c>
      <c r="O247" t="s">
        <v>39</v>
      </c>
      <c r="P247" t="s">
        <v>39</v>
      </c>
      <c r="Q247" t="s">
        <v>39</v>
      </c>
      <c r="R247" t="s">
        <v>41</v>
      </c>
      <c r="S247" t="s">
        <v>40</v>
      </c>
      <c r="T247" t="s">
        <v>41</v>
      </c>
      <c r="U247" t="s">
        <v>39</v>
      </c>
      <c r="V247" t="s">
        <v>39</v>
      </c>
      <c r="W247" t="s">
        <v>40</v>
      </c>
      <c r="AB247" t="s">
        <v>4050</v>
      </c>
      <c r="AC247" t="s">
        <v>4051</v>
      </c>
    </row>
    <row r="248" spans="1:30" x14ac:dyDescent="0.2">
      <c r="A248">
        <v>41095781</v>
      </c>
      <c r="B248" t="s">
        <v>3985</v>
      </c>
      <c r="C248" t="s">
        <v>3986</v>
      </c>
      <c r="D248" t="s">
        <v>3500</v>
      </c>
      <c r="E248" s="9">
        <v>45377</v>
      </c>
      <c r="G248" t="s">
        <v>45</v>
      </c>
      <c r="H248" t="s">
        <v>81</v>
      </c>
      <c r="J248" t="s">
        <v>117</v>
      </c>
      <c r="K248" t="s">
        <v>48</v>
      </c>
      <c r="L248" t="s">
        <v>37</v>
      </c>
      <c r="M248" t="s">
        <v>50</v>
      </c>
      <c r="O248" t="s">
        <v>39</v>
      </c>
      <c r="P248" t="s">
        <v>39</v>
      </c>
      <c r="Q248" t="s">
        <v>39</v>
      </c>
      <c r="R248" t="s">
        <v>41</v>
      </c>
      <c r="S248" t="s">
        <v>40</v>
      </c>
      <c r="T248" t="s">
        <v>41</v>
      </c>
      <c r="U248" t="s">
        <v>39</v>
      </c>
      <c r="V248" t="s">
        <v>39</v>
      </c>
      <c r="W248" t="s">
        <v>40</v>
      </c>
      <c r="X248" t="s">
        <v>4052</v>
      </c>
      <c r="AB248" t="s">
        <v>4053</v>
      </c>
      <c r="AC248" t="s">
        <v>4054</v>
      </c>
    </row>
    <row r="249" spans="1:30" x14ac:dyDescent="0.2">
      <c r="A249">
        <v>41095866</v>
      </c>
      <c r="B249" t="s">
        <v>3923</v>
      </c>
      <c r="C249" t="s">
        <v>3924</v>
      </c>
      <c r="D249" t="s">
        <v>3500</v>
      </c>
      <c r="E249" s="9">
        <v>45377</v>
      </c>
      <c r="G249" t="s">
        <v>45</v>
      </c>
      <c r="H249" t="s">
        <v>81</v>
      </c>
      <c r="J249" t="s">
        <v>123</v>
      </c>
      <c r="K249" t="s">
        <v>36</v>
      </c>
      <c r="L249" t="s">
        <v>37</v>
      </c>
      <c r="M249" t="s">
        <v>50</v>
      </c>
      <c r="O249" t="s">
        <v>39</v>
      </c>
      <c r="P249" t="s">
        <v>39</v>
      </c>
      <c r="Q249" t="s">
        <v>39</v>
      </c>
      <c r="R249" t="s">
        <v>41</v>
      </c>
      <c r="S249" t="s">
        <v>40</v>
      </c>
      <c r="T249" t="s">
        <v>41</v>
      </c>
      <c r="U249" t="s">
        <v>39</v>
      </c>
      <c r="V249" t="s">
        <v>39</v>
      </c>
      <c r="W249" t="s">
        <v>40</v>
      </c>
      <c r="AB249" t="s">
        <v>4055</v>
      </c>
      <c r="AC249" t="s">
        <v>4056</v>
      </c>
    </row>
    <row r="250" spans="1:30" x14ac:dyDescent="0.2">
      <c r="A250">
        <v>41095858</v>
      </c>
      <c r="B250" t="s">
        <v>3926</v>
      </c>
      <c r="C250" t="s">
        <v>3927</v>
      </c>
      <c r="D250" t="s">
        <v>3500</v>
      </c>
      <c r="E250" s="9">
        <v>45377</v>
      </c>
      <c r="G250" t="s">
        <v>45</v>
      </c>
      <c r="H250" t="s">
        <v>81</v>
      </c>
      <c r="J250" t="s">
        <v>112</v>
      </c>
      <c r="K250" t="s">
        <v>48</v>
      </c>
      <c r="L250" t="s">
        <v>37</v>
      </c>
      <c r="M250" t="s">
        <v>50</v>
      </c>
      <c r="O250" t="s">
        <v>39</v>
      </c>
      <c r="P250" t="s">
        <v>39</v>
      </c>
      <c r="Q250" t="s">
        <v>39</v>
      </c>
      <c r="R250" t="s">
        <v>41</v>
      </c>
      <c r="S250" t="s">
        <v>40</v>
      </c>
      <c r="T250" t="s">
        <v>41</v>
      </c>
      <c r="U250" t="s">
        <v>39</v>
      </c>
      <c r="V250" t="s">
        <v>39</v>
      </c>
      <c r="W250" t="s">
        <v>40</v>
      </c>
      <c r="AB250" t="s">
        <v>4057</v>
      </c>
      <c r="AC250" t="s">
        <v>4058</v>
      </c>
    </row>
    <row r="251" spans="1:30" x14ac:dyDescent="0.2">
      <c r="A251">
        <v>41095806</v>
      </c>
      <c r="B251" t="s">
        <v>3943</v>
      </c>
      <c r="C251" t="s">
        <v>3944</v>
      </c>
      <c r="D251" t="s">
        <v>3500</v>
      </c>
      <c r="E251" s="9">
        <v>45377</v>
      </c>
      <c r="G251" t="s">
        <v>45</v>
      </c>
      <c r="H251" t="s">
        <v>96</v>
      </c>
      <c r="J251" t="s">
        <v>117</v>
      </c>
      <c r="K251" t="s">
        <v>48</v>
      </c>
      <c r="L251" t="s">
        <v>37</v>
      </c>
      <c r="M251" t="s">
        <v>50</v>
      </c>
      <c r="O251" t="s">
        <v>39</v>
      </c>
      <c r="P251" t="s">
        <v>39</v>
      </c>
      <c r="Q251" t="s">
        <v>39</v>
      </c>
      <c r="R251" t="s">
        <v>41</v>
      </c>
      <c r="S251" t="s">
        <v>40</v>
      </c>
      <c r="T251" t="s">
        <v>41</v>
      </c>
      <c r="U251" t="s">
        <v>39</v>
      </c>
      <c r="V251" t="s">
        <v>39</v>
      </c>
      <c r="W251" t="s">
        <v>40</v>
      </c>
      <c r="AB251" t="s">
        <v>4059</v>
      </c>
      <c r="AC251" t="s">
        <v>4060</v>
      </c>
    </row>
    <row r="252" spans="1:30" x14ac:dyDescent="0.2">
      <c r="A252">
        <v>41095768</v>
      </c>
      <c r="B252" t="s">
        <v>4061</v>
      </c>
      <c r="C252" t="s">
        <v>4062</v>
      </c>
      <c r="D252" t="s">
        <v>3505</v>
      </c>
      <c r="E252" s="9">
        <v>45377</v>
      </c>
      <c r="F252" s="9">
        <v>45405</v>
      </c>
      <c r="G252" t="s">
        <v>45</v>
      </c>
      <c r="H252" t="s">
        <v>96</v>
      </c>
      <c r="J252" t="s">
        <v>254</v>
      </c>
      <c r="K252" t="s">
        <v>36</v>
      </c>
      <c r="L252" t="s">
        <v>37</v>
      </c>
      <c r="M252" t="s">
        <v>50</v>
      </c>
      <c r="O252" t="s">
        <v>39</v>
      </c>
      <c r="P252" t="s">
        <v>39</v>
      </c>
      <c r="Q252" t="s">
        <v>39</v>
      </c>
      <c r="R252" t="s">
        <v>41</v>
      </c>
      <c r="S252" t="s">
        <v>40</v>
      </c>
      <c r="T252" t="s">
        <v>41</v>
      </c>
      <c r="U252" t="s">
        <v>39</v>
      </c>
      <c r="V252" t="s">
        <v>39</v>
      </c>
      <c r="W252" t="s">
        <v>40</v>
      </c>
      <c r="AB252" t="s">
        <v>4063</v>
      </c>
      <c r="AC252" t="s">
        <v>4064</v>
      </c>
    </row>
    <row r="253" spans="1:30" x14ac:dyDescent="0.2">
      <c r="A253">
        <v>41095558</v>
      </c>
      <c r="B253" t="s">
        <v>3994</v>
      </c>
      <c r="C253" t="s">
        <v>3995</v>
      </c>
      <c r="D253" t="s">
        <v>3500</v>
      </c>
      <c r="E253" s="9">
        <v>45377</v>
      </c>
      <c r="G253" t="s">
        <v>45</v>
      </c>
      <c r="H253" t="s">
        <v>96</v>
      </c>
      <c r="J253" t="s">
        <v>254</v>
      </c>
      <c r="K253" t="s">
        <v>48</v>
      </c>
      <c r="L253" t="s">
        <v>49</v>
      </c>
      <c r="M253" t="s">
        <v>50</v>
      </c>
      <c r="O253" t="s">
        <v>39</v>
      </c>
      <c r="P253" t="s">
        <v>39</v>
      </c>
      <c r="Q253" t="s">
        <v>39</v>
      </c>
      <c r="R253" t="s">
        <v>41</v>
      </c>
      <c r="S253" t="s">
        <v>40</v>
      </c>
      <c r="T253" t="s">
        <v>41</v>
      </c>
      <c r="U253" t="s">
        <v>39</v>
      </c>
      <c r="V253" t="s">
        <v>39</v>
      </c>
      <c r="W253" t="s">
        <v>40</v>
      </c>
      <c r="AB253" t="s">
        <v>4065</v>
      </c>
    </row>
    <row r="254" spans="1:30" x14ac:dyDescent="0.2">
      <c r="A254">
        <v>41095771</v>
      </c>
      <c r="B254" t="s">
        <v>4019</v>
      </c>
      <c r="C254" t="s">
        <v>4020</v>
      </c>
      <c r="D254" t="s">
        <v>3500</v>
      </c>
      <c r="E254" s="9">
        <v>45377</v>
      </c>
      <c r="G254" t="s">
        <v>45</v>
      </c>
      <c r="H254" t="s">
        <v>81</v>
      </c>
      <c r="J254" t="s">
        <v>254</v>
      </c>
      <c r="K254" t="s">
        <v>48</v>
      </c>
      <c r="L254" t="s">
        <v>37</v>
      </c>
      <c r="M254" t="s">
        <v>50</v>
      </c>
      <c r="O254" t="s">
        <v>39</v>
      </c>
      <c r="P254" t="s">
        <v>39</v>
      </c>
      <c r="Q254" t="s">
        <v>39</v>
      </c>
      <c r="R254" t="s">
        <v>41</v>
      </c>
      <c r="S254" t="s">
        <v>40</v>
      </c>
      <c r="T254" t="s">
        <v>41</v>
      </c>
      <c r="U254" t="s">
        <v>39</v>
      </c>
      <c r="V254" t="s">
        <v>39</v>
      </c>
      <c r="W254" t="s">
        <v>40</v>
      </c>
      <c r="AB254" t="s">
        <v>4066</v>
      </c>
      <c r="AC254" t="s">
        <v>4067</v>
      </c>
    </row>
    <row r="255" spans="1:30" x14ac:dyDescent="0.2">
      <c r="A255">
        <v>41109951</v>
      </c>
      <c r="B255" t="s">
        <v>4068</v>
      </c>
      <c r="C255" t="s">
        <v>4069</v>
      </c>
      <c r="D255" t="s">
        <v>3500</v>
      </c>
      <c r="E255" s="9">
        <v>45379</v>
      </c>
      <c r="G255" t="s">
        <v>45</v>
      </c>
      <c r="H255" t="s">
        <v>46</v>
      </c>
      <c r="J255" t="s">
        <v>154</v>
      </c>
      <c r="K255" t="s">
        <v>36</v>
      </c>
      <c r="L255" t="s">
        <v>37</v>
      </c>
      <c r="M255" t="s">
        <v>50</v>
      </c>
      <c r="O255" t="s">
        <v>39</v>
      </c>
      <c r="P255" t="s">
        <v>39</v>
      </c>
      <c r="Q255" t="s">
        <v>39</v>
      </c>
      <c r="R255" t="s">
        <v>41</v>
      </c>
      <c r="S255" t="s">
        <v>40</v>
      </c>
      <c r="T255" t="s">
        <v>41</v>
      </c>
      <c r="U255" t="s">
        <v>39</v>
      </c>
      <c r="V255" t="s">
        <v>39</v>
      </c>
      <c r="W255" t="s">
        <v>40</v>
      </c>
      <c r="X255" t="s">
        <v>4070</v>
      </c>
      <c r="AB255" t="s">
        <v>4071</v>
      </c>
      <c r="AC255" t="s">
        <v>4072</v>
      </c>
    </row>
    <row r="256" spans="1:30" x14ac:dyDescent="0.2">
      <c r="A256">
        <v>41109698</v>
      </c>
      <c r="B256" t="s">
        <v>4073</v>
      </c>
      <c r="C256" t="s">
        <v>4074</v>
      </c>
      <c r="D256" t="s">
        <v>3500</v>
      </c>
      <c r="E256" s="9">
        <v>45379</v>
      </c>
      <c r="G256" t="s">
        <v>45</v>
      </c>
      <c r="H256" t="s">
        <v>96</v>
      </c>
      <c r="J256" t="s">
        <v>2230</v>
      </c>
      <c r="K256" t="s">
        <v>48</v>
      </c>
      <c r="L256" t="s">
        <v>49</v>
      </c>
      <c r="M256" t="s">
        <v>50</v>
      </c>
      <c r="O256" t="s">
        <v>39</v>
      </c>
      <c r="P256" t="s">
        <v>39</v>
      </c>
      <c r="Q256" t="s">
        <v>39</v>
      </c>
      <c r="R256" t="s">
        <v>41</v>
      </c>
      <c r="S256" t="s">
        <v>40</v>
      </c>
      <c r="T256" t="s">
        <v>41</v>
      </c>
      <c r="U256" t="s">
        <v>39</v>
      </c>
      <c r="V256" t="s">
        <v>39</v>
      </c>
      <c r="W256" t="s">
        <v>40</v>
      </c>
      <c r="X256" t="s">
        <v>4075</v>
      </c>
      <c r="AB256" t="s">
        <v>4076</v>
      </c>
    </row>
    <row r="257" spans="1:31" x14ac:dyDescent="0.2">
      <c r="A257">
        <v>41109933</v>
      </c>
      <c r="B257" t="s">
        <v>4077</v>
      </c>
      <c r="C257" t="s">
        <v>4078</v>
      </c>
      <c r="D257" t="s">
        <v>3500</v>
      </c>
      <c r="E257" s="9">
        <v>45379</v>
      </c>
      <c r="G257" t="s">
        <v>45</v>
      </c>
      <c r="H257" t="s">
        <v>96</v>
      </c>
      <c r="J257" t="s">
        <v>69</v>
      </c>
      <c r="K257" t="s">
        <v>36</v>
      </c>
      <c r="L257" t="s">
        <v>37</v>
      </c>
      <c r="M257" t="s">
        <v>74</v>
      </c>
      <c r="O257" t="s">
        <v>39</v>
      </c>
      <c r="P257" t="s">
        <v>39</v>
      </c>
      <c r="Q257" t="s">
        <v>39</v>
      </c>
      <c r="R257" t="s">
        <v>41</v>
      </c>
      <c r="S257" t="s">
        <v>40</v>
      </c>
      <c r="T257" t="s">
        <v>41</v>
      </c>
      <c r="U257" t="s">
        <v>39</v>
      </c>
      <c r="V257" t="s">
        <v>39</v>
      </c>
      <c r="W257" t="s">
        <v>40</v>
      </c>
      <c r="X257" t="s">
        <v>4079</v>
      </c>
      <c r="AB257" t="s">
        <v>4080</v>
      </c>
    </row>
    <row r="258" spans="1:31" x14ac:dyDescent="0.2">
      <c r="A258">
        <v>41105973</v>
      </c>
      <c r="B258" t="s">
        <v>4081</v>
      </c>
      <c r="C258" t="s">
        <v>3421</v>
      </c>
      <c r="D258" t="s">
        <v>3500</v>
      </c>
      <c r="E258" s="9">
        <v>45379</v>
      </c>
      <c r="G258" t="s">
        <v>45</v>
      </c>
      <c r="H258" t="s">
        <v>96</v>
      </c>
      <c r="J258" t="s">
        <v>60</v>
      </c>
      <c r="K258" t="s">
        <v>48</v>
      </c>
      <c r="L258" t="s">
        <v>49</v>
      </c>
      <c r="M258" t="s">
        <v>50</v>
      </c>
      <c r="O258" t="s">
        <v>39</v>
      </c>
      <c r="P258" t="s">
        <v>39</v>
      </c>
      <c r="Q258" t="s">
        <v>39</v>
      </c>
      <c r="R258" t="s">
        <v>41</v>
      </c>
      <c r="S258" t="s">
        <v>40</v>
      </c>
      <c r="T258" t="s">
        <v>41</v>
      </c>
      <c r="U258" t="s">
        <v>39</v>
      </c>
      <c r="V258" t="s">
        <v>39</v>
      </c>
      <c r="W258" t="s">
        <v>40</v>
      </c>
      <c r="AB258" t="s">
        <v>4082</v>
      </c>
    </row>
    <row r="259" spans="1:31" x14ac:dyDescent="0.2">
      <c r="A259">
        <v>41110265</v>
      </c>
      <c r="B259" t="s">
        <v>4083</v>
      </c>
      <c r="C259" t="s">
        <v>4084</v>
      </c>
      <c r="D259" t="s">
        <v>3500</v>
      </c>
      <c r="E259" s="9">
        <v>45379</v>
      </c>
      <c r="G259" t="s">
        <v>45</v>
      </c>
      <c r="H259" t="s">
        <v>96</v>
      </c>
      <c r="J259" t="s">
        <v>117</v>
      </c>
      <c r="K259" t="s">
        <v>36</v>
      </c>
      <c r="L259" t="s">
        <v>49</v>
      </c>
      <c r="M259" t="s">
        <v>50</v>
      </c>
      <c r="O259" t="s">
        <v>39</v>
      </c>
      <c r="P259" t="s">
        <v>39</v>
      </c>
      <c r="Q259" t="s">
        <v>39</v>
      </c>
      <c r="R259" t="s">
        <v>41</v>
      </c>
      <c r="S259" t="s">
        <v>40</v>
      </c>
      <c r="T259" t="s">
        <v>41</v>
      </c>
      <c r="U259" t="s">
        <v>39</v>
      </c>
      <c r="V259" t="s">
        <v>39</v>
      </c>
      <c r="W259" t="s">
        <v>40</v>
      </c>
      <c r="AB259" t="s">
        <v>4085</v>
      </c>
    </row>
    <row r="260" spans="1:31" x14ac:dyDescent="0.2">
      <c r="A260">
        <v>41109688</v>
      </c>
      <c r="B260" t="s">
        <v>4086</v>
      </c>
      <c r="C260" t="s">
        <v>854</v>
      </c>
      <c r="D260" t="s">
        <v>3500</v>
      </c>
      <c r="E260" s="9">
        <v>45379</v>
      </c>
      <c r="G260" t="s">
        <v>45</v>
      </c>
      <c r="H260" t="s">
        <v>96</v>
      </c>
      <c r="J260" t="s">
        <v>1438</v>
      </c>
      <c r="K260" t="s">
        <v>36</v>
      </c>
      <c r="L260" t="s">
        <v>37</v>
      </c>
      <c r="M260" t="s">
        <v>50</v>
      </c>
      <c r="O260" t="s">
        <v>39</v>
      </c>
      <c r="P260" t="s">
        <v>39</v>
      </c>
      <c r="Q260" t="s">
        <v>39</v>
      </c>
      <c r="R260" t="s">
        <v>41</v>
      </c>
      <c r="S260" t="s">
        <v>40</v>
      </c>
      <c r="T260" t="s">
        <v>41</v>
      </c>
      <c r="U260" t="s">
        <v>39</v>
      </c>
      <c r="V260" t="s">
        <v>39</v>
      </c>
      <c r="W260" t="s">
        <v>40</v>
      </c>
      <c r="X260" t="s">
        <v>4087</v>
      </c>
      <c r="AB260" t="s">
        <v>4088</v>
      </c>
      <c r="AC260" t="s">
        <v>4089</v>
      </c>
    </row>
    <row r="261" spans="1:31" x14ac:dyDescent="0.2">
      <c r="A261">
        <v>41110279</v>
      </c>
      <c r="B261" t="s">
        <v>4090</v>
      </c>
      <c r="C261" t="s">
        <v>4091</v>
      </c>
      <c r="D261" t="s">
        <v>3505</v>
      </c>
      <c r="E261" s="9">
        <v>45379</v>
      </c>
      <c r="F261" s="9">
        <v>45405</v>
      </c>
      <c r="G261" t="s">
        <v>45</v>
      </c>
      <c r="H261" t="s">
        <v>46</v>
      </c>
      <c r="J261" t="s">
        <v>123</v>
      </c>
      <c r="K261" t="s">
        <v>36</v>
      </c>
      <c r="L261" t="s">
        <v>386</v>
      </c>
      <c r="M261" t="s">
        <v>50</v>
      </c>
      <c r="O261" t="s">
        <v>39</v>
      </c>
      <c r="P261" t="s">
        <v>39</v>
      </c>
      <c r="Q261" t="s">
        <v>39</v>
      </c>
      <c r="R261" t="s">
        <v>41</v>
      </c>
      <c r="S261" t="s">
        <v>40</v>
      </c>
      <c r="T261" t="s">
        <v>41</v>
      </c>
      <c r="U261" t="s">
        <v>39</v>
      </c>
      <c r="V261" t="s">
        <v>39</v>
      </c>
      <c r="W261" t="s">
        <v>40</v>
      </c>
      <c r="AB261" t="s">
        <v>4092</v>
      </c>
    </row>
    <row r="262" spans="1:31" x14ac:dyDescent="0.2">
      <c r="A262">
        <v>41110286</v>
      </c>
      <c r="B262" t="s">
        <v>4010</v>
      </c>
      <c r="C262" t="s">
        <v>4011</v>
      </c>
      <c r="D262" t="s">
        <v>3500</v>
      </c>
      <c r="E262" s="9">
        <v>45379</v>
      </c>
      <c r="G262" t="s">
        <v>45</v>
      </c>
      <c r="H262" t="s">
        <v>96</v>
      </c>
      <c r="J262" t="s">
        <v>254</v>
      </c>
      <c r="K262" t="s">
        <v>48</v>
      </c>
      <c r="L262" t="s">
        <v>37</v>
      </c>
      <c r="M262" t="s">
        <v>50</v>
      </c>
      <c r="O262" t="s">
        <v>39</v>
      </c>
      <c r="P262" t="s">
        <v>39</v>
      </c>
      <c r="Q262" t="s">
        <v>39</v>
      </c>
      <c r="R262" t="s">
        <v>41</v>
      </c>
      <c r="S262" t="s">
        <v>40</v>
      </c>
      <c r="T262" t="s">
        <v>41</v>
      </c>
      <c r="U262" t="s">
        <v>39</v>
      </c>
      <c r="V262" t="s">
        <v>39</v>
      </c>
      <c r="W262" t="s">
        <v>40</v>
      </c>
      <c r="AB262" t="s">
        <v>4093</v>
      </c>
      <c r="AC262" t="s">
        <v>4094</v>
      </c>
    </row>
    <row r="263" spans="1:31" x14ac:dyDescent="0.2">
      <c r="A263">
        <v>41109925</v>
      </c>
      <c r="B263" t="s">
        <v>3977</v>
      </c>
      <c r="C263" t="s">
        <v>110</v>
      </c>
      <c r="D263" t="s">
        <v>3500</v>
      </c>
      <c r="E263" s="9">
        <v>45379</v>
      </c>
      <c r="G263" t="s">
        <v>45</v>
      </c>
      <c r="H263" t="s">
        <v>81</v>
      </c>
      <c r="J263" t="s">
        <v>54</v>
      </c>
      <c r="K263" t="s">
        <v>48</v>
      </c>
      <c r="L263" t="s">
        <v>37</v>
      </c>
      <c r="M263" t="s">
        <v>50</v>
      </c>
      <c r="O263" t="s">
        <v>39</v>
      </c>
      <c r="P263" t="s">
        <v>39</v>
      </c>
      <c r="Q263" t="s">
        <v>39</v>
      </c>
      <c r="R263" t="s">
        <v>39</v>
      </c>
      <c r="S263" t="s">
        <v>40</v>
      </c>
      <c r="T263" t="s">
        <v>41</v>
      </c>
      <c r="U263" t="s">
        <v>39</v>
      </c>
      <c r="V263" t="s">
        <v>39</v>
      </c>
      <c r="W263" t="s">
        <v>41</v>
      </c>
      <c r="AB263" t="s">
        <v>4095</v>
      </c>
      <c r="AC263" t="s">
        <v>4096</v>
      </c>
      <c r="AD263" t="s">
        <v>4097</v>
      </c>
      <c r="AE263" t="s">
        <v>4098</v>
      </c>
    </row>
    <row r="264" spans="1:31" x14ac:dyDescent="0.2">
      <c r="A264">
        <v>41105967</v>
      </c>
      <c r="B264" t="s">
        <v>4099</v>
      </c>
      <c r="C264" t="s">
        <v>2536</v>
      </c>
      <c r="D264" t="s">
        <v>3500</v>
      </c>
      <c r="E264" s="9">
        <v>45379</v>
      </c>
      <c r="G264" t="s">
        <v>45</v>
      </c>
      <c r="H264" t="s">
        <v>96</v>
      </c>
      <c r="J264" t="s">
        <v>1438</v>
      </c>
      <c r="K264" t="s">
        <v>48</v>
      </c>
      <c r="L264" t="s">
        <v>49</v>
      </c>
      <c r="M264" t="s">
        <v>50</v>
      </c>
      <c r="O264" t="s">
        <v>39</v>
      </c>
      <c r="P264" t="s">
        <v>39</v>
      </c>
      <c r="Q264" t="s">
        <v>39</v>
      </c>
      <c r="R264" t="s">
        <v>41</v>
      </c>
      <c r="S264" t="s">
        <v>40</v>
      </c>
      <c r="T264" t="s">
        <v>41</v>
      </c>
      <c r="U264" t="s">
        <v>39</v>
      </c>
      <c r="V264" t="s">
        <v>39</v>
      </c>
      <c r="W264" t="s">
        <v>40</v>
      </c>
      <c r="AB264" t="s">
        <v>4100</v>
      </c>
    </row>
    <row r="265" spans="1:31" x14ac:dyDescent="0.2">
      <c r="A265">
        <v>41110224</v>
      </c>
      <c r="B265" t="s">
        <v>3917</v>
      </c>
      <c r="C265" t="s">
        <v>3918</v>
      </c>
      <c r="D265" t="s">
        <v>3505</v>
      </c>
      <c r="E265" s="9">
        <v>45379</v>
      </c>
      <c r="F265" s="9">
        <v>45405</v>
      </c>
      <c r="G265" t="s">
        <v>45</v>
      </c>
      <c r="H265" t="s">
        <v>96</v>
      </c>
      <c r="J265" t="s">
        <v>117</v>
      </c>
      <c r="K265" t="s">
        <v>48</v>
      </c>
      <c r="L265" t="s">
        <v>37</v>
      </c>
      <c r="M265" t="s">
        <v>50</v>
      </c>
      <c r="O265" t="s">
        <v>39</v>
      </c>
      <c r="P265" t="s">
        <v>39</v>
      </c>
      <c r="Q265" t="s">
        <v>39</v>
      </c>
      <c r="R265" t="s">
        <v>41</v>
      </c>
      <c r="S265" t="s">
        <v>40</v>
      </c>
      <c r="T265" t="s">
        <v>41</v>
      </c>
      <c r="U265" t="s">
        <v>39</v>
      </c>
      <c r="V265" t="s">
        <v>39</v>
      </c>
      <c r="W265" t="s">
        <v>40</v>
      </c>
      <c r="AB265" t="s">
        <v>4101</v>
      </c>
    </row>
    <row r="266" spans="1:31" x14ac:dyDescent="0.2">
      <c r="A266">
        <v>41110331</v>
      </c>
      <c r="B266" t="s">
        <v>4102</v>
      </c>
      <c r="C266" t="s">
        <v>4103</v>
      </c>
      <c r="D266" t="s">
        <v>3500</v>
      </c>
      <c r="E266" s="9">
        <v>45379</v>
      </c>
      <c r="G266" t="s">
        <v>45</v>
      </c>
      <c r="H266" t="s">
        <v>96</v>
      </c>
      <c r="J266" t="s">
        <v>342</v>
      </c>
      <c r="K266" t="s">
        <v>48</v>
      </c>
      <c r="L266" t="s">
        <v>49</v>
      </c>
      <c r="M266" t="s">
        <v>50</v>
      </c>
      <c r="O266" t="s">
        <v>39</v>
      </c>
      <c r="P266" t="s">
        <v>39</v>
      </c>
      <c r="Q266" t="s">
        <v>39</v>
      </c>
      <c r="R266" t="s">
        <v>41</v>
      </c>
      <c r="S266" t="s">
        <v>40</v>
      </c>
      <c r="T266" t="s">
        <v>41</v>
      </c>
      <c r="U266" t="s">
        <v>39</v>
      </c>
      <c r="V266" t="s">
        <v>39</v>
      </c>
      <c r="W266" t="s">
        <v>40</v>
      </c>
      <c r="AB266" t="s">
        <v>4104</v>
      </c>
    </row>
    <row r="267" spans="1:31" x14ac:dyDescent="0.2">
      <c r="A267">
        <v>41109954</v>
      </c>
      <c r="B267" t="s">
        <v>3937</v>
      </c>
      <c r="C267" t="s">
        <v>3938</v>
      </c>
      <c r="D267" t="s">
        <v>3505</v>
      </c>
      <c r="E267" s="9">
        <v>45379</v>
      </c>
      <c r="F267" s="9">
        <v>45405</v>
      </c>
      <c r="G267" t="s">
        <v>45</v>
      </c>
      <c r="H267" t="s">
        <v>96</v>
      </c>
      <c r="J267" t="s">
        <v>138</v>
      </c>
      <c r="K267" t="s">
        <v>48</v>
      </c>
      <c r="L267" t="s">
        <v>37</v>
      </c>
      <c r="M267" t="s">
        <v>50</v>
      </c>
      <c r="O267" t="s">
        <v>39</v>
      </c>
      <c r="P267" t="s">
        <v>39</v>
      </c>
      <c r="Q267" t="s">
        <v>39</v>
      </c>
      <c r="R267" t="s">
        <v>41</v>
      </c>
      <c r="S267" t="s">
        <v>40</v>
      </c>
      <c r="T267" t="s">
        <v>41</v>
      </c>
      <c r="U267" t="s">
        <v>39</v>
      </c>
      <c r="V267" t="s">
        <v>39</v>
      </c>
      <c r="W267" t="s">
        <v>40</v>
      </c>
      <c r="AB267" t="s">
        <v>4105</v>
      </c>
      <c r="AC267" t="s">
        <v>4106</v>
      </c>
    </row>
    <row r="268" spans="1:31" x14ac:dyDescent="0.2">
      <c r="A268">
        <v>41109715</v>
      </c>
      <c r="B268" t="s">
        <v>4107</v>
      </c>
      <c r="C268" t="s">
        <v>4108</v>
      </c>
      <c r="D268" t="s">
        <v>3505</v>
      </c>
      <c r="E268" s="9">
        <v>45379</v>
      </c>
      <c r="F268" s="9">
        <v>45405</v>
      </c>
      <c r="G268" t="s">
        <v>45</v>
      </c>
      <c r="H268" t="s">
        <v>72</v>
      </c>
      <c r="J268" t="s">
        <v>73</v>
      </c>
      <c r="K268" t="s">
        <v>36</v>
      </c>
      <c r="L268" t="s">
        <v>49</v>
      </c>
      <c r="M268" t="s">
        <v>74</v>
      </c>
      <c r="O268" t="s">
        <v>39</v>
      </c>
      <c r="P268" t="s">
        <v>39</v>
      </c>
      <c r="Q268" t="s">
        <v>39</v>
      </c>
      <c r="R268" t="s">
        <v>41</v>
      </c>
      <c r="S268" t="s">
        <v>40</v>
      </c>
      <c r="T268" t="s">
        <v>41</v>
      </c>
      <c r="U268" t="s">
        <v>39</v>
      </c>
      <c r="V268" t="s">
        <v>39</v>
      </c>
      <c r="W268" t="s">
        <v>40</v>
      </c>
      <c r="AB268" t="s">
        <v>4109</v>
      </c>
    </row>
    <row r="269" spans="1:31" x14ac:dyDescent="0.2">
      <c r="A269">
        <v>41106009</v>
      </c>
      <c r="B269" t="s">
        <v>4016</v>
      </c>
      <c r="C269" t="s">
        <v>4017</v>
      </c>
      <c r="D269" t="s">
        <v>3500</v>
      </c>
      <c r="E269" s="9">
        <v>45379</v>
      </c>
      <c r="G269" t="s">
        <v>45</v>
      </c>
      <c r="H269" t="s">
        <v>80</v>
      </c>
      <c r="J269" t="s">
        <v>47</v>
      </c>
      <c r="K269" t="s">
        <v>36</v>
      </c>
      <c r="L269" t="s">
        <v>37</v>
      </c>
      <c r="M269" t="s">
        <v>50</v>
      </c>
      <c r="O269" t="s">
        <v>39</v>
      </c>
      <c r="P269" t="s">
        <v>39</v>
      </c>
      <c r="Q269" t="s">
        <v>39</v>
      </c>
      <c r="R269" t="s">
        <v>41</v>
      </c>
      <c r="S269" t="s">
        <v>40</v>
      </c>
      <c r="T269" t="s">
        <v>41</v>
      </c>
      <c r="U269" t="s">
        <v>39</v>
      </c>
      <c r="V269" t="s">
        <v>39</v>
      </c>
      <c r="W269" t="s">
        <v>40</v>
      </c>
      <c r="X269" t="s">
        <v>4110</v>
      </c>
      <c r="AB269" t="s">
        <v>4111</v>
      </c>
    </row>
    <row r="270" spans="1:31" x14ac:dyDescent="0.2">
      <c r="A270">
        <v>41109961</v>
      </c>
      <c r="B270" t="s">
        <v>4112</v>
      </c>
      <c r="C270" t="s">
        <v>4113</v>
      </c>
      <c r="D270" t="s">
        <v>3500</v>
      </c>
      <c r="E270" s="9">
        <v>45379</v>
      </c>
      <c r="G270" t="s">
        <v>45</v>
      </c>
      <c r="H270" t="s">
        <v>46</v>
      </c>
      <c r="J270" t="s">
        <v>146</v>
      </c>
      <c r="K270" t="s">
        <v>36</v>
      </c>
      <c r="L270" t="s">
        <v>37</v>
      </c>
      <c r="M270" t="s">
        <v>50</v>
      </c>
      <c r="O270" t="s">
        <v>39</v>
      </c>
      <c r="P270" t="s">
        <v>39</v>
      </c>
      <c r="Q270" t="s">
        <v>39</v>
      </c>
      <c r="R270" t="s">
        <v>41</v>
      </c>
      <c r="S270" t="s">
        <v>40</v>
      </c>
      <c r="T270" t="s">
        <v>41</v>
      </c>
      <c r="U270" t="s">
        <v>39</v>
      </c>
      <c r="V270" t="s">
        <v>39</v>
      </c>
      <c r="W270" t="s">
        <v>40</v>
      </c>
      <c r="AB270" t="s">
        <v>4114</v>
      </c>
      <c r="AC270" t="s">
        <v>4115</v>
      </c>
    </row>
    <row r="271" spans="1:31" x14ac:dyDescent="0.2">
      <c r="A271">
        <v>41106031</v>
      </c>
      <c r="B271" t="s">
        <v>4116</v>
      </c>
      <c r="C271" t="s">
        <v>4117</v>
      </c>
      <c r="D271" t="s">
        <v>3500</v>
      </c>
      <c r="E271" s="9">
        <v>45379</v>
      </c>
      <c r="G271" t="s">
        <v>45</v>
      </c>
      <c r="H271" t="s">
        <v>46</v>
      </c>
      <c r="J271" t="s">
        <v>54</v>
      </c>
      <c r="K271" t="s">
        <v>36</v>
      </c>
      <c r="L271" t="s">
        <v>49</v>
      </c>
      <c r="M271" t="s">
        <v>50</v>
      </c>
      <c r="O271" t="s">
        <v>39</v>
      </c>
      <c r="P271" t="s">
        <v>39</v>
      </c>
      <c r="Q271" t="s">
        <v>39</v>
      </c>
      <c r="R271" t="s">
        <v>41</v>
      </c>
      <c r="S271" t="s">
        <v>40</v>
      </c>
      <c r="T271" t="s">
        <v>41</v>
      </c>
      <c r="U271" t="s">
        <v>39</v>
      </c>
      <c r="V271" t="s">
        <v>39</v>
      </c>
      <c r="W271" t="s">
        <v>40</v>
      </c>
      <c r="AB271" t="s">
        <v>4118</v>
      </c>
    </row>
    <row r="272" spans="1:31" x14ac:dyDescent="0.2">
      <c r="A272">
        <v>41135592</v>
      </c>
      <c r="B272" t="s">
        <v>4119</v>
      </c>
      <c r="C272" t="s">
        <v>4120</v>
      </c>
      <c r="D272" t="s">
        <v>3500</v>
      </c>
      <c r="E272" s="9">
        <v>45383</v>
      </c>
      <c r="G272" t="s">
        <v>45</v>
      </c>
      <c r="H272" t="s">
        <v>81</v>
      </c>
      <c r="J272" t="s">
        <v>47</v>
      </c>
      <c r="K272" t="s">
        <v>36</v>
      </c>
      <c r="L272" t="s">
        <v>37</v>
      </c>
      <c r="M272" t="s">
        <v>50</v>
      </c>
      <c r="O272" t="s">
        <v>39</v>
      </c>
      <c r="P272" t="s">
        <v>39</v>
      </c>
      <c r="Q272" t="s">
        <v>39</v>
      </c>
      <c r="R272" t="s">
        <v>41</v>
      </c>
      <c r="S272" t="s">
        <v>40</v>
      </c>
      <c r="T272" t="s">
        <v>41</v>
      </c>
      <c r="U272" t="s">
        <v>39</v>
      </c>
      <c r="V272" t="s">
        <v>39</v>
      </c>
      <c r="W272" t="s">
        <v>40</v>
      </c>
      <c r="AB272" t="s">
        <v>4121</v>
      </c>
      <c r="AC272" t="s">
        <v>4122</v>
      </c>
    </row>
    <row r="273" spans="1:29" x14ac:dyDescent="0.2">
      <c r="A273">
        <v>41135680</v>
      </c>
      <c r="B273" t="s">
        <v>4123</v>
      </c>
      <c r="C273" t="s">
        <v>4124</v>
      </c>
      <c r="D273" t="s">
        <v>3500</v>
      </c>
      <c r="E273" s="9">
        <v>45383</v>
      </c>
      <c r="G273" t="s">
        <v>45</v>
      </c>
      <c r="H273" t="s">
        <v>81</v>
      </c>
      <c r="J273" t="s">
        <v>47</v>
      </c>
      <c r="K273" t="s">
        <v>36</v>
      </c>
      <c r="L273" t="s">
        <v>37</v>
      </c>
      <c r="M273" t="s">
        <v>289</v>
      </c>
      <c r="O273" t="s">
        <v>39</v>
      </c>
      <c r="P273" t="s">
        <v>39</v>
      </c>
      <c r="Q273" t="s">
        <v>39</v>
      </c>
      <c r="R273" t="s">
        <v>41</v>
      </c>
      <c r="S273" t="s">
        <v>40</v>
      </c>
      <c r="T273" t="s">
        <v>41</v>
      </c>
      <c r="U273" t="s">
        <v>39</v>
      </c>
      <c r="V273" t="s">
        <v>39</v>
      </c>
      <c r="W273" t="s">
        <v>40</v>
      </c>
      <c r="AB273" t="s">
        <v>4125</v>
      </c>
    </row>
    <row r="274" spans="1:29" x14ac:dyDescent="0.2">
      <c r="A274">
        <v>41135678</v>
      </c>
      <c r="B274" t="s">
        <v>4126</v>
      </c>
      <c r="C274" t="s">
        <v>4127</v>
      </c>
      <c r="D274" t="s">
        <v>3500</v>
      </c>
      <c r="E274" s="9">
        <v>45383</v>
      </c>
      <c r="G274" t="s">
        <v>45</v>
      </c>
      <c r="H274" t="s">
        <v>81</v>
      </c>
      <c r="J274" t="s">
        <v>47</v>
      </c>
      <c r="K274" t="s">
        <v>48</v>
      </c>
      <c r="L274" t="s">
        <v>37</v>
      </c>
      <c r="M274" t="s">
        <v>50</v>
      </c>
      <c r="O274" t="s">
        <v>39</v>
      </c>
      <c r="P274" t="s">
        <v>39</v>
      </c>
      <c r="Q274" t="s">
        <v>39</v>
      </c>
      <c r="R274" t="s">
        <v>41</v>
      </c>
      <c r="S274" t="s">
        <v>40</v>
      </c>
      <c r="T274" t="s">
        <v>41</v>
      </c>
      <c r="U274" t="s">
        <v>39</v>
      </c>
      <c r="V274" t="s">
        <v>39</v>
      </c>
      <c r="W274" t="s">
        <v>40</v>
      </c>
      <c r="AB274" t="s">
        <v>4128</v>
      </c>
    </row>
    <row r="275" spans="1:29" x14ac:dyDescent="0.2">
      <c r="A275">
        <v>41135670</v>
      </c>
      <c r="B275" t="s">
        <v>4129</v>
      </c>
      <c r="C275" t="s">
        <v>4130</v>
      </c>
      <c r="D275" t="s">
        <v>3505</v>
      </c>
      <c r="E275" s="9">
        <v>45383</v>
      </c>
      <c r="F275" s="9">
        <v>45392</v>
      </c>
      <c r="G275" t="s">
        <v>45</v>
      </c>
      <c r="H275" t="s">
        <v>81</v>
      </c>
      <c r="J275" t="s">
        <v>54</v>
      </c>
      <c r="K275" t="s">
        <v>36</v>
      </c>
      <c r="L275" t="s">
        <v>49</v>
      </c>
      <c r="M275" t="s">
        <v>50</v>
      </c>
      <c r="O275" t="s">
        <v>39</v>
      </c>
      <c r="P275" t="s">
        <v>39</v>
      </c>
      <c r="Q275" t="s">
        <v>39</v>
      </c>
      <c r="R275" t="s">
        <v>41</v>
      </c>
      <c r="S275" t="s">
        <v>40</v>
      </c>
      <c r="T275" t="s">
        <v>41</v>
      </c>
      <c r="U275" t="s">
        <v>39</v>
      </c>
      <c r="V275" t="s">
        <v>39</v>
      </c>
      <c r="W275" t="s">
        <v>40</v>
      </c>
      <c r="AB275" t="s">
        <v>4131</v>
      </c>
    </row>
    <row r="276" spans="1:29" x14ac:dyDescent="0.2">
      <c r="A276">
        <v>41135701</v>
      </c>
      <c r="B276" t="s">
        <v>4132</v>
      </c>
      <c r="C276" t="s">
        <v>4133</v>
      </c>
      <c r="D276" t="s">
        <v>3500</v>
      </c>
      <c r="E276" s="9">
        <v>45383</v>
      </c>
      <c r="G276" t="s">
        <v>45</v>
      </c>
      <c r="H276" t="s">
        <v>429</v>
      </c>
      <c r="J276" t="s">
        <v>4038</v>
      </c>
      <c r="K276" t="s">
        <v>36</v>
      </c>
      <c r="L276" t="s">
        <v>37</v>
      </c>
      <c r="M276" t="s">
        <v>50</v>
      </c>
      <c r="O276" t="s">
        <v>39</v>
      </c>
      <c r="P276" t="s">
        <v>39</v>
      </c>
      <c r="Q276" t="s">
        <v>39</v>
      </c>
      <c r="R276" t="s">
        <v>41</v>
      </c>
      <c r="S276" t="s">
        <v>40</v>
      </c>
      <c r="T276" t="s">
        <v>41</v>
      </c>
      <c r="U276" t="s">
        <v>39</v>
      </c>
      <c r="V276" t="s">
        <v>39</v>
      </c>
      <c r="W276" t="s">
        <v>40</v>
      </c>
      <c r="AB276" t="s">
        <v>4134</v>
      </c>
      <c r="AC276" t="s">
        <v>4135</v>
      </c>
    </row>
    <row r="277" spans="1:29" x14ac:dyDescent="0.2">
      <c r="A277">
        <v>41135597</v>
      </c>
      <c r="B277" t="s">
        <v>4136</v>
      </c>
      <c r="C277" t="s">
        <v>4137</v>
      </c>
      <c r="D277" t="s">
        <v>3500</v>
      </c>
      <c r="E277" s="9">
        <v>45383</v>
      </c>
      <c r="G277" t="s">
        <v>45</v>
      </c>
      <c r="H277" t="s">
        <v>96</v>
      </c>
      <c r="J277" t="s">
        <v>1438</v>
      </c>
      <c r="K277" t="s">
        <v>48</v>
      </c>
      <c r="L277" t="s">
        <v>49</v>
      </c>
      <c r="M277" t="s">
        <v>50</v>
      </c>
      <c r="O277" t="s">
        <v>39</v>
      </c>
      <c r="P277" t="s">
        <v>39</v>
      </c>
      <c r="Q277" t="s">
        <v>39</v>
      </c>
      <c r="R277" t="s">
        <v>41</v>
      </c>
      <c r="S277" t="s">
        <v>40</v>
      </c>
      <c r="T277" t="s">
        <v>41</v>
      </c>
      <c r="U277" t="s">
        <v>39</v>
      </c>
      <c r="V277" t="s">
        <v>39</v>
      </c>
      <c r="W277" t="s">
        <v>40</v>
      </c>
      <c r="AB277" t="s">
        <v>4138</v>
      </c>
    </row>
    <row r="278" spans="1:29" x14ac:dyDescent="0.2">
      <c r="A278">
        <v>41135609</v>
      </c>
      <c r="B278" t="s">
        <v>4139</v>
      </c>
      <c r="C278" t="s">
        <v>4140</v>
      </c>
      <c r="D278" t="s">
        <v>3500</v>
      </c>
      <c r="E278" s="9">
        <v>45383</v>
      </c>
      <c r="G278" t="s">
        <v>45</v>
      </c>
      <c r="H278" t="s">
        <v>96</v>
      </c>
      <c r="J278" t="s">
        <v>117</v>
      </c>
      <c r="K278" t="s">
        <v>48</v>
      </c>
      <c r="L278" t="s">
        <v>49</v>
      </c>
      <c r="M278" t="s">
        <v>50</v>
      </c>
      <c r="O278" t="s">
        <v>39</v>
      </c>
      <c r="P278" t="s">
        <v>39</v>
      </c>
      <c r="Q278" t="s">
        <v>39</v>
      </c>
      <c r="R278" t="s">
        <v>41</v>
      </c>
      <c r="S278" t="s">
        <v>40</v>
      </c>
      <c r="T278" t="s">
        <v>41</v>
      </c>
      <c r="U278" t="s">
        <v>39</v>
      </c>
      <c r="V278" t="s">
        <v>39</v>
      </c>
      <c r="W278" t="s">
        <v>40</v>
      </c>
      <c r="AB278" t="s">
        <v>4141</v>
      </c>
    </row>
    <row r="279" spans="1:29" x14ac:dyDescent="0.2">
      <c r="A279">
        <v>41165112</v>
      </c>
      <c r="B279">
        <v>55547726</v>
      </c>
      <c r="C279" t="s">
        <v>474</v>
      </c>
      <c r="D279" t="s">
        <v>3505</v>
      </c>
      <c r="E279" s="9">
        <v>45387</v>
      </c>
      <c r="F279" s="9">
        <v>45764</v>
      </c>
      <c r="G279" t="s">
        <v>33</v>
      </c>
      <c r="H279" t="s">
        <v>242</v>
      </c>
      <c r="J279" t="s">
        <v>1245</v>
      </c>
      <c r="K279" t="s">
        <v>48</v>
      </c>
      <c r="L279" t="s">
        <v>164</v>
      </c>
      <c r="N279" t="s">
        <v>235</v>
      </c>
      <c r="O279" t="s">
        <v>40</v>
      </c>
      <c r="P279" t="s">
        <v>39</v>
      </c>
      <c r="Q279" t="s">
        <v>39</v>
      </c>
      <c r="R279" t="s">
        <v>40</v>
      </c>
      <c r="S279" t="s">
        <v>41</v>
      </c>
      <c r="T279" t="s">
        <v>41</v>
      </c>
      <c r="U279" t="s">
        <v>40</v>
      </c>
      <c r="V279" t="s">
        <v>40</v>
      </c>
      <c r="W279" t="s">
        <v>40</v>
      </c>
      <c r="AB279" t="s">
        <v>4142</v>
      </c>
    </row>
    <row r="280" spans="1:29" x14ac:dyDescent="0.2">
      <c r="A280">
        <v>41165055</v>
      </c>
      <c r="B280">
        <v>55490628</v>
      </c>
      <c r="C280" t="s">
        <v>4143</v>
      </c>
      <c r="D280" t="s">
        <v>3505</v>
      </c>
      <c r="E280" s="9">
        <v>45387</v>
      </c>
      <c r="F280" s="9">
        <v>45430</v>
      </c>
      <c r="G280" t="s">
        <v>33</v>
      </c>
      <c r="H280" t="s">
        <v>34</v>
      </c>
      <c r="J280" t="s">
        <v>222</v>
      </c>
      <c r="K280" t="s">
        <v>48</v>
      </c>
      <c r="L280" t="s">
        <v>230</v>
      </c>
      <c r="N280" t="s">
        <v>38</v>
      </c>
      <c r="O280" t="s">
        <v>40</v>
      </c>
      <c r="P280" t="s">
        <v>39</v>
      </c>
      <c r="Q280" t="s">
        <v>39</v>
      </c>
      <c r="R280" t="s">
        <v>40</v>
      </c>
      <c r="S280" t="s">
        <v>41</v>
      </c>
      <c r="T280" t="s">
        <v>41</v>
      </c>
      <c r="U280" t="s">
        <v>40</v>
      </c>
      <c r="V280" t="s">
        <v>40</v>
      </c>
      <c r="W280" t="s">
        <v>40</v>
      </c>
      <c r="AB280" t="s">
        <v>4144</v>
      </c>
      <c r="AC280" t="s">
        <v>4145</v>
      </c>
    </row>
    <row r="281" spans="1:29" x14ac:dyDescent="0.2">
      <c r="A281">
        <v>41165435</v>
      </c>
      <c r="B281">
        <v>50501818</v>
      </c>
      <c r="C281" t="s">
        <v>4084</v>
      </c>
      <c r="D281" t="s">
        <v>3505</v>
      </c>
      <c r="E281" s="9">
        <v>45387</v>
      </c>
      <c r="F281" s="9">
        <v>45764</v>
      </c>
      <c r="G281" t="s">
        <v>33</v>
      </c>
      <c r="H281" t="s">
        <v>34</v>
      </c>
      <c r="J281" t="s">
        <v>234</v>
      </c>
      <c r="K281" t="s">
        <v>36</v>
      </c>
      <c r="L281" t="s">
        <v>37</v>
      </c>
      <c r="N281" t="s">
        <v>38</v>
      </c>
      <c r="O281" t="s">
        <v>40</v>
      </c>
      <c r="P281" t="s">
        <v>39</v>
      </c>
      <c r="Q281" t="s">
        <v>39</v>
      </c>
      <c r="R281" t="s">
        <v>40</v>
      </c>
      <c r="S281" t="s">
        <v>41</v>
      </c>
      <c r="T281" t="s">
        <v>41</v>
      </c>
      <c r="U281" t="s">
        <v>40</v>
      </c>
      <c r="V281" t="s">
        <v>40</v>
      </c>
      <c r="W281" t="s">
        <v>40</v>
      </c>
      <c r="AB281" t="s">
        <v>4146</v>
      </c>
    </row>
    <row r="282" spans="1:29" x14ac:dyDescent="0.2">
      <c r="A282">
        <v>41166388</v>
      </c>
      <c r="B282">
        <v>54098625</v>
      </c>
      <c r="C282" t="s">
        <v>4147</v>
      </c>
      <c r="D282" t="s">
        <v>3505</v>
      </c>
      <c r="E282" s="9">
        <v>45387</v>
      </c>
      <c r="F282" s="9">
        <v>45764</v>
      </c>
      <c r="G282" t="s">
        <v>33</v>
      </c>
      <c r="H282" t="s">
        <v>34</v>
      </c>
      <c r="J282" t="s">
        <v>222</v>
      </c>
      <c r="K282" t="s">
        <v>36</v>
      </c>
      <c r="L282" t="s">
        <v>164</v>
      </c>
      <c r="N282" t="s">
        <v>38</v>
      </c>
      <c r="O282" t="s">
        <v>40</v>
      </c>
      <c r="P282" t="s">
        <v>39</v>
      </c>
      <c r="Q282" t="s">
        <v>39</v>
      </c>
      <c r="R282" t="s">
        <v>40</v>
      </c>
      <c r="S282" t="s">
        <v>41</v>
      </c>
      <c r="T282" t="s">
        <v>41</v>
      </c>
      <c r="U282" t="s">
        <v>40</v>
      </c>
      <c r="V282" t="s">
        <v>40</v>
      </c>
      <c r="W282" t="s">
        <v>40</v>
      </c>
      <c r="AB282" t="s">
        <v>4148</v>
      </c>
    </row>
    <row r="283" spans="1:29" x14ac:dyDescent="0.2">
      <c r="A283">
        <v>41165022</v>
      </c>
      <c r="B283">
        <v>51319358</v>
      </c>
      <c r="C283" t="s">
        <v>4149</v>
      </c>
      <c r="D283" t="s">
        <v>3505</v>
      </c>
      <c r="E283" s="9">
        <v>45387</v>
      </c>
      <c r="F283" s="9">
        <v>45764</v>
      </c>
      <c r="G283" t="s">
        <v>33</v>
      </c>
      <c r="H283" t="s">
        <v>34</v>
      </c>
      <c r="J283" t="s">
        <v>222</v>
      </c>
      <c r="K283" t="s">
        <v>48</v>
      </c>
      <c r="L283" t="s">
        <v>37</v>
      </c>
      <c r="N283" t="s">
        <v>38</v>
      </c>
      <c r="O283" t="s">
        <v>40</v>
      </c>
      <c r="P283" t="s">
        <v>39</v>
      </c>
      <c r="Q283" t="s">
        <v>39</v>
      </c>
      <c r="R283" t="s">
        <v>40</v>
      </c>
      <c r="S283" t="s">
        <v>41</v>
      </c>
      <c r="T283" t="s">
        <v>41</v>
      </c>
      <c r="U283" t="s">
        <v>40</v>
      </c>
      <c r="V283" t="s">
        <v>40</v>
      </c>
      <c r="W283" t="s">
        <v>40</v>
      </c>
      <c r="AB283" t="s">
        <v>4150</v>
      </c>
      <c r="AC283" t="s">
        <v>4151</v>
      </c>
    </row>
    <row r="284" spans="1:29" x14ac:dyDescent="0.2">
      <c r="A284">
        <v>41166374</v>
      </c>
      <c r="B284">
        <v>54098618</v>
      </c>
      <c r="C284" t="s">
        <v>4152</v>
      </c>
      <c r="D284" t="s">
        <v>3505</v>
      </c>
      <c r="E284" s="9">
        <v>45387</v>
      </c>
      <c r="F284" s="9">
        <v>45764</v>
      </c>
      <c r="G284" t="s">
        <v>33</v>
      </c>
      <c r="H284" t="s">
        <v>34</v>
      </c>
      <c r="J284" t="s">
        <v>303</v>
      </c>
      <c r="K284" t="s">
        <v>48</v>
      </c>
      <c r="L284" t="s">
        <v>164</v>
      </c>
      <c r="N284" t="s">
        <v>38</v>
      </c>
      <c r="O284" t="s">
        <v>40</v>
      </c>
      <c r="P284" t="s">
        <v>39</v>
      </c>
      <c r="Q284" t="s">
        <v>39</v>
      </c>
      <c r="R284" t="s">
        <v>40</v>
      </c>
      <c r="S284" t="s">
        <v>41</v>
      </c>
      <c r="T284" t="s">
        <v>41</v>
      </c>
      <c r="U284" t="s">
        <v>40</v>
      </c>
      <c r="V284" t="s">
        <v>40</v>
      </c>
      <c r="W284" t="s">
        <v>40</v>
      </c>
      <c r="AB284" t="s">
        <v>4153</v>
      </c>
    </row>
    <row r="285" spans="1:29" x14ac:dyDescent="0.2">
      <c r="A285">
        <v>41164223</v>
      </c>
      <c r="B285">
        <v>55234371</v>
      </c>
      <c r="C285" t="s">
        <v>4154</v>
      </c>
      <c r="D285" t="s">
        <v>3505</v>
      </c>
      <c r="E285" s="9">
        <v>45387</v>
      </c>
      <c r="F285" s="9">
        <v>45764</v>
      </c>
      <c r="G285" t="s">
        <v>33</v>
      </c>
      <c r="H285" t="s">
        <v>34</v>
      </c>
      <c r="J285" t="s">
        <v>3501</v>
      </c>
      <c r="K285" t="s">
        <v>36</v>
      </c>
      <c r="L285" t="s">
        <v>37</v>
      </c>
      <c r="N285" t="s">
        <v>38</v>
      </c>
      <c r="O285" t="s">
        <v>40</v>
      </c>
      <c r="P285" t="s">
        <v>39</v>
      </c>
      <c r="Q285" t="s">
        <v>39</v>
      </c>
      <c r="R285" t="s">
        <v>40</v>
      </c>
      <c r="S285" t="s">
        <v>41</v>
      </c>
      <c r="T285" t="s">
        <v>41</v>
      </c>
      <c r="U285" t="s">
        <v>40</v>
      </c>
      <c r="V285" t="s">
        <v>40</v>
      </c>
      <c r="W285" t="s">
        <v>40</v>
      </c>
      <c r="AB285" t="s">
        <v>4155</v>
      </c>
    </row>
    <row r="286" spans="1:29" x14ac:dyDescent="0.2">
      <c r="A286">
        <v>41166416</v>
      </c>
      <c r="B286">
        <v>55504787</v>
      </c>
      <c r="C286" t="s">
        <v>4156</v>
      </c>
      <c r="D286" t="s">
        <v>3505</v>
      </c>
      <c r="E286" s="9">
        <v>45387</v>
      </c>
      <c r="F286" s="9">
        <v>45764</v>
      </c>
      <c r="G286" t="s">
        <v>33</v>
      </c>
      <c r="H286" t="s">
        <v>34</v>
      </c>
      <c r="J286" t="s">
        <v>4157</v>
      </c>
      <c r="K286" t="s">
        <v>36</v>
      </c>
      <c r="L286" t="s">
        <v>230</v>
      </c>
      <c r="N286" t="s">
        <v>38</v>
      </c>
      <c r="O286" t="s">
        <v>40</v>
      </c>
      <c r="P286" t="s">
        <v>39</v>
      </c>
      <c r="Q286" t="s">
        <v>39</v>
      </c>
      <c r="R286" t="s">
        <v>40</v>
      </c>
      <c r="S286" t="s">
        <v>41</v>
      </c>
      <c r="T286" t="s">
        <v>41</v>
      </c>
      <c r="U286" t="s">
        <v>40</v>
      </c>
      <c r="V286" t="s">
        <v>40</v>
      </c>
      <c r="W286" t="s">
        <v>40</v>
      </c>
      <c r="AB286" t="s">
        <v>4158</v>
      </c>
    </row>
    <row r="287" spans="1:29" x14ac:dyDescent="0.2">
      <c r="A287">
        <v>41166418</v>
      </c>
      <c r="B287">
        <v>55553174</v>
      </c>
      <c r="C287" t="s">
        <v>4159</v>
      </c>
      <c r="D287" t="s">
        <v>3505</v>
      </c>
      <c r="E287" s="9">
        <v>45387</v>
      </c>
      <c r="F287" s="9">
        <v>45764</v>
      </c>
      <c r="G287" t="s">
        <v>33</v>
      </c>
      <c r="H287" t="s">
        <v>4160</v>
      </c>
      <c r="J287" t="s">
        <v>303</v>
      </c>
      <c r="K287" t="s">
        <v>48</v>
      </c>
      <c r="L287" t="s">
        <v>37</v>
      </c>
      <c r="N287" t="s">
        <v>38</v>
      </c>
      <c r="O287" t="s">
        <v>40</v>
      </c>
      <c r="P287" t="s">
        <v>39</v>
      </c>
      <c r="Q287" t="s">
        <v>39</v>
      </c>
      <c r="R287" t="s">
        <v>40</v>
      </c>
      <c r="S287" t="s">
        <v>41</v>
      </c>
      <c r="T287" t="s">
        <v>41</v>
      </c>
      <c r="U287" t="s">
        <v>40</v>
      </c>
      <c r="V287" t="s">
        <v>40</v>
      </c>
      <c r="W287" t="s">
        <v>40</v>
      </c>
      <c r="AB287" t="s">
        <v>4161</v>
      </c>
    </row>
    <row r="288" spans="1:29" x14ac:dyDescent="0.2">
      <c r="A288">
        <v>41166534</v>
      </c>
      <c r="B288">
        <v>54697411</v>
      </c>
      <c r="C288" t="s">
        <v>4162</v>
      </c>
      <c r="D288" t="s">
        <v>3505</v>
      </c>
      <c r="E288" s="9">
        <v>45387</v>
      </c>
      <c r="F288" s="9">
        <v>45764</v>
      </c>
      <c r="G288" t="s">
        <v>33</v>
      </c>
      <c r="H288" t="s">
        <v>34</v>
      </c>
      <c r="J288" t="s">
        <v>35</v>
      </c>
      <c r="K288" t="s">
        <v>36</v>
      </c>
      <c r="L288" t="s">
        <v>164</v>
      </c>
      <c r="N288" t="s">
        <v>38</v>
      </c>
      <c r="O288" t="s">
        <v>40</v>
      </c>
      <c r="P288" t="s">
        <v>39</v>
      </c>
      <c r="Q288" t="s">
        <v>39</v>
      </c>
      <c r="R288" t="s">
        <v>40</v>
      </c>
      <c r="S288" t="s">
        <v>41</v>
      </c>
      <c r="T288" t="s">
        <v>41</v>
      </c>
      <c r="U288" t="s">
        <v>40</v>
      </c>
      <c r="V288" t="s">
        <v>40</v>
      </c>
      <c r="W288" t="s">
        <v>40</v>
      </c>
      <c r="AB288" t="s">
        <v>4163</v>
      </c>
    </row>
    <row r="289" spans="1:29" x14ac:dyDescent="0.2">
      <c r="A289">
        <v>41165080</v>
      </c>
      <c r="B289">
        <v>55167843</v>
      </c>
      <c r="C289" t="s">
        <v>4164</v>
      </c>
      <c r="D289" t="s">
        <v>3505</v>
      </c>
      <c r="E289" s="9">
        <v>45387</v>
      </c>
      <c r="F289" s="9">
        <v>45764</v>
      </c>
      <c r="G289" t="s">
        <v>33</v>
      </c>
      <c r="H289" t="s">
        <v>34</v>
      </c>
      <c r="J289" t="s">
        <v>35</v>
      </c>
      <c r="K289" t="s">
        <v>36</v>
      </c>
      <c r="L289" t="s">
        <v>37</v>
      </c>
      <c r="N289" t="s">
        <v>38</v>
      </c>
      <c r="O289" t="s">
        <v>40</v>
      </c>
      <c r="P289" t="s">
        <v>39</v>
      </c>
      <c r="Q289" t="s">
        <v>39</v>
      </c>
      <c r="R289" t="s">
        <v>40</v>
      </c>
      <c r="S289" t="s">
        <v>41</v>
      </c>
      <c r="T289" t="s">
        <v>41</v>
      </c>
      <c r="U289" t="s">
        <v>40</v>
      </c>
      <c r="V289" t="s">
        <v>40</v>
      </c>
      <c r="W289" t="s">
        <v>40</v>
      </c>
      <c r="AB289" t="s">
        <v>4165</v>
      </c>
    </row>
    <row r="290" spans="1:29" x14ac:dyDescent="0.2">
      <c r="A290">
        <v>41168565</v>
      </c>
      <c r="B290">
        <v>54697387</v>
      </c>
      <c r="C290" t="s">
        <v>826</v>
      </c>
      <c r="D290" t="s">
        <v>3505</v>
      </c>
      <c r="E290" s="9">
        <v>45388</v>
      </c>
      <c r="F290" s="9">
        <v>45429</v>
      </c>
      <c r="G290" t="s">
        <v>33</v>
      </c>
      <c r="H290" t="s">
        <v>34</v>
      </c>
      <c r="J290" t="s">
        <v>4166</v>
      </c>
      <c r="K290" t="s">
        <v>48</v>
      </c>
      <c r="L290" t="s">
        <v>164</v>
      </c>
      <c r="N290" t="s">
        <v>38</v>
      </c>
      <c r="O290" t="s">
        <v>40</v>
      </c>
      <c r="P290" t="s">
        <v>39</v>
      </c>
      <c r="Q290" t="s">
        <v>39</v>
      </c>
      <c r="R290" t="s">
        <v>40</v>
      </c>
      <c r="S290" t="s">
        <v>41</v>
      </c>
      <c r="T290" t="s">
        <v>41</v>
      </c>
      <c r="U290" t="s">
        <v>40</v>
      </c>
      <c r="V290" t="s">
        <v>40</v>
      </c>
      <c r="W290" t="s">
        <v>40</v>
      </c>
      <c r="AB290" t="s">
        <v>4167</v>
      </c>
    </row>
    <row r="291" spans="1:29" x14ac:dyDescent="0.2">
      <c r="A291">
        <v>41168564</v>
      </c>
      <c r="B291">
        <v>54697368</v>
      </c>
      <c r="C291" t="s">
        <v>4168</v>
      </c>
      <c r="D291" t="s">
        <v>3505</v>
      </c>
      <c r="E291" s="9">
        <v>45388</v>
      </c>
      <c r="F291" s="9">
        <v>45430</v>
      </c>
      <c r="G291" t="s">
        <v>33</v>
      </c>
      <c r="H291" t="s">
        <v>1236</v>
      </c>
      <c r="J291" t="s">
        <v>222</v>
      </c>
      <c r="K291" t="s">
        <v>48</v>
      </c>
      <c r="L291" t="s">
        <v>164</v>
      </c>
      <c r="N291" t="s">
        <v>1237</v>
      </c>
      <c r="O291" t="s">
        <v>40</v>
      </c>
      <c r="P291" t="s">
        <v>39</v>
      </c>
      <c r="Q291" t="s">
        <v>39</v>
      </c>
      <c r="R291" t="s">
        <v>40</v>
      </c>
      <c r="S291" t="s">
        <v>41</v>
      </c>
      <c r="T291" t="s">
        <v>41</v>
      </c>
      <c r="U291" t="s">
        <v>40</v>
      </c>
      <c r="V291" t="s">
        <v>40</v>
      </c>
      <c r="W291" t="s">
        <v>40</v>
      </c>
      <c r="AB291" t="s">
        <v>4169</v>
      </c>
    </row>
    <row r="292" spans="1:29" x14ac:dyDescent="0.2">
      <c r="A292">
        <v>41168570</v>
      </c>
      <c r="B292">
        <v>55070581</v>
      </c>
      <c r="C292" t="s">
        <v>4170</v>
      </c>
      <c r="D292" t="s">
        <v>3505</v>
      </c>
      <c r="E292" s="9">
        <v>45388</v>
      </c>
      <c r="F292" s="9">
        <v>45473</v>
      </c>
      <c r="G292" t="s">
        <v>33</v>
      </c>
      <c r="H292" t="s">
        <v>34</v>
      </c>
      <c r="J292" t="s">
        <v>234</v>
      </c>
      <c r="K292" t="s">
        <v>36</v>
      </c>
      <c r="L292" t="s">
        <v>230</v>
      </c>
      <c r="N292" t="s">
        <v>38</v>
      </c>
      <c r="O292" t="s">
        <v>40</v>
      </c>
      <c r="P292" t="s">
        <v>39</v>
      </c>
      <c r="Q292" t="s">
        <v>39</v>
      </c>
      <c r="R292" t="s">
        <v>40</v>
      </c>
      <c r="S292" t="s">
        <v>41</v>
      </c>
      <c r="T292" t="s">
        <v>41</v>
      </c>
      <c r="U292" t="s">
        <v>40</v>
      </c>
      <c r="V292" t="s">
        <v>40</v>
      </c>
      <c r="W292" t="s">
        <v>40</v>
      </c>
      <c r="AB292" t="s">
        <v>4171</v>
      </c>
    </row>
    <row r="293" spans="1:29" x14ac:dyDescent="0.2">
      <c r="A293">
        <v>41168567</v>
      </c>
      <c r="B293">
        <v>54697394</v>
      </c>
      <c r="C293" t="s">
        <v>2489</v>
      </c>
      <c r="D293" t="s">
        <v>3505</v>
      </c>
      <c r="E293" s="9">
        <v>45388</v>
      </c>
      <c r="F293" s="9">
        <v>45429</v>
      </c>
      <c r="G293" t="s">
        <v>33</v>
      </c>
      <c r="H293" t="s">
        <v>34</v>
      </c>
      <c r="J293" t="s">
        <v>4166</v>
      </c>
      <c r="K293" t="s">
        <v>48</v>
      </c>
      <c r="L293" t="s">
        <v>164</v>
      </c>
      <c r="N293" t="s">
        <v>38</v>
      </c>
      <c r="O293" t="s">
        <v>40</v>
      </c>
      <c r="P293" t="s">
        <v>39</v>
      </c>
      <c r="Q293" t="s">
        <v>39</v>
      </c>
      <c r="R293" t="s">
        <v>40</v>
      </c>
      <c r="S293" t="s">
        <v>41</v>
      </c>
      <c r="T293" t="s">
        <v>41</v>
      </c>
      <c r="U293" t="s">
        <v>40</v>
      </c>
      <c r="V293" t="s">
        <v>40</v>
      </c>
      <c r="W293" t="s">
        <v>40</v>
      </c>
      <c r="AB293" t="s">
        <v>4172</v>
      </c>
    </row>
    <row r="294" spans="1:29" x14ac:dyDescent="0.2">
      <c r="A294">
        <v>41174709</v>
      </c>
      <c r="B294">
        <v>55117908</v>
      </c>
      <c r="C294">
        <v>55117908</v>
      </c>
      <c r="D294" t="s">
        <v>3505</v>
      </c>
      <c r="E294" s="9">
        <v>45389</v>
      </c>
      <c r="F294" s="9">
        <v>45764</v>
      </c>
      <c r="G294" t="s">
        <v>33</v>
      </c>
      <c r="H294" t="s">
        <v>34</v>
      </c>
      <c r="J294" t="s">
        <v>4173</v>
      </c>
      <c r="K294" t="s">
        <v>36</v>
      </c>
      <c r="L294" t="s">
        <v>37</v>
      </c>
      <c r="N294" t="s">
        <v>38</v>
      </c>
      <c r="O294" t="s">
        <v>40</v>
      </c>
      <c r="P294" t="s">
        <v>39</v>
      </c>
      <c r="Q294" t="s">
        <v>39</v>
      </c>
      <c r="R294" t="s">
        <v>40</v>
      </c>
      <c r="S294" t="s">
        <v>41</v>
      </c>
      <c r="T294" t="s">
        <v>41</v>
      </c>
      <c r="U294" t="s">
        <v>40</v>
      </c>
      <c r="V294" t="s">
        <v>40</v>
      </c>
      <c r="W294" t="s">
        <v>40</v>
      </c>
      <c r="AB294" t="s">
        <v>4174</v>
      </c>
    </row>
    <row r="295" spans="1:29" x14ac:dyDescent="0.2">
      <c r="A295">
        <v>41175263</v>
      </c>
      <c r="B295">
        <v>53740554</v>
      </c>
      <c r="C295" t="s">
        <v>4175</v>
      </c>
      <c r="D295" t="s">
        <v>3505</v>
      </c>
      <c r="E295" s="9">
        <v>45389</v>
      </c>
      <c r="F295" s="9">
        <v>45764</v>
      </c>
      <c r="G295" t="s">
        <v>33</v>
      </c>
      <c r="H295" t="s">
        <v>34</v>
      </c>
      <c r="J295" t="s">
        <v>234</v>
      </c>
      <c r="K295" t="s">
        <v>48</v>
      </c>
      <c r="L295" t="s">
        <v>164</v>
      </c>
      <c r="N295" t="s">
        <v>38</v>
      </c>
      <c r="O295" t="s">
        <v>40</v>
      </c>
      <c r="P295" t="s">
        <v>39</v>
      </c>
      <c r="Q295" t="s">
        <v>39</v>
      </c>
      <c r="R295" t="s">
        <v>40</v>
      </c>
      <c r="S295" t="s">
        <v>41</v>
      </c>
      <c r="T295" t="s">
        <v>41</v>
      </c>
      <c r="U295" t="s">
        <v>40</v>
      </c>
      <c r="V295" t="s">
        <v>40</v>
      </c>
      <c r="W295" t="s">
        <v>40</v>
      </c>
      <c r="X295" t="s">
        <v>4176</v>
      </c>
      <c r="AB295" t="s">
        <v>4177</v>
      </c>
    </row>
    <row r="296" spans="1:29" x14ac:dyDescent="0.2">
      <c r="A296">
        <v>41174698</v>
      </c>
      <c r="B296">
        <v>53921254</v>
      </c>
      <c r="C296" t="s">
        <v>4178</v>
      </c>
      <c r="D296" t="s">
        <v>3505</v>
      </c>
      <c r="E296" s="9">
        <v>45389</v>
      </c>
      <c r="F296" s="9">
        <v>45764</v>
      </c>
      <c r="G296" t="s">
        <v>33</v>
      </c>
      <c r="H296" t="s">
        <v>34</v>
      </c>
      <c r="J296" t="s">
        <v>4179</v>
      </c>
      <c r="K296" t="s">
        <v>48</v>
      </c>
      <c r="L296" t="s">
        <v>164</v>
      </c>
      <c r="N296" t="s">
        <v>38</v>
      </c>
      <c r="O296" t="s">
        <v>40</v>
      </c>
      <c r="P296" t="s">
        <v>39</v>
      </c>
      <c r="Q296" t="s">
        <v>39</v>
      </c>
      <c r="R296" t="s">
        <v>40</v>
      </c>
      <c r="S296" t="s">
        <v>41</v>
      </c>
      <c r="T296" t="s">
        <v>41</v>
      </c>
      <c r="U296" t="s">
        <v>40</v>
      </c>
      <c r="V296" t="s">
        <v>40</v>
      </c>
      <c r="W296" t="s">
        <v>40</v>
      </c>
      <c r="AB296" t="s">
        <v>4180</v>
      </c>
      <c r="AC296" t="s">
        <v>4181</v>
      </c>
    </row>
    <row r="297" spans="1:29" x14ac:dyDescent="0.2">
      <c r="A297">
        <v>41174693</v>
      </c>
      <c r="B297">
        <v>53921250</v>
      </c>
      <c r="C297" t="s">
        <v>4182</v>
      </c>
      <c r="D297" t="s">
        <v>3505</v>
      </c>
      <c r="E297" s="9">
        <v>45389</v>
      </c>
      <c r="F297" s="9">
        <v>45429</v>
      </c>
      <c r="G297" t="s">
        <v>33</v>
      </c>
      <c r="H297" t="s">
        <v>34</v>
      </c>
      <c r="J297" t="s">
        <v>3501</v>
      </c>
      <c r="K297" t="s">
        <v>36</v>
      </c>
      <c r="L297" t="s">
        <v>164</v>
      </c>
      <c r="N297" t="s">
        <v>38</v>
      </c>
      <c r="O297" t="s">
        <v>40</v>
      </c>
      <c r="P297" t="s">
        <v>39</v>
      </c>
      <c r="Q297" t="s">
        <v>39</v>
      </c>
      <c r="R297" t="s">
        <v>40</v>
      </c>
      <c r="S297" t="s">
        <v>41</v>
      </c>
      <c r="T297" t="s">
        <v>41</v>
      </c>
      <c r="U297" t="s">
        <v>40</v>
      </c>
      <c r="V297" t="s">
        <v>40</v>
      </c>
      <c r="W297" t="s">
        <v>40</v>
      </c>
      <c r="AB297" t="s">
        <v>4183</v>
      </c>
      <c r="AC297" t="s">
        <v>4184</v>
      </c>
    </row>
    <row r="298" spans="1:29" x14ac:dyDescent="0.2">
      <c r="A298">
        <v>41175279</v>
      </c>
      <c r="B298">
        <v>54513709</v>
      </c>
      <c r="C298" t="s">
        <v>4185</v>
      </c>
      <c r="D298" t="s">
        <v>3505</v>
      </c>
      <c r="E298" s="9">
        <v>45389</v>
      </c>
      <c r="F298" s="9">
        <v>45764</v>
      </c>
      <c r="G298" t="s">
        <v>33</v>
      </c>
      <c r="H298" t="s">
        <v>34</v>
      </c>
      <c r="J298" t="s">
        <v>107</v>
      </c>
      <c r="K298" t="s">
        <v>36</v>
      </c>
      <c r="L298" t="s">
        <v>164</v>
      </c>
      <c r="N298" t="s">
        <v>38</v>
      </c>
      <c r="O298" t="s">
        <v>40</v>
      </c>
      <c r="P298" t="s">
        <v>39</v>
      </c>
      <c r="Q298" t="s">
        <v>39</v>
      </c>
      <c r="R298" t="s">
        <v>40</v>
      </c>
      <c r="S298" t="s">
        <v>41</v>
      </c>
      <c r="T298" t="s">
        <v>41</v>
      </c>
      <c r="U298" t="s">
        <v>40</v>
      </c>
      <c r="V298" t="s">
        <v>40</v>
      </c>
      <c r="W298" t="s">
        <v>40</v>
      </c>
      <c r="X298" t="s">
        <v>4186</v>
      </c>
      <c r="AB298" t="s">
        <v>4187</v>
      </c>
    </row>
    <row r="299" spans="1:29" x14ac:dyDescent="0.2">
      <c r="A299">
        <v>41175106</v>
      </c>
      <c r="B299">
        <v>52903136</v>
      </c>
      <c r="C299" t="s">
        <v>4188</v>
      </c>
      <c r="D299" t="s">
        <v>3505</v>
      </c>
      <c r="E299" s="9">
        <v>45389</v>
      </c>
      <c r="F299" s="9">
        <v>45764</v>
      </c>
      <c r="G299" t="s">
        <v>33</v>
      </c>
      <c r="H299" t="s">
        <v>34</v>
      </c>
      <c r="J299" t="s">
        <v>1245</v>
      </c>
      <c r="K299" t="s">
        <v>36</v>
      </c>
      <c r="L299" t="s">
        <v>37</v>
      </c>
      <c r="N299" t="s">
        <v>38</v>
      </c>
      <c r="O299" t="s">
        <v>40</v>
      </c>
      <c r="P299" t="s">
        <v>39</v>
      </c>
      <c r="Q299" t="s">
        <v>39</v>
      </c>
      <c r="R299" t="s">
        <v>40</v>
      </c>
      <c r="S299" t="s">
        <v>41</v>
      </c>
      <c r="T299" t="s">
        <v>41</v>
      </c>
      <c r="U299" t="s">
        <v>40</v>
      </c>
      <c r="V299" t="s">
        <v>40</v>
      </c>
      <c r="W299" t="s">
        <v>40</v>
      </c>
      <c r="X299" t="s">
        <v>4189</v>
      </c>
      <c r="AB299" t="s">
        <v>4190</v>
      </c>
    </row>
    <row r="300" spans="1:29" x14ac:dyDescent="0.2">
      <c r="A300">
        <v>41175276</v>
      </c>
      <c r="B300">
        <v>53929434</v>
      </c>
      <c r="C300" t="s">
        <v>4191</v>
      </c>
      <c r="D300" t="s">
        <v>3505</v>
      </c>
      <c r="E300" s="9">
        <v>45389</v>
      </c>
      <c r="F300" s="9">
        <v>45764</v>
      </c>
      <c r="G300" t="s">
        <v>33</v>
      </c>
      <c r="H300" t="s">
        <v>34</v>
      </c>
      <c r="J300" t="s">
        <v>222</v>
      </c>
      <c r="K300" t="s">
        <v>48</v>
      </c>
      <c r="L300" t="s">
        <v>37</v>
      </c>
      <c r="N300" t="s">
        <v>38</v>
      </c>
      <c r="O300" t="s">
        <v>40</v>
      </c>
      <c r="P300" t="s">
        <v>39</v>
      </c>
      <c r="Q300" t="s">
        <v>39</v>
      </c>
      <c r="R300" t="s">
        <v>40</v>
      </c>
      <c r="S300" t="s">
        <v>41</v>
      </c>
      <c r="T300" t="s">
        <v>41</v>
      </c>
      <c r="U300" t="s">
        <v>40</v>
      </c>
      <c r="V300" t="s">
        <v>40</v>
      </c>
      <c r="W300" t="s">
        <v>40</v>
      </c>
      <c r="X300" t="s">
        <v>4192</v>
      </c>
      <c r="AB300" t="s">
        <v>4193</v>
      </c>
    </row>
    <row r="301" spans="1:29" x14ac:dyDescent="0.2">
      <c r="A301">
        <v>41174703</v>
      </c>
      <c r="B301">
        <v>54131282</v>
      </c>
      <c r="C301" t="s">
        <v>4194</v>
      </c>
      <c r="D301" t="s">
        <v>3505</v>
      </c>
      <c r="E301" s="9">
        <v>45389</v>
      </c>
      <c r="F301" s="9">
        <v>45764</v>
      </c>
      <c r="G301" t="s">
        <v>33</v>
      </c>
      <c r="H301" t="s">
        <v>34</v>
      </c>
      <c r="J301" t="s">
        <v>35</v>
      </c>
      <c r="K301" t="s">
        <v>36</v>
      </c>
      <c r="L301" t="s">
        <v>164</v>
      </c>
      <c r="N301" t="s">
        <v>38</v>
      </c>
      <c r="O301" t="s">
        <v>40</v>
      </c>
      <c r="P301" t="s">
        <v>39</v>
      </c>
      <c r="Q301" t="s">
        <v>39</v>
      </c>
      <c r="R301" t="s">
        <v>40</v>
      </c>
      <c r="S301" t="s">
        <v>41</v>
      </c>
      <c r="T301" t="s">
        <v>41</v>
      </c>
      <c r="U301" t="s">
        <v>40</v>
      </c>
      <c r="V301" t="s">
        <v>40</v>
      </c>
      <c r="W301" t="s">
        <v>40</v>
      </c>
      <c r="AB301" t="s">
        <v>4195</v>
      </c>
    </row>
    <row r="302" spans="1:29" x14ac:dyDescent="0.2">
      <c r="A302">
        <v>41175074</v>
      </c>
      <c r="B302">
        <v>55547748</v>
      </c>
      <c r="C302" t="s">
        <v>4196</v>
      </c>
      <c r="D302" t="s">
        <v>3505</v>
      </c>
      <c r="E302" s="9">
        <v>45389</v>
      </c>
      <c r="F302" s="9">
        <v>45764</v>
      </c>
      <c r="G302" t="s">
        <v>33</v>
      </c>
      <c r="H302" t="s">
        <v>34</v>
      </c>
      <c r="J302" t="s">
        <v>234</v>
      </c>
      <c r="K302" t="s">
        <v>48</v>
      </c>
      <c r="L302" t="s">
        <v>37</v>
      </c>
      <c r="N302" t="s">
        <v>38</v>
      </c>
      <c r="O302" t="s">
        <v>40</v>
      </c>
      <c r="P302" t="s">
        <v>39</v>
      </c>
      <c r="Q302" t="s">
        <v>39</v>
      </c>
      <c r="R302" t="s">
        <v>40</v>
      </c>
      <c r="S302" t="s">
        <v>41</v>
      </c>
      <c r="T302" t="s">
        <v>41</v>
      </c>
      <c r="U302" t="s">
        <v>40</v>
      </c>
      <c r="V302" t="s">
        <v>40</v>
      </c>
      <c r="W302" t="s">
        <v>40</v>
      </c>
    </row>
    <row r="303" spans="1:29" x14ac:dyDescent="0.2">
      <c r="A303">
        <v>41175290</v>
      </c>
      <c r="B303">
        <v>55024233</v>
      </c>
      <c r="C303" t="s">
        <v>4197</v>
      </c>
      <c r="D303" t="s">
        <v>3505</v>
      </c>
      <c r="E303" s="9">
        <v>45389</v>
      </c>
      <c r="F303" s="9">
        <v>45764</v>
      </c>
      <c r="G303" t="s">
        <v>33</v>
      </c>
      <c r="H303" t="s">
        <v>34</v>
      </c>
      <c r="J303" t="s">
        <v>222</v>
      </c>
      <c r="K303" t="s">
        <v>36</v>
      </c>
      <c r="L303" t="s">
        <v>164</v>
      </c>
      <c r="N303" t="s">
        <v>38</v>
      </c>
      <c r="O303" t="s">
        <v>40</v>
      </c>
      <c r="P303" t="s">
        <v>39</v>
      </c>
      <c r="Q303" t="s">
        <v>39</v>
      </c>
      <c r="R303" t="s">
        <v>40</v>
      </c>
      <c r="S303" t="s">
        <v>41</v>
      </c>
      <c r="T303" t="s">
        <v>41</v>
      </c>
      <c r="U303" t="s">
        <v>40</v>
      </c>
      <c r="V303" t="s">
        <v>40</v>
      </c>
      <c r="W303" t="s">
        <v>40</v>
      </c>
      <c r="X303" t="s">
        <v>4198</v>
      </c>
      <c r="AB303" t="s">
        <v>4199</v>
      </c>
    </row>
    <row r="304" spans="1:29" x14ac:dyDescent="0.2">
      <c r="A304">
        <v>41175272</v>
      </c>
      <c r="B304">
        <v>52896883</v>
      </c>
      <c r="C304" t="s">
        <v>4200</v>
      </c>
      <c r="D304" t="s">
        <v>3505</v>
      </c>
      <c r="E304" s="9">
        <v>45389</v>
      </c>
      <c r="F304" s="9">
        <v>45764</v>
      </c>
      <c r="G304" t="s">
        <v>33</v>
      </c>
      <c r="H304" t="s">
        <v>34</v>
      </c>
      <c r="J304" t="s">
        <v>107</v>
      </c>
      <c r="K304" t="s">
        <v>48</v>
      </c>
      <c r="L304" t="s">
        <v>164</v>
      </c>
      <c r="N304" t="s">
        <v>38</v>
      </c>
      <c r="O304" t="s">
        <v>40</v>
      </c>
      <c r="P304" t="s">
        <v>39</v>
      </c>
      <c r="Q304" t="s">
        <v>39</v>
      </c>
      <c r="R304" t="s">
        <v>40</v>
      </c>
      <c r="S304" t="s">
        <v>41</v>
      </c>
      <c r="T304" t="s">
        <v>41</v>
      </c>
      <c r="U304" t="s">
        <v>40</v>
      </c>
      <c r="V304" t="s">
        <v>40</v>
      </c>
      <c r="W304" t="s">
        <v>40</v>
      </c>
      <c r="X304" t="s">
        <v>4201</v>
      </c>
      <c r="AB304" t="s">
        <v>4202</v>
      </c>
    </row>
    <row r="305" spans="1:29" x14ac:dyDescent="0.2">
      <c r="A305">
        <v>41175049</v>
      </c>
      <c r="B305">
        <v>55443499</v>
      </c>
      <c r="C305" t="s">
        <v>4203</v>
      </c>
      <c r="D305" t="s">
        <v>3505</v>
      </c>
      <c r="E305" s="9">
        <v>45389</v>
      </c>
      <c r="F305" s="9">
        <v>45429</v>
      </c>
      <c r="G305" t="s">
        <v>33</v>
      </c>
      <c r="H305" t="s">
        <v>34</v>
      </c>
      <c r="J305" t="s">
        <v>4179</v>
      </c>
      <c r="K305" t="s">
        <v>48</v>
      </c>
      <c r="L305" t="s">
        <v>230</v>
      </c>
      <c r="N305" t="s">
        <v>38</v>
      </c>
      <c r="O305" t="s">
        <v>40</v>
      </c>
      <c r="P305" t="s">
        <v>39</v>
      </c>
      <c r="Q305" t="s">
        <v>39</v>
      </c>
      <c r="R305" t="s">
        <v>40</v>
      </c>
      <c r="S305" t="s">
        <v>41</v>
      </c>
      <c r="T305" t="s">
        <v>41</v>
      </c>
      <c r="U305" t="s">
        <v>40</v>
      </c>
      <c r="V305" t="s">
        <v>40</v>
      </c>
      <c r="W305" t="s">
        <v>40</v>
      </c>
      <c r="AB305" t="s">
        <v>4204</v>
      </c>
    </row>
    <row r="306" spans="1:29" x14ac:dyDescent="0.2">
      <c r="A306">
        <v>41174690</v>
      </c>
      <c r="B306">
        <v>53764668</v>
      </c>
      <c r="C306" t="s">
        <v>4205</v>
      </c>
      <c r="D306" t="s">
        <v>3505</v>
      </c>
      <c r="E306" s="9">
        <v>45389</v>
      </c>
      <c r="F306" s="9">
        <v>45764</v>
      </c>
      <c r="G306" t="s">
        <v>33</v>
      </c>
      <c r="H306" t="s">
        <v>34</v>
      </c>
      <c r="J306" t="s">
        <v>4166</v>
      </c>
      <c r="K306" t="s">
        <v>36</v>
      </c>
      <c r="L306" t="s">
        <v>164</v>
      </c>
      <c r="N306" t="s">
        <v>38</v>
      </c>
      <c r="O306" t="s">
        <v>40</v>
      </c>
      <c r="P306" t="s">
        <v>39</v>
      </c>
      <c r="Q306" t="s">
        <v>39</v>
      </c>
      <c r="R306" t="s">
        <v>40</v>
      </c>
      <c r="S306" t="s">
        <v>41</v>
      </c>
      <c r="T306" t="s">
        <v>41</v>
      </c>
      <c r="U306" t="s">
        <v>40</v>
      </c>
      <c r="V306" t="s">
        <v>40</v>
      </c>
      <c r="W306" t="s">
        <v>40</v>
      </c>
      <c r="AB306" t="s">
        <v>4206</v>
      </c>
    </row>
    <row r="307" spans="1:29" x14ac:dyDescent="0.2">
      <c r="A307">
        <v>41175162</v>
      </c>
      <c r="B307">
        <v>55444676</v>
      </c>
      <c r="C307" t="s">
        <v>4207</v>
      </c>
      <c r="D307" t="s">
        <v>3505</v>
      </c>
      <c r="E307" s="9">
        <v>45389</v>
      </c>
      <c r="F307" s="9">
        <v>45764</v>
      </c>
      <c r="G307" t="s">
        <v>33</v>
      </c>
      <c r="H307" t="s">
        <v>34</v>
      </c>
      <c r="J307" t="s">
        <v>225</v>
      </c>
      <c r="K307" t="s">
        <v>48</v>
      </c>
      <c r="L307" t="s">
        <v>37</v>
      </c>
      <c r="N307" t="s">
        <v>38</v>
      </c>
      <c r="O307" t="s">
        <v>40</v>
      </c>
      <c r="P307" t="s">
        <v>39</v>
      </c>
      <c r="Q307" t="s">
        <v>39</v>
      </c>
      <c r="R307" t="s">
        <v>40</v>
      </c>
      <c r="S307" t="s">
        <v>41</v>
      </c>
      <c r="T307" t="s">
        <v>41</v>
      </c>
      <c r="U307" t="s">
        <v>40</v>
      </c>
      <c r="V307" t="s">
        <v>40</v>
      </c>
      <c r="W307" t="s">
        <v>40</v>
      </c>
      <c r="X307" t="s">
        <v>4208</v>
      </c>
      <c r="AB307" t="s">
        <v>4209</v>
      </c>
    </row>
    <row r="308" spans="1:29" x14ac:dyDescent="0.2">
      <c r="A308">
        <v>41175355</v>
      </c>
      <c r="B308">
        <v>55368154</v>
      </c>
      <c r="C308" t="s">
        <v>4210</v>
      </c>
      <c r="D308" t="s">
        <v>3505</v>
      </c>
      <c r="E308" s="9">
        <v>45389</v>
      </c>
      <c r="F308" s="9">
        <v>45429</v>
      </c>
      <c r="G308" t="s">
        <v>33</v>
      </c>
      <c r="H308" t="s">
        <v>4160</v>
      </c>
      <c r="J308" t="s">
        <v>4157</v>
      </c>
      <c r="K308" t="s">
        <v>48</v>
      </c>
      <c r="L308" t="s">
        <v>37</v>
      </c>
      <c r="N308" t="s">
        <v>38</v>
      </c>
      <c r="O308" t="s">
        <v>40</v>
      </c>
      <c r="P308" t="s">
        <v>39</v>
      </c>
      <c r="Q308" t="s">
        <v>39</v>
      </c>
      <c r="R308" t="s">
        <v>40</v>
      </c>
      <c r="S308" t="s">
        <v>41</v>
      </c>
      <c r="T308" t="s">
        <v>41</v>
      </c>
      <c r="U308" t="s">
        <v>40</v>
      </c>
      <c r="V308" t="s">
        <v>40</v>
      </c>
      <c r="W308" t="s">
        <v>40</v>
      </c>
      <c r="AB308" t="s">
        <v>4211</v>
      </c>
      <c r="AC308" t="s">
        <v>4212</v>
      </c>
    </row>
    <row r="309" spans="1:29" x14ac:dyDescent="0.2">
      <c r="A309">
        <v>41175017</v>
      </c>
      <c r="B309">
        <v>55368762</v>
      </c>
      <c r="C309" t="s">
        <v>4213</v>
      </c>
      <c r="D309" t="s">
        <v>3505</v>
      </c>
      <c r="E309" s="9">
        <v>45389</v>
      </c>
      <c r="F309" s="9">
        <v>45764</v>
      </c>
      <c r="G309" t="s">
        <v>33</v>
      </c>
      <c r="H309" t="s">
        <v>34</v>
      </c>
      <c r="J309" t="s">
        <v>234</v>
      </c>
      <c r="K309" t="s">
        <v>48</v>
      </c>
      <c r="L309" t="s">
        <v>49</v>
      </c>
      <c r="N309" t="s">
        <v>38</v>
      </c>
      <c r="O309" t="s">
        <v>40</v>
      </c>
      <c r="P309" t="s">
        <v>39</v>
      </c>
      <c r="Q309" t="s">
        <v>39</v>
      </c>
      <c r="R309" t="s">
        <v>40</v>
      </c>
      <c r="S309" t="s">
        <v>41</v>
      </c>
      <c r="T309" t="s">
        <v>41</v>
      </c>
      <c r="U309" t="s">
        <v>40</v>
      </c>
      <c r="V309" t="s">
        <v>40</v>
      </c>
      <c r="W309" t="s">
        <v>40</v>
      </c>
      <c r="AB309" t="s">
        <v>4214</v>
      </c>
    </row>
    <row r="310" spans="1:29" x14ac:dyDescent="0.2">
      <c r="A310">
        <v>41174688</v>
      </c>
      <c r="B310">
        <v>53670290</v>
      </c>
      <c r="C310" t="s">
        <v>4215</v>
      </c>
      <c r="D310" t="s">
        <v>3505</v>
      </c>
      <c r="E310" s="9">
        <v>45389</v>
      </c>
      <c r="F310" s="9">
        <v>45764</v>
      </c>
      <c r="G310" t="s">
        <v>33</v>
      </c>
      <c r="H310" t="s">
        <v>34</v>
      </c>
      <c r="J310" t="s">
        <v>107</v>
      </c>
      <c r="K310" t="s">
        <v>48</v>
      </c>
      <c r="L310" t="s">
        <v>37</v>
      </c>
      <c r="N310" t="s">
        <v>38</v>
      </c>
      <c r="O310" t="s">
        <v>40</v>
      </c>
      <c r="P310" t="s">
        <v>39</v>
      </c>
      <c r="Q310" t="s">
        <v>39</v>
      </c>
      <c r="R310" t="s">
        <v>40</v>
      </c>
      <c r="S310" t="s">
        <v>41</v>
      </c>
      <c r="T310" t="s">
        <v>41</v>
      </c>
      <c r="U310" t="s">
        <v>40</v>
      </c>
      <c r="V310" t="s">
        <v>40</v>
      </c>
      <c r="W310" t="s">
        <v>40</v>
      </c>
      <c r="AB310" t="s">
        <v>4216</v>
      </c>
    </row>
    <row r="311" spans="1:29" x14ac:dyDescent="0.2">
      <c r="A311">
        <v>41174711</v>
      </c>
      <c r="B311">
        <v>55368142</v>
      </c>
      <c r="C311" t="s">
        <v>4217</v>
      </c>
      <c r="D311" t="s">
        <v>3505</v>
      </c>
      <c r="E311" s="9">
        <v>45389</v>
      </c>
      <c r="F311" s="9">
        <v>45429</v>
      </c>
      <c r="G311" t="s">
        <v>33</v>
      </c>
      <c r="H311" t="s">
        <v>4160</v>
      </c>
      <c r="J311" t="s">
        <v>4157</v>
      </c>
      <c r="K311" t="s">
        <v>48</v>
      </c>
      <c r="L311" t="s">
        <v>37</v>
      </c>
      <c r="N311" t="s">
        <v>38</v>
      </c>
      <c r="O311" t="s">
        <v>40</v>
      </c>
      <c r="P311" t="s">
        <v>39</v>
      </c>
      <c r="Q311" t="s">
        <v>39</v>
      </c>
      <c r="R311" t="s">
        <v>40</v>
      </c>
      <c r="S311" t="s">
        <v>41</v>
      </c>
      <c r="T311" t="s">
        <v>41</v>
      </c>
      <c r="U311" t="s">
        <v>40</v>
      </c>
      <c r="V311" t="s">
        <v>40</v>
      </c>
      <c r="W311" t="s">
        <v>40</v>
      </c>
      <c r="AB311" t="s">
        <v>4218</v>
      </c>
    </row>
    <row r="312" spans="1:29" x14ac:dyDescent="0.2">
      <c r="A312">
        <v>41204233</v>
      </c>
      <c r="B312">
        <v>54912441</v>
      </c>
      <c r="C312" t="s">
        <v>4219</v>
      </c>
      <c r="D312" t="s">
        <v>3505</v>
      </c>
      <c r="E312" s="9">
        <v>45393</v>
      </c>
      <c r="F312" s="9">
        <v>45764</v>
      </c>
      <c r="G312" t="s">
        <v>33</v>
      </c>
      <c r="H312" t="s">
        <v>4160</v>
      </c>
      <c r="J312" t="s">
        <v>3625</v>
      </c>
      <c r="K312" t="s">
        <v>48</v>
      </c>
      <c r="L312" t="s">
        <v>49</v>
      </c>
      <c r="N312" t="s">
        <v>38</v>
      </c>
      <c r="O312" t="s">
        <v>40</v>
      </c>
      <c r="P312" t="s">
        <v>39</v>
      </c>
      <c r="Q312" t="s">
        <v>39</v>
      </c>
      <c r="R312" t="s">
        <v>40</v>
      </c>
      <c r="S312" t="s">
        <v>41</v>
      </c>
      <c r="T312" t="s">
        <v>41</v>
      </c>
      <c r="U312" t="s">
        <v>40</v>
      </c>
      <c r="V312" t="s">
        <v>40</v>
      </c>
      <c r="W312" t="s">
        <v>40</v>
      </c>
      <c r="AB312" t="s">
        <v>4220</v>
      </c>
    </row>
    <row r="313" spans="1:29" x14ac:dyDescent="0.2">
      <c r="A313">
        <v>41242874</v>
      </c>
      <c r="B313" t="s">
        <v>2946</v>
      </c>
      <c r="C313" t="s">
        <v>2947</v>
      </c>
      <c r="D313" t="s">
        <v>3500</v>
      </c>
      <c r="E313" s="9">
        <v>45398</v>
      </c>
      <c r="G313" t="s">
        <v>45</v>
      </c>
      <c r="H313" t="s">
        <v>4008</v>
      </c>
      <c r="J313" t="s">
        <v>60</v>
      </c>
      <c r="K313" t="s">
        <v>48</v>
      </c>
      <c r="L313" t="s">
        <v>49</v>
      </c>
      <c r="M313" t="s">
        <v>50</v>
      </c>
      <c r="O313" t="s">
        <v>39</v>
      </c>
      <c r="P313" t="s">
        <v>39</v>
      </c>
      <c r="Q313" t="s">
        <v>39</v>
      </c>
      <c r="R313" t="s">
        <v>41</v>
      </c>
      <c r="S313" t="s">
        <v>40</v>
      </c>
      <c r="T313" t="s">
        <v>41</v>
      </c>
      <c r="U313" t="s">
        <v>39</v>
      </c>
      <c r="V313" t="s">
        <v>39</v>
      </c>
      <c r="W313" t="s">
        <v>40</v>
      </c>
      <c r="AB313" t="s">
        <v>4221</v>
      </c>
      <c r="AC313" t="s">
        <v>4222</v>
      </c>
    </row>
    <row r="314" spans="1:29" x14ac:dyDescent="0.2">
      <c r="A314">
        <v>41242969</v>
      </c>
      <c r="B314" t="s">
        <v>4223</v>
      </c>
      <c r="C314" t="s">
        <v>3872</v>
      </c>
      <c r="D314" t="s">
        <v>3500</v>
      </c>
      <c r="E314" s="9">
        <v>45398</v>
      </c>
      <c r="G314" t="s">
        <v>45</v>
      </c>
      <c r="H314" t="s">
        <v>96</v>
      </c>
      <c r="J314" t="s">
        <v>47</v>
      </c>
      <c r="K314" t="s">
        <v>48</v>
      </c>
      <c r="L314" t="s">
        <v>37</v>
      </c>
      <c r="M314" t="s">
        <v>50</v>
      </c>
      <c r="O314" t="s">
        <v>39</v>
      </c>
      <c r="P314" t="s">
        <v>39</v>
      </c>
      <c r="Q314" t="s">
        <v>39</v>
      </c>
      <c r="R314" t="s">
        <v>41</v>
      </c>
      <c r="S314" t="s">
        <v>40</v>
      </c>
      <c r="T314" t="s">
        <v>41</v>
      </c>
      <c r="U314" t="s">
        <v>39</v>
      </c>
      <c r="V314" t="s">
        <v>39</v>
      </c>
      <c r="W314" t="s">
        <v>40</v>
      </c>
      <c r="AB314" t="s">
        <v>4224</v>
      </c>
      <c r="AC314" t="s">
        <v>4225</v>
      </c>
    </row>
    <row r="315" spans="1:29" x14ac:dyDescent="0.2">
      <c r="A315">
        <v>41242975</v>
      </c>
      <c r="B315" t="s">
        <v>4226</v>
      </c>
      <c r="C315" t="s">
        <v>4227</v>
      </c>
      <c r="D315" t="s">
        <v>3500</v>
      </c>
      <c r="E315" s="9">
        <v>45398</v>
      </c>
      <c r="G315" t="s">
        <v>45</v>
      </c>
      <c r="H315" t="s">
        <v>81</v>
      </c>
      <c r="J315" t="s">
        <v>154</v>
      </c>
      <c r="K315" t="s">
        <v>48</v>
      </c>
      <c r="L315" t="s">
        <v>37</v>
      </c>
      <c r="M315" t="s">
        <v>50</v>
      </c>
      <c r="O315" t="s">
        <v>39</v>
      </c>
      <c r="P315" t="s">
        <v>39</v>
      </c>
      <c r="Q315" t="s">
        <v>39</v>
      </c>
      <c r="R315" t="s">
        <v>41</v>
      </c>
      <c r="S315" t="s">
        <v>40</v>
      </c>
      <c r="T315" t="s">
        <v>41</v>
      </c>
      <c r="U315" t="s">
        <v>39</v>
      </c>
      <c r="V315" t="s">
        <v>39</v>
      </c>
      <c r="W315" t="s">
        <v>40</v>
      </c>
      <c r="AB315" t="s">
        <v>4228</v>
      </c>
    </row>
    <row r="316" spans="1:29" x14ac:dyDescent="0.2">
      <c r="A316">
        <v>41242268</v>
      </c>
      <c r="B316" t="s">
        <v>4229</v>
      </c>
      <c r="C316" t="s">
        <v>4230</v>
      </c>
      <c r="D316" t="s">
        <v>3505</v>
      </c>
      <c r="E316" s="9">
        <v>45398</v>
      </c>
      <c r="F316" s="9">
        <v>45405</v>
      </c>
      <c r="G316" t="s">
        <v>45</v>
      </c>
      <c r="H316" t="s">
        <v>3866</v>
      </c>
      <c r="J316" t="s">
        <v>47</v>
      </c>
      <c r="K316" t="s">
        <v>48</v>
      </c>
      <c r="L316" t="s">
        <v>37</v>
      </c>
      <c r="M316" t="s">
        <v>289</v>
      </c>
      <c r="O316" t="s">
        <v>39</v>
      </c>
      <c r="P316" t="s">
        <v>39</v>
      </c>
      <c r="Q316" t="s">
        <v>39</v>
      </c>
      <c r="R316" t="s">
        <v>41</v>
      </c>
      <c r="S316" t="s">
        <v>40</v>
      </c>
      <c r="T316" t="s">
        <v>41</v>
      </c>
      <c r="U316" t="s">
        <v>39</v>
      </c>
      <c r="V316" t="s">
        <v>39</v>
      </c>
      <c r="W316" t="s">
        <v>40</v>
      </c>
      <c r="AB316" t="s">
        <v>4231</v>
      </c>
    </row>
    <row r="317" spans="1:29" x14ac:dyDescent="0.2">
      <c r="A317">
        <v>41242481</v>
      </c>
      <c r="B317" t="s">
        <v>4232</v>
      </c>
      <c r="C317" t="s">
        <v>4233</v>
      </c>
      <c r="D317" t="s">
        <v>3500</v>
      </c>
      <c r="E317" s="9">
        <v>45398</v>
      </c>
      <c r="G317" t="s">
        <v>45</v>
      </c>
      <c r="H317" t="s">
        <v>4008</v>
      </c>
      <c r="J317" t="s">
        <v>154</v>
      </c>
      <c r="K317" t="s">
        <v>36</v>
      </c>
      <c r="L317" t="s">
        <v>49</v>
      </c>
      <c r="M317" t="s">
        <v>50</v>
      </c>
      <c r="O317" t="s">
        <v>39</v>
      </c>
      <c r="P317" t="s">
        <v>39</v>
      </c>
      <c r="Q317" t="s">
        <v>39</v>
      </c>
      <c r="R317" t="s">
        <v>41</v>
      </c>
      <c r="S317" t="s">
        <v>40</v>
      </c>
      <c r="T317" t="s">
        <v>41</v>
      </c>
      <c r="U317" t="s">
        <v>39</v>
      </c>
      <c r="V317" t="s">
        <v>39</v>
      </c>
      <c r="W317" t="s">
        <v>40</v>
      </c>
      <c r="AB317" t="s">
        <v>4234</v>
      </c>
    </row>
    <row r="318" spans="1:29" x14ac:dyDescent="0.2">
      <c r="A318">
        <v>41242249</v>
      </c>
      <c r="B318" t="s">
        <v>4235</v>
      </c>
      <c r="C318" t="s">
        <v>4236</v>
      </c>
      <c r="D318" t="s">
        <v>3500</v>
      </c>
      <c r="E318" s="9">
        <v>45398</v>
      </c>
      <c r="G318" t="s">
        <v>45</v>
      </c>
      <c r="H318" t="s">
        <v>81</v>
      </c>
      <c r="J318" t="s">
        <v>154</v>
      </c>
      <c r="K318" t="s">
        <v>48</v>
      </c>
      <c r="L318" t="s">
        <v>37</v>
      </c>
      <c r="M318" t="s">
        <v>50</v>
      </c>
      <c r="O318" t="s">
        <v>39</v>
      </c>
      <c r="P318" t="s">
        <v>39</v>
      </c>
      <c r="Q318" t="s">
        <v>39</v>
      </c>
      <c r="R318" t="s">
        <v>41</v>
      </c>
      <c r="S318" t="s">
        <v>40</v>
      </c>
      <c r="T318" t="s">
        <v>41</v>
      </c>
      <c r="U318" t="s">
        <v>39</v>
      </c>
      <c r="V318" t="s">
        <v>39</v>
      </c>
      <c r="W318" t="s">
        <v>40</v>
      </c>
      <c r="AB318" t="s">
        <v>4237</v>
      </c>
    </row>
    <row r="319" spans="1:29" x14ac:dyDescent="0.2">
      <c r="A319">
        <v>41242462</v>
      </c>
      <c r="B319" t="s">
        <v>4238</v>
      </c>
      <c r="C319" t="s">
        <v>4239</v>
      </c>
      <c r="D319" t="s">
        <v>3500</v>
      </c>
      <c r="E319" s="9">
        <v>45398</v>
      </c>
      <c r="G319" t="s">
        <v>45</v>
      </c>
      <c r="H319" t="s">
        <v>3883</v>
      </c>
      <c r="J319" t="s">
        <v>73</v>
      </c>
      <c r="K319" t="s">
        <v>36</v>
      </c>
      <c r="L319" t="s">
        <v>49</v>
      </c>
      <c r="M319" t="s">
        <v>74</v>
      </c>
      <c r="O319" t="s">
        <v>39</v>
      </c>
      <c r="P319" t="s">
        <v>39</v>
      </c>
      <c r="Q319" t="s">
        <v>39</v>
      </c>
      <c r="R319" t="s">
        <v>41</v>
      </c>
      <c r="S319" t="s">
        <v>40</v>
      </c>
      <c r="T319" t="s">
        <v>41</v>
      </c>
      <c r="U319" t="s">
        <v>39</v>
      </c>
      <c r="V319" t="s">
        <v>39</v>
      </c>
      <c r="W319" t="s">
        <v>41</v>
      </c>
      <c r="AB319" t="s">
        <v>4240</v>
      </c>
    </row>
    <row r="320" spans="1:29" x14ac:dyDescent="0.2">
      <c r="A320">
        <v>41242459</v>
      </c>
      <c r="B320" t="s">
        <v>4241</v>
      </c>
      <c r="C320" t="s">
        <v>4242</v>
      </c>
      <c r="D320" t="s">
        <v>3505</v>
      </c>
      <c r="E320" s="9">
        <v>45398</v>
      </c>
      <c r="F320" s="9">
        <v>45405</v>
      </c>
      <c r="G320" t="s">
        <v>45</v>
      </c>
      <c r="H320" t="s">
        <v>96</v>
      </c>
      <c r="J320" t="s">
        <v>138</v>
      </c>
      <c r="K320" t="s">
        <v>36</v>
      </c>
      <c r="L320" t="s">
        <v>37</v>
      </c>
      <c r="M320" t="s">
        <v>50</v>
      </c>
      <c r="O320" t="s">
        <v>39</v>
      </c>
      <c r="P320" t="s">
        <v>39</v>
      </c>
      <c r="Q320" t="s">
        <v>39</v>
      </c>
      <c r="R320" t="s">
        <v>41</v>
      </c>
      <c r="S320" t="s">
        <v>40</v>
      </c>
      <c r="T320" t="s">
        <v>41</v>
      </c>
      <c r="U320" t="s">
        <v>39</v>
      </c>
      <c r="V320" t="s">
        <v>39</v>
      </c>
      <c r="W320" t="s">
        <v>40</v>
      </c>
    </row>
    <row r="321" spans="1:30" x14ac:dyDescent="0.2">
      <c r="A321">
        <v>41242261</v>
      </c>
      <c r="B321" t="s">
        <v>4243</v>
      </c>
      <c r="C321" t="s">
        <v>4244</v>
      </c>
      <c r="D321" t="s">
        <v>3500</v>
      </c>
      <c r="E321" s="9">
        <v>45398</v>
      </c>
      <c r="G321" t="s">
        <v>45</v>
      </c>
      <c r="H321" t="s">
        <v>96</v>
      </c>
      <c r="J321" t="s">
        <v>254</v>
      </c>
      <c r="K321" t="s">
        <v>48</v>
      </c>
      <c r="L321" t="s">
        <v>49</v>
      </c>
      <c r="M321" t="s">
        <v>50</v>
      </c>
      <c r="O321" t="s">
        <v>39</v>
      </c>
      <c r="P321" t="s">
        <v>39</v>
      </c>
      <c r="Q321" t="s">
        <v>39</v>
      </c>
      <c r="R321" t="s">
        <v>41</v>
      </c>
      <c r="S321" t="s">
        <v>40</v>
      </c>
      <c r="T321" t="s">
        <v>41</v>
      </c>
      <c r="U321" t="s">
        <v>39</v>
      </c>
      <c r="V321" t="s">
        <v>39</v>
      </c>
      <c r="W321" t="s">
        <v>40</v>
      </c>
      <c r="AB321" t="s">
        <v>4245</v>
      </c>
      <c r="AC321" t="s">
        <v>4246</v>
      </c>
    </row>
    <row r="322" spans="1:30" x14ac:dyDescent="0.2">
      <c r="A322">
        <v>41242598</v>
      </c>
      <c r="B322" t="s">
        <v>4247</v>
      </c>
      <c r="C322" t="s">
        <v>4248</v>
      </c>
      <c r="D322" t="s">
        <v>3500</v>
      </c>
      <c r="E322" s="9">
        <v>45398</v>
      </c>
      <c r="G322" t="s">
        <v>45</v>
      </c>
      <c r="H322" t="s">
        <v>3565</v>
      </c>
      <c r="J322" t="s">
        <v>123</v>
      </c>
      <c r="K322" t="s">
        <v>48</v>
      </c>
      <c r="L322" t="s">
        <v>230</v>
      </c>
      <c r="M322" t="s">
        <v>50</v>
      </c>
      <c r="O322" t="s">
        <v>39</v>
      </c>
      <c r="P322" t="s">
        <v>39</v>
      </c>
      <c r="Q322" t="s">
        <v>39</v>
      </c>
      <c r="R322" t="s">
        <v>41</v>
      </c>
      <c r="S322" t="s">
        <v>40</v>
      </c>
      <c r="T322" t="s">
        <v>41</v>
      </c>
      <c r="U322" t="s">
        <v>39</v>
      </c>
      <c r="V322" t="s">
        <v>39</v>
      </c>
      <c r="W322" t="s">
        <v>40</v>
      </c>
      <c r="AB322" t="s">
        <v>4249</v>
      </c>
    </row>
    <row r="323" spans="1:30" x14ac:dyDescent="0.2">
      <c r="A323">
        <v>41242511</v>
      </c>
      <c r="B323" t="s">
        <v>4250</v>
      </c>
      <c r="C323" t="s">
        <v>4251</v>
      </c>
      <c r="D323" t="s">
        <v>3505</v>
      </c>
      <c r="E323" s="9">
        <v>45398</v>
      </c>
      <c r="F323" s="9">
        <v>45405</v>
      </c>
      <c r="G323" t="s">
        <v>45</v>
      </c>
      <c r="H323" t="s">
        <v>53</v>
      </c>
      <c r="J323" t="s">
        <v>154</v>
      </c>
      <c r="K323" t="s">
        <v>36</v>
      </c>
      <c r="L323" t="s">
        <v>49</v>
      </c>
      <c r="M323" t="s">
        <v>50</v>
      </c>
      <c r="O323" t="s">
        <v>39</v>
      </c>
      <c r="P323" t="s">
        <v>39</v>
      </c>
      <c r="Q323" t="s">
        <v>39</v>
      </c>
      <c r="R323" t="s">
        <v>41</v>
      </c>
      <c r="S323" t="s">
        <v>40</v>
      </c>
      <c r="T323" t="s">
        <v>41</v>
      </c>
      <c r="U323" t="s">
        <v>39</v>
      </c>
      <c r="V323" t="s">
        <v>39</v>
      </c>
      <c r="W323" t="s">
        <v>40</v>
      </c>
      <c r="AB323" t="s">
        <v>4252</v>
      </c>
      <c r="AC323" t="s">
        <v>4253</v>
      </c>
      <c r="AD323" t="s">
        <v>4254</v>
      </c>
    </row>
    <row r="324" spans="1:30" x14ac:dyDescent="0.2">
      <c r="A324">
        <v>41242465</v>
      </c>
      <c r="B324" t="s">
        <v>4255</v>
      </c>
      <c r="C324" t="s">
        <v>4256</v>
      </c>
      <c r="D324" t="s">
        <v>3500</v>
      </c>
      <c r="E324" s="9">
        <v>45398</v>
      </c>
      <c r="G324" t="s">
        <v>45</v>
      </c>
      <c r="H324" t="s">
        <v>3866</v>
      </c>
      <c r="J324" t="s">
        <v>47</v>
      </c>
      <c r="K324" t="s">
        <v>48</v>
      </c>
      <c r="L324" t="s">
        <v>37</v>
      </c>
      <c r="M324" t="s">
        <v>289</v>
      </c>
      <c r="O324" t="s">
        <v>39</v>
      </c>
      <c r="P324" t="s">
        <v>39</v>
      </c>
      <c r="Q324" t="s">
        <v>39</v>
      </c>
      <c r="R324" t="s">
        <v>41</v>
      </c>
      <c r="S324" t="s">
        <v>40</v>
      </c>
      <c r="T324" t="s">
        <v>41</v>
      </c>
      <c r="U324" t="s">
        <v>39</v>
      </c>
      <c r="V324" t="s">
        <v>39</v>
      </c>
      <c r="W324" t="s">
        <v>40</v>
      </c>
      <c r="AB324" t="s">
        <v>4257</v>
      </c>
    </row>
    <row r="325" spans="1:30" x14ac:dyDescent="0.2">
      <c r="A325">
        <v>41242478</v>
      </c>
      <c r="B325" t="s">
        <v>4258</v>
      </c>
      <c r="C325" t="s">
        <v>4259</v>
      </c>
      <c r="D325" t="s">
        <v>3500</v>
      </c>
      <c r="E325" s="9">
        <v>45398</v>
      </c>
      <c r="G325" t="s">
        <v>45</v>
      </c>
      <c r="H325" t="s">
        <v>81</v>
      </c>
      <c r="J325" t="s">
        <v>154</v>
      </c>
      <c r="K325" t="s">
        <v>48</v>
      </c>
      <c r="L325" t="s">
        <v>49</v>
      </c>
      <c r="M325" t="s">
        <v>50</v>
      </c>
      <c r="O325" t="s">
        <v>39</v>
      </c>
      <c r="P325" t="s">
        <v>39</v>
      </c>
      <c r="Q325" t="s">
        <v>39</v>
      </c>
      <c r="R325" t="s">
        <v>41</v>
      </c>
      <c r="S325" t="s">
        <v>40</v>
      </c>
      <c r="T325" t="s">
        <v>41</v>
      </c>
      <c r="U325" t="s">
        <v>39</v>
      </c>
      <c r="V325" t="s">
        <v>39</v>
      </c>
      <c r="W325" t="s">
        <v>40</v>
      </c>
      <c r="AB325" t="s">
        <v>4260</v>
      </c>
    </row>
    <row r="326" spans="1:30" x14ac:dyDescent="0.2">
      <c r="A326">
        <v>41242450</v>
      </c>
      <c r="B326" t="s">
        <v>4261</v>
      </c>
      <c r="C326" t="s">
        <v>4262</v>
      </c>
      <c r="D326" t="s">
        <v>3505</v>
      </c>
      <c r="E326" s="9">
        <v>45398</v>
      </c>
      <c r="F326" s="9">
        <v>45405</v>
      </c>
      <c r="G326" t="s">
        <v>45</v>
      </c>
      <c r="H326" t="s">
        <v>3866</v>
      </c>
      <c r="J326" t="s">
        <v>47</v>
      </c>
      <c r="K326" t="s">
        <v>48</v>
      </c>
      <c r="L326" t="s">
        <v>37</v>
      </c>
      <c r="M326" t="s">
        <v>50</v>
      </c>
      <c r="O326" t="s">
        <v>39</v>
      </c>
      <c r="P326" t="s">
        <v>39</v>
      </c>
      <c r="Q326" t="s">
        <v>39</v>
      </c>
      <c r="R326" t="s">
        <v>41</v>
      </c>
      <c r="S326" t="s">
        <v>40</v>
      </c>
      <c r="T326" t="s">
        <v>41</v>
      </c>
      <c r="U326" t="s">
        <v>39</v>
      </c>
      <c r="V326" t="s">
        <v>39</v>
      </c>
      <c r="W326" t="s">
        <v>40</v>
      </c>
      <c r="AB326" t="s">
        <v>4263</v>
      </c>
    </row>
    <row r="327" spans="1:30" x14ac:dyDescent="0.2">
      <c r="A327">
        <v>41242274</v>
      </c>
      <c r="B327" t="s">
        <v>4264</v>
      </c>
      <c r="C327" t="s">
        <v>4265</v>
      </c>
      <c r="D327" t="s">
        <v>3500</v>
      </c>
      <c r="E327" s="9">
        <v>45398</v>
      </c>
      <c r="G327" t="s">
        <v>45</v>
      </c>
      <c r="H327" t="s">
        <v>81</v>
      </c>
      <c r="J327" t="s">
        <v>342</v>
      </c>
      <c r="K327" t="s">
        <v>36</v>
      </c>
      <c r="L327" t="s">
        <v>49</v>
      </c>
      <c r="M327" t="s">
        <v>50</v>
      </c>
      <c r="O327" t="s">
        <v>39</v>
      </c>
      <c r="P327" t="s">
        <v>39</v>
      </c>
      <c r="Q327" t="s">
        <v>39</v>
      </c>
      <c r="R327" t="s">
        <v>41</v>
      </c>
      <c r="S327" t="s">
        <v>40</v>
      </c>
      <c r="T327" t="s">
        <v>41</v>
      </c>
      <c r="U327" t="s">
        <v>39</v>
      </c>
      <c r="V327" t="s">
        <v>39</v>
      </c>
      <c r="W327" t="s">
        <v>40</v>
      </c>
      <c r="AB327" t="s">
        <v>4266</v>
      </c>
    </row>
    <row r="328" spans="1:30" x14ac:dyDescent="0.2">
      <c r="A328">
        <v>41308685</v>
      </c>
      <c r="B328" t="s">
        <v>4267</v>
      </c>
      <c r="C328" t="s">
        <v>4268</v>
      </c>
      <c r="D328" t="s">
        <v>3500</v>
      </c>
      <c r="E328" s="9">
        <v>45407</v>
      </c>
      <c r="G328" t="s">
        <v>45</v>
      </c>
      <c r="H328" t="s">
        <v>90</v>
      </c>
      <c r="J328" t="s">
        <v>154</v>
      </c>
      <c r="K328" t="s">
        <v>36</v>
      </c>
      <c r="L328" t="s">
        <v>37</v>
      </c>
      <c r="M328" t="s">
        <v>289</v>
      </c>
      <c r="O328" t="s">
        <v>39</v>
      </c>
      <c r="P328" t="s">
        <v>39</v>
      </c>
      <c r="Q328" t="s">
        <v>39</v>
      </c>
      <c r="R328" t="s">
        <v>41</v>
      </c>
      <c r="S328" t="s">
        <v>40</v>
      </c>
      <c r="T328" t="s">
        <v>41</v>
      </c>
      <c r="U328" t="s">
        <v>39</v>
      </c>
      <c r="V328" t="s">
        <v>39</v>
      </c>
      <c r="W328" t="s">
        <v>40</v>
      </c>
      <c r="AB328" t="s">
        <v>4269</v>
      </c>
      <c r="AC328" t="s">
        <v>4270</v>
      </c>
    </row>
    <row r="329" spans="1:30" x14ac:dyDescent="0.2">
      <c r="A329">
        <v>41308723</v>
      </c>
      <c r="B329" t="s">
        <v>4271</v>
      </c>
      <c r="C329" t="s">
        <v>4272</v>
      </c>
      <c r="D329" t="s">
        <v>3500</v>
      </c>
      <c r="E329" s="9">
        <v>45407</v>
      </c>
      <c r="G329" t="s">
        <v>45</v>
      </c>
      <c r="H329" t="s">
        <v>90</v>
      </c>
      <c r="J329" t="s">
        <v>154</v>
      </c>
      <c r="K329" t="s">
        <v>36</v>
      </c>
      <c r="L329" t="s">
        <v>37</v>
      </c>
      <c r="M329" t="s">
        <v>50</v>
      </c>
      <c r="O329" t="s">
        <v>39</v>
      </c>
      <c r="P329" t="s">
        <v>39</v>
      </c>
      <c r="Q329" t="s">
        <v>39</v>
      </c>
      <c r="R329" t="s">
        <v>41</v>
      </c>
      <c r="S329" t="s">
        <v>40</v>
      </c>
      <c r="T329" t="s">
        <v>41</v>
      </c>
      <c r="U329" t="s">
        <v>39</v>
      </c>
      <c r="V329" t="s">
        <v>39</v>
      </c>
      <c r="W329" t="s">
        <v>40</v>
      </c>
    </row>
    <row r="330" spans="1:30" x14ac:dyDescent="0.2">
      <c r="A330">
        <v>41308742</v>
      </c>
      <c r="B330" t="s">
        <v>4273</v>
      </c>
      <c r="C330" t="s">
        <v>4274</v>
      </c>
      <c r="D330" t="s">
        <v>3500</v>
      </c>
      <c r="E330" s="9">
        <v>45407</v>
      </c>
      <c r="G330" t="s">
        <v>45</v>
      </c>
      <c r="H330" t="s">
        <v>90</v>
      </c>
      <c r="J330" t="s">
        <v>154</v>
      </c>
      <c r="K330" t="s">
        <v>36</v>
      </c>
      <c r="L330" t="s">
        <v>37</v>
      </c>
      <c r="M330" t="s">
        <v>50</v>
      </c>
      <c r="O330" t="s">
        <v>39</v>
      </c>
      <c r="P330" t="s">
        <v>39</v>
      </c>
      <c r="Q330" t="s">
        <v>39</v>
      </c>
      <c r="R330" t="s">
        <v>41</v>
      </c>
      <c r="S330" t="s">
        <v>40</v>
      </c>
      <c r="T330" t="s">
        <v>41</v>
      </c>
      <c r="U330" t="s">
        <v>39</v>
      </c>
      <c r="V330" t="s">
        <v>39</v>
      </c>
      <c r="W330" t="s">
        <v>40</v>
      </c>
      <c r="AB330" t="s">
        <v>4275</v>
      </c>
    </row>
    <row r="331" spans="1:30" x14ac:dyDescent="0.2">
      <c r="A331">
        <v>41308694</v>
      </c>
      <c r="B331" t="s">
        <v>4276</v>
      </c>
      <c r="C331" t="s">
        <v>4277</v>
      </c>
      <c r="D331" t="s">
        <v>3500</v>
      </c>
      <c r="E331" s="9">
        <v>45407</v>
      </c>
      <c r="G331" t="s">
        <v>45</v>
      </c>
      <c r="H331" t="s">
        <v>3565</v>
      </c>
      <c r="J331" t="s">
        <v>133</v>
      </c>
      <c r="K331" t="s">
        <v>36</v>
      </c>
      <c r="L331" t="s">
        <v>37</v>
      </c>
      <c r="M331" t="s">
        <v>50</v>
      </c>
      <c r="O331" t="s">
        <v>39</v>
      </c>
      <c r="P331" t="s">
        <v>39</v>
      </c>
      <c r="Q331" t="s">
        <v>39</v>
      </c>
      <c r="R331" t="s">
        <v>41</v>
      </c>
      <c r="S331" t="s">
        <v>40</v>
      </c>
      <c r="T331" t="s">
        <v>41</v>
      </c>
      <c r="U331" t="s">
        <v>39</v>
      </c>
      <c r="V331" t="s">
        <v>39</v>
      </c>
      <c r="W331" t="s">
        <v>40</v>
      </c>
      <c r="AB331" t="s">
        <v>4278</v>
      </c>
    </row>
    <row r="332" spans="1:30" x14ac:dyDescent="0.2">
      <c r="A332">
        <v>41308724</v>
      </c>
      <c r="B332" t="s">
        <v>4279</v>
      </c>
      <c r="C332" t="s">
        <v>4280</v>
      </c>
      <c r="D332" t="s">
        <v>3500</v>
      </c>
      <c r="E332" s="9">
        <v>45407</v>
      </c>
      <c r="G332" t="s">
        <v>45</v>
      </c>
      <c r="H332" t="s">
        <v>429</v>
      </c>
      <c r="J332" t="s">
        <v>4038</v>
      </c>
      <c r="K332" t="s">
        <v>36</v>
      </c>
      <c r="L332" t="s">
        <v>37</v>
      </c>
      <c r="M332" t="s">
        <v>50</v>
      </c>
      <c r="O332" t="s">
        <v>39</v>
      </c>
      <c r="P332" t="s">
        <v>39</v>
      </c>
      <c r="Q332" t="s">
        <v>39</v>
      </c>
      <c r="R332" t="s">
        <v>41</v>
      </c>
      <c r="S332" t="s">
        <v>40</v>
      </c>
      <c r="T332" t="s">
        <v>41</v>
      </c>
      <c r="U332" t="s">
        <v>39</v>
      </c>
      <c r="V332" t="s">
        <v>39</v>
      </c>
      <c r="W332" t="s">
        <v>40</v>
      </c>
    </row>
    <row r="333" spans="1:30" x14ac:dyDescent="0.2">
      <c r="A333">
        <v>41308702</v>
      </c>
      <c r="B333" t="s">
        <v>4281</v>
      </c>
      <c r="C333" t="s">
        <v>4282</v>
      </c>
      <c r="D333" t="s">
        <v>3500</v>
      </c>
      <c r="E333" s="9">
        <v>45407</v>
      </c>
      <c r="G333" t="s">
        <v>45</v>
      </c>
      <c r="H333" t="s">
        <v>3565</v>
      </c>
      <c r="J333" t="s">
        <v>133</v>
      </c>
      <c r="K333" t="s">
        <v>36</v>
      </c>
      <c r="L333" t="s">
        <v>37</v>
      </c>
      <c r="M333" t="s">
        <v>50</v>
      </c>
      <c r="O333" t="s">
        <v>39</v>
      </c>
      <c r="P333" t="s">
        <v>39</v>
      </c>
      <c r="Q333" t="s">
        <v>39</v>
      </c>
      <c r="R333" t="s">
        <v>41</v>
      </c>
      <c r="S333" t="s">
        <v>40</v>
      </c>
      <c r="T333" t="s">
        <v>41</v>
      </c>
      <c r="U333" t="s">
        <v>39</v>
      </c>
      <c r="V333" t="s">
        <v>39</v>
      </c>
      <c r="W333" t="s">
        <v>40</v>
      </c>
    </row>
    <row r="334" spans="1:30" x14ac:dyDescent="0.2">
      <c r="A334">
        <v>41308734</v>
      </c>
      <c r="B334" t="s">
        <v>4283</v>
      </c>
      <c r="C334" t="s">
        <v>4284</v>
      </c>
      <c r="D334" t="s">
        <v>3500</v>
      </c>
      <c r="E334" s="9">
        <v>45407</v>
      </c>
      <c r="G334" t="s">
        <v>45</v>
      </c>
      <c r="H334" t="s">
        <v>81</v>
      </c>
      <c r="J334" t="s">
        <v>47</v>
      </c>
      <c r="K334" t="s">
        <v>36</v>
      </c>
      <c r="L334" t="s">
        <v>49</v>
      </c>
      <c r="M334" t="s">
        <v>50</v>
      </c>
      <c r="O334" t="s">
        <v>39</v>
      </c>
      <c r="P334" t="s">
        <v>39</v>
      </c>
      <c r="Q334" t="s">
        <v>39</v>
      </c>
      <c r="R334" t="s">
        <v>41</v>
      </c>
      <c r="S334" t="s">
        <v>40</v>
      </c>
      <c r="T334" t="s">
        <v>41</v>
      </c>
      <c r="U334" t="s">
        <v>39</v>
      </c>
      <c r="V334" t="s">
        <v>39</v>
      </c>
      <c r="W334" t="s">
        <v>40</v>
      </c>
      <c r="AB334" t="s">
        <v>4285</v>
      </c>
      <c r="AC334" t="s">
        <v>4286</v>
      </c>
    </row>
    <row r="335" spans="1:30" x14ac:dyDescent="0.2">
      <c r="A335">
        <v>41308748</v>
      </c>
      <c r="B335" t="s">
        <v>4287</v>
      </c>
      <c r="C335" t="s">
        <v>4288</v>
      </c>
      <c r="D335" t="s">
        <v>3500</v>
      </c>
      <c r="E335" s="9">
        <v>45407</v>
      </c>
      <c r="G335" t="s">
        <v>45</v>
      </c>
      <c r="H335" t="s">
        <v>81</v>
      </c>
      <c r="J335" t="s">
        <v>65</v>
      </c>
      <c r="K335" t="s">
        <v>36</v>
      </c>
      <c r="L335" t="s">
        <v>37</v>
      </c>
      <c r="M335" t="s">
        <v>50</v>
      </c>
      <c r="O335" t="s">
        <v>39</v>
      </c>
      <c r="P335" t="s">
        <v>39</v>
      </c>
      <c r="Q335" t="s">
        <v>39</v>
      </c>
      <c r="R335" t="s">
        <v>41</v>
      </c>
      <c r="S335" t="s">
        <v>40</v>
      </c>
      <c r="T335" t="s">
        <v>41</v>
      </c>
      <c r="U335" t="s">
        <v>39</v>
      </c>
      <c r="V335" t="s">
        <v>39</v>
      </c>
      <c r="W335" t="s">
        <v>40</v>
      </c>
      <c r="AB335" t="s">
        <v>4289</v>
      </c>
      <c r="AC335" t="s">
        <v>4290</v>
      </c>
    </row>
    <row r="336" spans="1:30" x14ac:dyDescent="0.2">
      <c r="A336">
        <v>41308533</v>
      </c>
      <c r="B336" t="s">
        <v>4291</v>
      </c>
      <c r="C336" t="s">
        <v>3950</v>
      </c>
      <c r="D336" t="s">
        <v>3500</v>
      </c>
      <c r="E336" s="9">
        <v>45407</v>
      </c>
      <c r="G336" t="s">
        <v>45</v>
      </c>
      <c r="H336" t="s">
        <v>429</v>
      </c>
      <c r="J336" t="s">
        <v>4038</v>
      </c>
      <c r="K336" t="s">
        <v>48</v>
      </c>
      <c r="L336" t="s">
        <v>37</v>
      </c>
      <c r="M336" t="s">
        <v>50</v>
      </c>
      <c r="O336" t="s">
        <v>39</v>
      </c>
      <c r="P336" t="s">
        <v>39</v>
      </c>
      <c r="Q336" t="s">
        <v>39</v>
      </c>
      <c r="R336" t="s">
        <v>41</v>
      </c>
      <c r="S336" t="s">
        <v>40</v>
      </c>
      <c r="T336" t="s">
        <v>41</v>
      </c>
      <c r="U336" t="s">
        <v>39</v>
      </c>
      <c r="V336" t="s">
        <v>39</v>
      </c>
      <c r="W336" t="s">
        <v>40</v>
      </c>
      <c r="AB336" t="s">
        <v>4292</v>
      </c>
    </row>
    <row r="337" spans="1:31" x14ac:dyDescent="0.2">
      <c r="A337">
        <v>41308542</v>
      </c>
      <c r="B337" t="s">
        <v>4293</v>
      </c>
      <c r="C337" t="s">
        <v>4294</v>
      </c>
      <c r="D337" t="s">
        <v>3500</v>
      </c>
      <c r="E337" s="9">
        <v>45407</v>
      </c>
      <c r="G337" t="s">
        <v>45</v>
      </c>
      <c r="H337" t="s">
        <v>80</v>
      </c>
      <c r="I337" t="s">
        <v>81</v>
      </c>
      <c r="J337" t="s">
        <v>203</v>
      </c>
      <c r="K337" t="s">
        <v>48</v>
      </c>
      <c r="L337" t="s">
        <v>37</v>
      </c>
      <c r="M337" t="s">
        <v>50</v>
      </c>
      <c r="O337" t="s">
        <v>39</v>
      </c>
      <c r="P337" t="s">
        <v>39</v>
      </c>
      <c r="Q337" t="s">
        <v>39</v>
      </c>
      <c r="R337" t="s">
        <v>41</v>
      </c>
      <c r="S337" t="s">
        <v>40</v>
      </c>
      <c r="T337" t="s">
        <v>41</v>
      </c>
      <c r="U337" t="s">
        <v>39</v>
      </c>
      <c r="V337" t="s">
        <v>39</v>
      </c>
      <c r="W337" t="s">
        <v>41</v>
      </c>
      <c r="AB337" t="s">
        <v>4295</v>
      </c>
    </row>
    <row r="338" spans="1:31" x14ac:dyDescent="0.2">
      <c r="A338">
        <v>41416173</v>
      </c>
      <c r="B338" t="s">
        <v>4296</v>
      </c>
      <c r="C338" t="s">
        <v>4297</v>
      </c>
      <c r="D338" t="s">
        <v>3500</v>
      </c>
      <c r="E338" s="9">
        <v>45420</v>
      </c>
      <c r="G338" t="s">
        <v>45</v>
      </c>
      <c r="H338" t="s">
        <v>81</v>
      </c>
      <c r="J338" t="s">
        <v>65</v>
      </c>
      <c r="K338" t="s">
        <v>48</v>
      </c>
      <c r="L338" t="s">
        <v>37</v>
      </c>
      <c r="M338" t="s">
        <v>50</v>
      </c>
      <c r="O338" t="s">
        <v>39</v>
      </c>
      <c r="P338" t="s">
        <v>39</v>
      </c>
      <c r="Q338" t="s">
        <v>39</v>
      </c>
      <c r="R338" t="s">
        <v>41</v>
      </c>
      <c r="S338" t="s">
        <v>40</v>
      </c>
      <c r="T338" t="s">
        <v>41</v>
      </c>
      <c r="U338" t="s">
        <v>39</v>
      </c>
      <c r="V338" t="s">
        <v>39</v>
      </c>
      <c r="W338" t="s">
        <v>40</v>
      </c>
      <c r="AB338" t="s">
        <v>4298</v>
      </c>
    </row>
    <row r="339" spans="1:31" x14ac:dyDescent="0.2">
      <c r="A339">
        <v>41416170</v>
      </c>
      <c r="B339" t="s">
        <v>4299</v>
      </c>
      <c r="C339" t="s">
        <v>4300</v>
      </c>
      <c r="D339" t="s">
        <v>3500</v>
      </c>
      <c r="E339" s="9">
        <v>45420</v>
      </c>
      <c r="G339" t="s">
        <v>45</v>
      </c>
      <c r="H339" t="s">
        <v>81</v>
      </c>
      <c r="J339" t="s">
        <v>98</v>
      </c>
      <c r="K339" t="s">
        <v>48</v>
      </c>
      <c r="L339" t="s">
        <v>49</v>
      </c>
      <c r="M339" t="s">
        <v>50</v>
      </c>
      <c r="O339" t="s">
        <v>39</v>
      </c>
      <c r="P339" t="s">
        <v>39</v>
      </c>
      <c r="Q339" t="s">
        <v>39</v>
      </c>
      <c r="R339" t="s">
        <v>41</v>
      </c>
      <c r="S339" t="s">
        <v>40</v>
      </c>
      <c r="T339" t="s">
        <v>41</v>
      </c>
      <c r="U339" t="s">
        <v>39</v>
      </c>
      <c r="V339" t="s">
        <v>39</v>
      </c>
      <c r="W339" t="s">
        <v>40</v>
      </c>
      <c r="AB339" t="s">
        <v>4301</v>
      </c>
      <c r="AC339" t="s">
        <v>4302</v>
      </c>
    </row>
    <row r="340" spans="1:31" x14ac:dyDescent="0.2">
      <c r="A340">
        <v>41416187</v>
      </c>
      <c r="B340" t="s">
        <v>4303</v>
      </c>
      <c r="C340" t="s">
        <v>4304</v>
      </c>
      <c r="D340" t="s">
        <v>3500</v>
      </c>
      <c r="E340" s="9">
        <v>45420</v>
      </c>
      <c r="G340" t="s">
        <v>45</v>
      </c>
      <c r="H340" t="s">
        <v>81</v>
      </c>
      <c r="J340" t="s">
        <v>2230</v>
      </c>
      <c r="K340" t="s">
        <v>48</v>
      </c>
      <c r="L340" t="s">
        <v>49</v>
      </c>
      <c r="M340" t="s">
        <v>50</v>
      </c>
      <c r="O340" t="s">
        <v>39</v>
      </c>
      <c r="P340" t="s">
        <v>39</v>
      </c>
      <c r="Q340" t="s">
        <v>39</v>
      </c>
      <c r="R340" t="s">
        <v>41</v>
      </c>
      <c r="S340" t="s">
        <v>40</v>
      </c>
      <c r="T340" t="s">
        <v>41</v>
      </c>
      <c r="U340" t="s">
        <v>39</v>
      </c>
      <c r="V340" t="s">
        <v>39</v>
      </c>
      <c r="W340" t="s">
        <v>40</v>
      </c>
      <c r="AB340" t="s">
        <v>4305</v>
      </c>
      <c r="AC340" t="s">
        <v>4306</v>
      </c>
    </row>
    <row r="341" spans="1:31" x14ac:dyDescent="0.2">
      <c r="A341">
        <v>41416168</v>
      </c>
      <c r="B341" t="s">
        <v>4307</v>
      </c>
      <c r="C341" t="s">
        <v>4308</v>
      </c>
      <c r="D341" t="s">
        <v>3500</v>
      </c>
      <c r="E341" s="9">
        <v>45420</v>
      </c>
      <c r="G341" t="s">
        <v>45</v>
      </c>
      <c r="H341" t="s">
        <v>80</v>
      </c>
      <c r="I341" t="s">
        <v>132</v>
      </c>
      <c r="J341" t="s">
        <v>123</v>
      </c>
      <c r="K341" t="s">
        <v>36</v>
      </c>
      <c r="L341" t="s">
        <v>49</v>
      </c>
      <c r="M341" t="s">
        <v>74</v>
      </c>
      <c r="O341" t="s">
        <v>39</v>
      </c>
      <c r="P341" t="s">
        <v>39</v>
      </c>
      <c r="Q341" t="s">
        <v>39</v>
      </c>
      <c r="R341" t="s">
        <v>41</v>
      </c>
      <c r="S341" t="s">
        <v>40</v>
      </c>
      <c r="T341" t="s">
        <v>41</v>
      </c>
      <c r="U341" t="s">
        <v>39</v>
      </c>
      <c r="V341" t="s">
        <v>39</v>
      </c>
      <c r="W341" t="s">
        <v>40</v>
      </c>
      <c r="AB341" t="s">
        <v>4309</v>
      </c>
      <c r="AC341" t="s">
        <v>4310</v>
      </c>
    </row>
    <row r="342" spans="1:31" x14ac:dyDescent="0.2">
      <c r="A342">
        <v>41416177</v>
      </c>
      <c r="B342" t="s">
        <v>4311</v>
      </c>
      <c r="C342" t="s">
        <v>4312</v>
      </c>
      <c r="D342" t="s">
        <v>3500</v>
      </c>
      <c r="E342" s="9">
        <v>45420</v>
      </c>
      <c r="G342" t="s">
        <v>45</v>
      </c>
      <c r="H342" t="s">
        <v>96</v>
      </c>
      <c r="J342" t="s">
        <v>2230</v>
      </c>
      <c r="K342" t="s">
        <v>48</v>
      </c>
      <c r="L342" t="s">
        <v>49</v>
      </c>
      <c r="M342" t="s">
        <v>50</v>
      </c>
      <c r="O342" t="s">
        <v>39</v>
      </c>
      <c r="P342" t="s">
        <v>39</v>
      </c>
      <c r="Q342" t="s">
        <v>39</v>
      </c>
      <c r="R342" t="s">
        <v>41</v>
      </c>
      <c r="S342" t="s">
        <v>40</v>
      </c>
      <c r="T342" t="s">
        <v>41</v>
      </c>
      <c r="U342" t="s">
        <v>39</v>
      </c>
      <c r="V342" t="s">
        <v>39</v>
      </c>
      <c r="W342" t="s">
        <v>40</v>
      </c>
      <c r="AB342" t="s">
        <v>4313</v>
      </c>
      <c r="AC342" t="s">
        <v>4314</v>
      </c>
    </row>
    <row r="343" spans="1:31" x14ac:dyDescent="0.2">
      <c r="A343">
        <v>41529273</v>
      </c>
      <c r="B343" t="s">
        <v>3887</v>
      </c>
      <c r="C343" t="s">
        <v>3888</v>
      </c>
      <c r="D343" t="s">
        <v>3505</v>
      </c>
      <c r="E343" s="9">
        <v>45434</v>
      </c>
      <c r="F343" s="9">
        <v>45448</v>
      </c>
      <c r="G343" t="s">
        <v>45</v>
      </c>
      <c r="H343" t="s">
        <v>3889</v>
      </c>
      <c r="J343" t="s">
        <v>47</v>
      </c>
      <c r="K343" t="s">
        <v>36</v>
      </c>
      <c r="L343" t="s">
        <v>49</v>
      </c>
      <c r="M343" t="s">
        <v>74</v>
      </c>
      <c r="O343" t="s">
        <v>39</v>
      </c>
      <c r="P343" t="s">
        <v>39</v>
      </c>
      <c r="Q343" t="s">
        <v>39</v>
      </c>
      <c r="R343" t="s">
        <v>41</v>
      </c>
      <c r="S343" t="s">
        <v>40</v>
      </c>
      <c r="T343" t="s">
        <v>41</v>
      </c>
      <c r="U343" t="s">
        <v>39</v>
      </c>
      <c r="V343" t="s">
        <v>39</v>
      </c>
      <c r="W343" t="s">
        <v>40</v>
      </c>
      <c r="X343" t="s">
        <v>4315</v>
      </c>
      <c r="AB343" t="s">
        <v>4316</v>
      </c>
      <c r="AC343" t="s">
        <v>4317</v>
      </c>
    </row>
    <row r="344" spans="1:31" x14ac:dyDescent="0.2">
      <c r="A344">
        <v>41529308</v>
      </c>
      <c r="B344" t="s">
        <v>4073</v>
      </c>
      <c r="C344" t="s">
        <v>4074</v>
      </c>
      <c r="D344" t="s">
        <v>3505</v>
      </c>
      <c r="E344" s="9">
        <v>45434</v>
      </c>
      <c r="F344" s="9">
        <v>45454</v>
      </c>
      <c r="G344" t="s">
        <v>45</v>
      </c>
      <c r="H344" t="s">
        <v>253</v>
      </c>
      <c r="J344" t="s">
        <v>1440</v>
      </c>
      <c r="K344" t="s">
        <v>48</v>
      </c>
      <c r="L344" t="s">
        <v>49</v>
      </c>
      <c r="M344" t="s">
        <v>50</v>
      </c>
      <c r="O344" t="s">
        <v>39</v>
      </c>
      <c r="P344" t="s">
        <v>39</v>
      </c>
      <c r="Q344" t="s">
        <v>39</v>
      </c>
      <c r="R344" t="s">
        <v>41</v>
      </c>
      <c r="S344" t="s">
        <v>40</v>
      </c>
      <c r="T344" t="s">
        <v>41</v>
      </c>
      <c r="U344" t="s">
        <v>39</v>
      </c>
      <c r="V344" t="s">
        <v>39</v>
      </c>
      <c r="W344" t="s">
        <v>40</v>
      </c>
      <c r="X344" t="s">
        <v>4318</v>
      </c>
      <c r="AB344" t="s">
        <v>4319</v>
      </c>
      <c r="AC344" t="s">
        <v>4320</v>
      </c>
      <c r="AD344" t="s">
        <v>4321</v>
      </c>
    </row>
    <row r="345" spans="1:31" x14ac:dyDescent="0.2">
      <c r="A345">
        <v>41529276</v>
      </c>
      <c r="B345" t="s">
        <v>3892</v>
      </c>
      <c r="C345" t="s">
        <v>3210</v>
      </c>
      <c r="D345" t="s">
        <v>3505</v>
      </c>
      <c r="E345" s="9">
        <v>45434</v>
      </c>
      <c r="F345" s="9">
        <v>45448</v>
      </c>
      <c r="G345" t="s">
        <v>45</v>
      </c>
      <c r="H345" t="s">
        <v>81</v>
      </c>
      <c r="I345" t="s">
        <v>90</v>
      </c>
      <c r="J345" t="s">
        <v>154</v>
      </c>
      <c r="K345" t="s">
        <v>48</v>
      </c>
      <c r="L345" t="s">
        <v>49</v>
      </c>
      <c r="M345" t="s">
        <v>50</v>
      </c>
      <c r="O345" t="s">
        <v>39</v>
      </c>
      <c r="P345" t="s">
        <v>39</v>
      </c>
      <c r="Q345" t="s">
        <v>39</v>
      </c>
      <c r="R345" t="s">
        <v>41</v>
      </c>
      <c r="S345" t="s">
        <v>40</v>
      </c>
      <c r="T345" t="s">
        <v>41</v>
      </c>
      <c r="U345" t="s">
        <v>39</v>
      </c>
      <c r="V345" t="s">
        <v>39</v>
      </c>
      <c r="W345" t="s">
        <v>40</v>
      </c>
      <c r="X345" t="s">
        <v>4322</v>
      </c>
      <c r="AB345" t="s">
        <v>4323</v>
      </c>
      <c r="AC345" t="s">
        <v>4324</v>
      </c>
    </row>
    <row r="346" spans="1:31" x14ac:dyDescent="0.2">
      <c r="A346">
        <v>41529630</v>
      </c>
      <c r="B346" t="s">
        <v>4081</v>
      </c>
      <c r="C346" t="s">
        <v>3421</v>
      </c>
      <c r="D346" t="s">
        <v>3505</v>
      </c>
      <c r="E346" s="9">
        <v>45434</v>
      </c>
      <c r="F346" s="9">
        <v>45473</v>
      </c>
      <c r="G346" t="s">
        <v>45</v>
      </c>
      <c r="H346" t="s">
        <v>253</v>
      </c>
      <c r="J346" t="s">
        <v>133</v>
      </c>
      <c r="K346" t="s">
        <v>48</v>
      </c>
      <c r="L346" t="s">
        <v>49</v>
      </c>
      <c r="M346" t="s">
        <v>50</v>
      </c>
      <c r="O346" t="s">
        <v>39</v>
      </c>
      <c r="P346" t="s">
        <v>39</v>
      </c>
      <c r="Q346" t="s">
        <v>39</v>
      </c>
      <c r="R346" t="s">
        <v>41</v>
      </c>
      <c r="S346" t="s">
        <v>40</v>
      </c>
      <c r="T346" t="s">
        <v>41</v>
      </c>
      <c r="U346" t="s">
        <v>39</v>
      </c>
      <c r="V346" t="s">
        <v>39</v>
      </c>
      <c r="W346" t="s">
        <v>40</v>
      </c>
      <c r="AB346" t="s">
        <v>4325</v>
      </c>
      <c r="AC346" t="s">
        <v>4326</v>
      </c>
      <c r="AD346" t="s">
        <v>4327</v>
      </c>
    </row>
    <row r="347" spans="1:31" x14ac:dyDescent="0.2">
      <c r="A347">
        <v>41529379</v>
      </c>
      <c r="B347" t="s">
        <v>4226</v>
      </c>
      <c r="C347" t="s">
        <v>4227</v>
      </c>
      <c r="D347" t="s">
        <v>3505</v>
      </c>
      <c r="E347" s="9">
        <v>45434</v>
      </c>
      <c r="F347" s="9">
        <v>45473</v>
      </c>
      <c r="G347" t="s">
        <v>45</v>
      </c>
      <c r="H347" t="s">
        <v>46</v>
      </c>
      <c r="J347" t="s">
        <v>154</v>
      </c>
      <c r="K347" t="s">
        <v>48</v>
      </c>
      <c r="L347" t="s">
        <v>37</v>
      </c>
      <c r="M347" t="s">
        <v>50</v>
      </c>
      <c r="O347" t="s">
        <v>39</v>
      </c>
      <c r="P347" t="s">
        <v>39</v>
      </c>
      <c r="Q347" t="s">
        <v>39</v>
      </c>
      <c r="R347" t="s">
        <v>41</v>
      </c>
      <c r="S347" t="s">
        <v>40</v>
      </c>
      <c r="T347" t="s">
        <v>41</v>
      </c>
      <c r="U347" t="s">
        <v>39</v>
      </c>
      <c r="V347" t="s">
        <v>39</v>
      </c>
      <c r="W347" t="s">
        <v>40</v>
      </c>
      <c r="AB347" t="s">
        <v>4328</v>
      </c>
      <c r="AC347" t="s">
        <v>4329</v>
      </c>
      <c r="AD347" t="s">
        <v>4330</v>
      </c>
    </row>
    <row r="348" spans="1:31" x14ac:dyDescent="0.2">
      <c r="A348">
        <v>41529639</v>
      </c>
      <c r="B348" t="s">
        <v>3902</v>
      </c>
      <c r="C348" t="s">
        <v>3903</v>
      </c>
      <c r="D348" t="s">
        <v>3505</v>
      </c>
      <c r="E348" s="9">
        <v>45434</v>
      </c>
      <c r="F348" s="9">
        <v>45448</v>
      </c>
      <c r="G348" t="s">
        <v>45</v>
      </c>
      <c r="H348" t="s">
        <v>253</v>
      </c>
      <c r="I348" t="s">
        <v>1158</v>
      </c>
      <c r="J348" t="s">
        <v>123</v>
      </c>
      <c r="K348" t="s">
        <v>48</v>
      </c>
      <c r="L348" t="s">
        <v>49</v>
      </c>
      <c r="M348" t="s">
        <v>50</v>
      </c>
      <c r="O348" t="s">
        <v>39</v>
      </c>
      <c r="P348" t="s">
        <v>39</v>
      </c>
      <c r="Q348" t="s">
        <v>39</v>
      </c>
      <c r="R348" t="s">
        <v>41</v>
      </c>
      <c r="S348" t="s">
        <v>40</v>
      </c>
      <c r="T348" t="s">
        <v>41</v>
      </c>
      <c r="U348" t="s">
        <v>39</v>
      </c>
      <c r="V348" t="s">
        <v>39</v>
      </c>
      <c r="W348" t="s">
        <v>40</v>
      </c>
      <c r="AB348" t="s">
        <v>4331</v>
      </c>
      <c r="AC348" t="s">
        <v>4332</v>
      </c>
      <c r="AD348" t="s">
        <v>4333</v>
      </c>
      <c r="AE348" t="s">
        <v>4334</v>
      </c>
    </row>
    <row r="349" spans="1:31" x14ac:dyDescent="0.2">
      <c r="A349">
        <v>41529417</v>
      </c>
      <c r="B349" t="s">
        <v>3979</v>
      </c>
      <c r="C349" t="s">
        <v>3980</v>
      </c>
      <c r="D349" t="s">
        <v>3505</v>
      </c>
      <c r="E349" s="9">
        <v>45434</v>
      </c>
      <c r="F349" s="9">
        <v>45448</v>
      </c>
      <c r="G349" t="s">
        <v>45</v>
      </c>
      <c r="H349" t="s">
        <v>90</v>
      </c>
      <c r="J349" t="s">
        <v>138</v>
      </c>
      <c r="K349" t="s">
        <v>48</v>
      </c>
      <c r="L349" t="s">
        <v>49</v>
      </c>
      <c r="M349" t="s">
        <v>50</v>
      </c>
      <c r="O349" t="s">
        <v>39</v>
      </c>
      <c r="P349" t="s">
        <v>39</v>
      </c>
      <c r="Q349" t="s">
        <v>39</v>
      </c>
      <c r="R349" t="s">
        <v>41</v>
      </c>
      <c r="S349" t="s">
        <v>40</v>
      </c>
      <c r="T349" t="s">
        <v>41</v>
      </c>
      <c r="U349" t="s">
        <v>39</v>
      </c>
      <c r="V349" t="s">
        <v>39</v>
      </c>
      <c r="W349" t="s">
        <v>40</v>
      </c>
      <c r="X349" t="s">
        <v>4045</v>
      </c>
      <c r="AB349" t="s">
        <v>4335</v>
      </c>
      <c r="AC349" t="s">
        <v>4336</v>
      </c>
      <c r="AD349" t="s">
        <v>4337</v>
      </c>
    </row>
    <row r="350" spans="1:31" x14ac:dyDescent="0.2">
      <c r="A350">
        <v>41529346</v>
      </c>
      <c r="B350" t="s">
        <v>3982</v>
      </c>
      <c r="C350" t="s">
        <v>3983</v>
      </c>
      <c r="D350" t="s">
        <v>3505</v>
      </c>
      <c r="E350" s="9">
        <v>45434</v>
      </c>
      <c r="F350" s="9">
        <v>45473</v>
      </c>
      <c r="G350" t="s">
        <v>45</v>
      </c>
      <c r="H350" t="s">
        <v>253</v>
      </c>
      <c r="J350" t="s">
        <v>254</v>
      </c>
      <c r="K350" t="s">
        <v>36</v>
      </c>
      <c r="L350" t="s">
        <v>49</v>
      </c>
      <c r="M350" t="s">
        <v>50</v>
      </c>
      <c r="O350" t="s">
        <v>39</v>
      </c>
      <c r="P350" t="s">
        <v>39</v>
      </c>
      <c r="Q350" t="s">
        <v>39</v>
      </c>
      <c r="R350" t="s">
        <v>41</v>
      </c>
      <c r="S350" t="s">
        <v>40</v>
      </c>
      <c r="T350" t="s">
        <v>41</v>
      </c>
      <c r="U350" t="s">
        <v>39</v>
      </c>
      <c r="V350" t="s">
        <v>39</v>
      </c>
      <c r="W350" t="s">
        <v>40</v>
      </c>
      <c r="AB350" t="s">
        <v>4338</v>
      </c>
      <c r="AC350" t="s">
        <v>4339</v>
      </c>
      <c r="AD350" t="s">
        <v>4340</v>
      </c>
      <c r="AE350" t="s">
        <v>4341</v>
      </c>
    </row>
    <row r="351" spans="1:31" x14ac:dyDescent="0.2">
      <c r="A351">
        <v>41529445</v>
      </c>
      <c r="B351" t="s">
        <v>3985</v>
      </c>
      <c r="C351" t="s">
        <v>3986</v>
      </c>
      <c r="D351" t="s">
        <v>3505</v>
      </c>
      <c r="E351" s="9">
        <v>45434</v>
      </c>
      <c r="F351" s="9">
        <v>45473</v>
      </c>
      <c r="G351" t="s">
        <v>45</v>
      </c>
      <c r="H351" t="s">
        <v>46</v>
      </c>
      <c r="J351" t="s">
        <v>123</v>
      </c>
      <c r="K351" t="s">
        <v>48</v>
      </c>
      <c r="L351" t="s">
        <v>37</v>
      </c>
      <c r="M351" t="s">
        <v>50</v>
      </c>
      <c r="O351" t="s">
        <v>39</v>
      </c>
      <c r="P351" t="s">
        <v>39</v>
      </c>
      <c r="Q351" t="s">
        <v>39</v>
      </c>
      <c r="R351" t="s">
        <v>41</v>
      </c>
      <c r="S351" t="s">
        <v>40</v>
      </c>
      <c r="T351" t="s">
        <v>41</v>
      </c>
      <c r="U351" t="s">
        <v>39</v>
      </c>
      <c r="V351" t="s">
        <v>39</v>
      </c>
      <c r="W351" t="s">
        <v>40</v>
      </c>
      <c r="X351" t="s">
        <v>4342</v>
      </c>
      <c r="AB351" t="s">
        <v>4343</v>
      </c>
      <c r="AC351" t="s">
        <v>4344</v>
      </c>
      <c r="AD351" t="s">
        <v>4345</v>
      </c>
      <c r="AE351" t="s">
        <v>4346</v>
      </c>
    </row>
    <row r="352" spans="1:31" x14ac:dyDescent="0.2">
      <c r="A352">
        <v>41529401</v>
      </c>
      <c r="B352" t="s">
        <v>3926</v>
      </c>
      <c r="C352" t="s">
        <v>3927</v>
      </c>
      <c r="D352" t="s">
        <v>3505</v>
      </c>
      <c r="E352" s="9">
        <v>45434</v>
      </c>
      <c r="F352" s="9">
        <v>45473</v>
      </c>
      <c r="G352" t="s">
        <v>45</v>
      </c>
      <c r="H352" t="s">
        <v>46</v>
      </c>
      <c r="J352" t="s">
        <v>112</v>
      </c>
      <c r="K352" t="s">
        <v>48</v>
      </c>
      <c r="L352" t="s">
        <v>49</v>
      </c>
      <c r="M352" t="s">
        <v>50</v>
      </c>
      <c r="O352" t="s">
        <v>39</v>
      </c>
      <c r="P352" t="s">
        <v>39</v>
      </c>
      <c r="Q352" t="s">
        <v>39</v>
      </c>
      <c r="R352" t="s">
        <v>41</v>
      </c>
      <c r="S352" t="s">
        <v>40</v>
      </c>
      <c r="T352" t="s">
        <v>41</v>
      </c>
      <c r="U352" t="s">
        <v>39</v>
      </c>
      <c r="V352" t="s">
        <v>39</v>
      </c>
      <c r="W352" t="s">
        <v>40</v>
      </c>
      <c r="X352" t="s">
        <v>4347</v>
      </c>
      <c r="AB352" t="s">
        <v>4348</v>
      </c>
      <c r="AC352" t="s">
        <v>4349</v>
      </c>
    </row>
    <row r="353" spans="1:31" x14ac:dyDescent="0.2">
      <c r="A353">
        <v>41529277</v>
      </c>
      <c r="B353" t="s">
        <v>4019</v>
      </c>
      <c r="C353" t="s">
        <v>4020</v>
      </c>
      <c r="D353" t="s">
        <v>3505</v>
      </c>
      <c r="E353" s="9">
        <v>45434</v>
      </c>
      <c r="F353" s="9">
        <v>45450</v>
      </c>
      <c r="G353" t="s">
        <v>45</v>
      </c>
      <c r="H353" t="s">
        <v>46</v>
      </c>
      <c r="J353" t="s">
        <v>123</v>
      </c>
      <c r="K353" t="s">
        <v>48</v>
      </c>
      <c r="L353" t="s">
        <v>49</v>
      </c>
      <c r="M353" t="s">
        <v>50</v>
      </c>
      <c r="O353" t="s">
        <v>39</v>
      </c>
      <c r="P353" t="s">
        <v>39</v>
      </c>
      <c r="Q353" t="s">
        <v>39</v>
      </c>
      <c r="R353" t="s">
        <v>41</v>
      </c>
      <c r="S353" t="s">
        <v>40</v>
      </c>
      <c r="T353" t="s">
        <v>41</v>
      </c>
      <c r="U353" t="s">
        <v>39</v>
      </c>
      <c r="V353" t="s">
        <v>39</v>
      </c>
      <c r="W353" t="s">
        <v>40</v>
      </c>
      <c r="X353" t="s">
        <v>4350</v>
      </c>
      <c r="AB353" t="s">
        <v>4351</v>
      </c>
      <c r="AC353" t="s">
        <v>4352</v>
      </c>
    </row>
    <row r="354" spans="1:31" x14ac:dyDescent="0.2">
      <c r="A354">
        <v>41529621</v>
      </c>
      <c r="B354" t="s">
        <v>4112</v>
      </c>
      <c r="C354" t="s">
        <v>4113</v>
      </c>
      <c r="D354" t="s">
        <v>3505</v>
      </c>
      <c r="E354" s="9">
        <v>45434</v>
      </c>
      <c r="F354" s="9">
        <v>45448</v>
      </c>
      <c r="G354" t="s">
        <v>45</v>
      </c>
      <c r="H354" t="s">
        <v>46</v>
      </c>
      <c r="J354" t="s">
        <v>146</v>
      </c>
      <c r="K354" t="s">
        <v>36</v>
      </c>
      <c r="L354" t="s">
        <v>37</v>
      </c>
      <c r="M354" t="s">
        <v>50</v>
      </c>
      <c r="O354" t="s">
        <v>39</v>
      </c>
      <c r="P354" t="s">
        <v>39</v>
      </c>
      <c r="Q354" t="s">
        <v>39</v>
      </c>
      <c r="R354" t="s">
        <v>41</v>
      </c>
      <c r="S354" t="s">
        <v>40</v>
      </c>
      <c r="T354" t="s">
        <v>41</v>
      </c>
      <c r="U354" t="s">
        <v>39</v>
      </c>
      <c r="V354" t="s">
        <v>39</v>
      </c>
      <c r="W354" t="s">
        <v>40</v>
      </c>
      <c r="X354" t="s">
        <v>4353</v>
      </c>
      <c r="AB354" t="s">
        <v>4354</v>
      </c>
      <c r="AC354" t="s">
        <v>4355</v>
      </c>
      <c r="AD354" t="s">
        <v>4356</v>
      </c>
    </row>
    <row r="355" spans="1:31" x14ac:dyDescent="0.2">
      <c r="A355">
        <v>41529633</v>
      </c>
      <c r="B355" t="s">
        <v>4357</v>
      </c>
      <c r="C355" t="s">
        <v>4358</v>
      </c>
      <c r="D355" t="s">
        <v>3505</v>
      </c>
      <c r="E355" s="9">
        <v>45434</v>
      </c>
      <c r="F355" s="9">
        <v>45473</v>
      </c>
      <c r="G355" t="s">
        <v>45</v>
      </c>
      <c r="H355" t="s">
        <v>46</v>
      </c>
      <c r="J355" t="s">
        <v>82</v>
      </c>
      <c r="K355" t="s">
        <v>48</v>
      </c>
      <c r="L355" t="s">
        <v>49</v>
      </c>
      <c r="M355" t="s">
        <v>50</v>
      </c>
      <c r="O355" t="s">
        <v>39</v>
      </c>
      <c r="P355" t="s">
        <v>39</v>
      </c>
      <c r="Q355" t="s">
        <v>39</v>
      </c>
      <c r="R355" t="s">
        <v>41</v>
      </c>
      <c r="S355" t="s">
        <v>40</v>
      </c>
      <c r="T355" t="s">
        <v>41</v>
      </c>
      <c r="U355" t="s">
        <v>39</v>
      </c>
      <c r="V355" t="s">
        <v>39</v>
      </c>
      <c r="W355" t="s">
        <v>40</v>
      </c>
      <c r="AB355" t="s">
        <v>4359</v>
      </c>
      <c r="AC355" t="s">
        <v>4360</v>
      </c>
      <c r="AD355" t="s">
        <v>4361</v>
      </c>
    </row>
    <row r="356" spans="1:31" x14ac:dyDescent="0.2">
      <c r="A356">
        <v>41557043</v>
      </c>
      <c r="B356" t="s">
        <v>4025</v>
      </c>
      <c r="C356" t="s">
        <v>1173</v>
      </c>
      <c r="D356" t="s">
        <v>3505</v>
      </c>
      <c r="E356" s="9">
        <v>45437</v>
      </c>
      <c r="F356" s="9">
        <v>45454</v>
      </c>
      <c r="G356" t="s">
        <v>45</v>
      </c>
      <c r="H356" t="s">
        <v>4362</v>
      </c>
      <c r="I356" t="s">
        <v>105</v>
      </c>
      <c r="J356" t="s">
        <v>73</v>
      </c>
      <c r="K356" t="s">
        <v>48</v>
      </c>
      <c r="L356" t="s">
        <v>49</v>
      </c>
      <c r="M356" t="s">
        <v>50</v>
      </c>
      <c r="O356" t="s">
        <v>39</v>
      </c>
      <c r="P356" t="s">
        <v>39</v>
      </c>
      <c r="Q356" t="s">
        <v>39</v>
      </c>
      <c r="R356" t="s">
        <v>41</v>
      </c>
      <c r="S356" t="s">
        <v>40</v>
      </c>
      <c r="T356" t="s">
        <v>41</v>
      </c>
      <c r="U356" t="s">
        <v>39</v>
      </c>
      <c r="V356" t="s">
        <v>39</v>
      </c>
      <c r="W356" t="s">
        <v>40</v>
      </c>
      <c r="X356" t="s">
        <v>4363</v>
      </c>
      <c r="AB356" t="s">
        <v>4364</v>
      </c>
      <c r="AC356" t="s">
        <v>4365</v>
      </c>
      <c r="AD356" t="s">
        <v>4366</v>
      </c>
    </row>
    <row r="357" spans="1:31" x14ac:dyDescent="0.2">
      <c r="A357">
        <v>41557447</v>
      </c>
      <c r="B357" t="s">
        <v>4077</v>
      </c>
      <c r="C357" t="s">
        <v>4078</v>
      </c>
      <c r="D357" t="s">
        <v>3505</v>
      </c>
      <c r="E357" s="9">
        <v>45437</v>
      </c>
      <c r="F357" s="9">
        <v>45475</v>
      </c>
      <c r="G357" t="s">
        <v>45</v>
      </c>
      <c r="H357" t="s">
        <v>46</v>
      </c>
      <c r="J357" t="s">
        <v>112</v>
      </c>
      <c r="K357" t="s">
        <v>36</v>
      </c>
      <c r="L357" t="s">
        <v>49</v>
      </c>
      <c r="M357" t="s">
        <v>50</v>
      </c>
      <c r="O357" t="s">
        <v>39</v>
      </c>
      <c r="P357" t="s">
        <v>39</v>
      </c>
      <c r="Q357" t="s">
        <v>39</v>
      </c>
      <c r="R357" t="s">
        <v>41</v>
      </c>
      <c r="S357" t="s">
        <v>40</v>
      </c>
      <c r="T357" t="s">
        <v>41</v>
      </c>
      <c r="U357" t="s">
        <v>39</v>
      </c>
      <c r="V357" t="s">
        <v>39</v>
      </c>
      <c r="W357" t="s">
        <v>40</v>
      </c>
      <c r="X357" t="s">
        <v>4367</v>
      </c>
      <c r="AB357" t="s">
        <v>4368</v>
      </c>
      <c r="AC357" t="s">
        <v>4369</v>
      </c>
      <c r="AD357" t="s">
        <v>4370</v>
      </c>
    </row>
    <row r="358" spans="1:31" x14ac:dyDescent="0.2">
      <c r="A358">
        <v>41557509</v>
      </c>
      <c r="B358" t="s">
        <v>4311</v>
      </c>
      <c r="C358" t="s">
        <v>4312</v>
      </c>
      <c r="D358" t="s">
        <v>3505</v>
      </c>
      <c r="E358" s="9">
        <v>45437</v>
      </c>
      <c r="F358" s="9">
        <v>45520</v>
      </c>
      <c r="G358" t="s">
        <v>45</v>
      </c>
      <c r="H358" t="s">
        <v>4371</v>
      </c>
      <c r="I358" t="s">
        <v>4372</v>
      </c>
      <c r="J358" t="s">
        <v>2230</v>
      </c>
      <c r="K358" t="s">
        <v>48</v>
      </c>
      <c r="L358" t="s">
        <v>49</v>
      </c>
      <c r="M358" t="s">
        <v>50</v>
      </c>
      <c r="O358" t="s">
        <v>39</v>
      </c>
      <c r="P358" t="s">
        <v>39</v>
      </c>
      <c r="Q358" t="s">
        <v>39</v>
      </c>
      <c r="R358" t="s">
        <v>41</v>
      </c>
      <c r="S358" t="s">
        <v>40</v>
      </c>
      <c r="T358" t="s">
        <v>41</v>
      </c>
      <c r="U358" t="s">
        <v>39</v>
      </c>
      <c r="V358" t="s">
        <v>39</v>
      </c>
      <c r="W358" t="s">
        <v>40</v>
      </c>
      <c r="X358" t="s">
        <v>4373</v>
      </c>
      <c r="AB358" t="s">
        <v>4374</v>
      </c>
      <c r="AC358" t="s">
        <v>4375</v>
      </c>
      <c r="AD358" t="s">
        <v>4376</v>
      </c>
    </row>
    <row r="359" spans="1:31" x14ac:dyDescent="0.2">
      <c r="A359">
        <v>41594873</v>
      </c>
      <c r="B359" t="s">
        <v>4068</v>
      </c>
      <c r="C359" t="s">
        <v>4069</v>
      </c>
      <c r="D359" t="s">
        <v>3505</v>
      </c>
      <c r="E359" s="9">
        <v>45443</v>
      </c>
      <c r="F359" s="9">
        <v>45448</v>
      </c>
      <c r="G359" t="s">
        <v>45</v>
      </c>
      <c r="H359" t="s">
        <v>153</v>
      </c>
      <c r="I359" t="s">
        <v>46</v>
      </c>
      <c r="J359" t="s">
        <v>154</v>
      </c>
      <c r="K359" t="s">
        <v>36</v>
      </c>
      <c r="L359" t="s">
        <v>37</v>
      </c>
      <c r="M359" t="s">
        <v>50</v>
      </c>
      <c r="O359" t="s">
        <v>39</v>
      </c>
      <c r="P359" t="s">
        <v>39</v>
      </c>
      <c r="Q359" t="s">
        <v>39</v>
      </c>
      <c r="R359" t="s">
        <v>41</v>
      </c>
      <c r="S359" t="s">
        <v>40</v>
      </c>
      <c r="T359" t="s">
        <v>41</v>
      </c>
      <c r="U359" t="s">
        <v>39</v>
      </c>
      <c r="V359" t="s">
        <v>39</v>
      </c>
      <c r="W359" t="s">
        <v>40</v>
      </c>
      <c r="X359" t="s">
        <v>4377</v>
      </c>
      <c r="AB359" t="s">
        <v>4378</v>
      </c>
      <c r="AC359" t="s">
        <v>4379</v>
      </c>
      <c r="AD359" t="s">
        <v>4380</v>
      </c>
    </row>
    <row r="360" spans="1:31" x14ac:dyDescent="0.2">
      <c r="A360">
        <v>41594814</v>
      </c>
      <c r="B360" t="s">
        <v>4296</v>
      </c>
      <c r="C360" t="s">
        <v>4297</v>
      </c>
      <c r="D360" t="s">
        <v>3505</v>
      </c>
      <c r="E360" s="9">
        <v>45443</v>
      </c>
      <c r="F360" s="9">
        <v>45481</v>
      </c>
      <c r="G360" t="s">
        <v>45</v>
      </c>
      <c r="H360" t="s">
        <v>46</v>
      </c>
      <c r="I360" t="s">
        <v>68</v>
      </c>
      <c r="J360" t="s">
        <v>65</v>
      </c>
      <c r="K360" t="s">
        <v>48</v>
      </c>
      <c r="L360" t="s">
        <v>37</v>
      </c>
      <c r="M360" t="s">
        <v>50</v>
      </c>
      <c r="O360" t="s">
        <v>39</v>
      </c>
      <c r="P360" t="s">
        <v>39</v>
      </c>
      <c r="Q360" t="s">
        <v>39</v>
      </c>
      <c r="R360" t="s">
        <v>41</v>
      </c>
      <c r="S360" t="s">
        <v>40</v>
      </c>
      <c r="T360" t="s">
        <v>41</v>
      </c>
      <c r="U360" t="s">
        <v>39</v>
      </c>
      <c r="V360" t="s">
        <v>39</v>
      </c>
      <c r="W360" t="s">
        <v>40</v>
      </c>
      <c r="X360" t="s">
        <v>4381</v>
      </c>
      <c r="AB360" t="s">
        <v>4382</v>
      </c>
    </row>
    <row r="361" spans="1:31" x14ac:dyDescent="0.2">
      <c r="A361">
        <v>41594825</v>
      </c>
      <c r="B361" t="s">
        <v>4119</v>
      </c>
      <c r="C361" t="s">
        <v>4120</v>
      </c>
      <c r="D361" t="s">
        <v>3505</v>
      </c>
      <c r="E361" s="9">
        <v>45443</v>
      </c>
      <c r="F361" s="9">
        <v>45566</v>
      </c>
      <c r="G361" t="s">
        <v>45</v>
      </c>
      <c r="H361" t="s">
        <v>4362</v>
      </c>
      <c r="I361" t="s">
        <v>46</v>
      </c>
      <c r="J361" t="s">
        <v>98</v>
      </c>
      <c r="K361" t="s">
        <v>36</v>
      </c>
      <c r="L361" t="s">
        <v>49</v>
      </c>
      <c r="M361" t="s">
        <v>50</v>
      </c>
      <c r="O361" t="s">
        <v>39</v>
      </c>
      <c r="P361" t="s">
        <v>39</v>
      </c>
      <c r="Q361" t="s">
        <v>39</v>
      </c>
      <c r="R361" t="s">
        <v>41</v>
      </c>
      <c r="S361" t="s">
        <v>40</v>
      </c>
      <c r="T361" t="s">
        <v>41</v>
      </c>
      <c r="U361" t="s">
        <v>39</v>
      </c>
      <c r="V361" t="s">
        <v>39</v>
      </c>
      <c r="W361" t="s">
        <v>40</v>
      </c>
      <c r="X361" t="s">
        <v>4383</v>
      </c>
      <c r="AB361" t="s">
        <v>4384</v>
      </c>
      <c r="AC361" t="s">
        <v>4385</v>
      </c>
      <c r="AD361" t="s">
        <v>4386</v>
      </c>
      <c r="AE361" t="s">
        <v>4387</v>
      </c>
    </row>
    <row r="362" spans="1:31" x14ac:dyDescent="0.2">
      <c r="A362">
        <v>41594884</v>
      </c>
      <c r="B362" t="s">
        <v>4388</v>
      </c>
      <c r="C362" t="s">
        <v>4389</v>
      </c>
      <c r="D362" t="s">
        <v>3505</v>
      </c>
      <c r="E362" s="9">
        <v>45443</v>
      </c>
      <c r="F362" s="9">
        <v>45540</v>
      </c>
      <c r="G362" t="s">
        <v>45</v>
      </c>
      <c r="H362" t="s">
        <v>46</v>
      </c>
      <c r="J362" t="s">
        <v>54</v>
      </c>
      <c r="K362" t="s">
        <v>36</v>
      </c>
      <c r="L362" t="s">
        <v>49</v>
      </c>
      <c r="M362" t="s">
        <v>50</v>
      </c>
      <c r="O362" t="s">
        <v>39</v>
      </c>
      <c r="P362" t="s">
        <v>39</v>
      </c>
      <c r="Q362" t="s">
        <v>39</v>
      </c>
      <c r="R362" t="s">
        <v>41</v>
      </c>
      <c r="S362" t="s">
        <v>40</v>
      </c>
      <c r="T362" t="s">
        <v>41</v>
      </c>
      <c r="U362" t="s">
        <v>39</v>
      </c>
      <c r="V362" t="s">
        <v>39</v>
      </c>
      <c r="W362" t="s">
        <v>39</v>
      </c>
      <c r="X362" t="s">
        <v>4390</v>
      </c>
      <c r="AB362" t="s">
        <v>4391</v>
      </c>
      <c r="AC362" t="s">
        <v>4392</v>
      </c>
    </row>
    <row r="363" spans="1:31" x14ac:dyDescent="0.2">
      <c r="A363">
        <v>41594862</v>
      </c>
      <c r="B363" t="s">
        <v>4123</v>
      </c>
      <c r="C363" t="s">
        <v>4124</v>
      </c>
      <c r="D363" t="s">
        <v>3505</v>
      </c>
      <c r="E363" s="9">
        <v>45443</v>
      </c>
      <c r="F363" s="9">
        <v>45473</v>
      </c>
      <c r="G363" t="s">
        <v>45</v>
      </c>
      <c r="H363" t="s">
        <v>385</v>
      </c>
      <c r="I363" t="s">
        <v>372</v>
      </c>
      <c r="J363" t="s">
        <v>98</v>
      </c>
      <c r="K363" t="s">
        <v>36</v>
      </c>
      <c r="L363" t="s">
        <v>37</v>
      </c>
      <c r="M363" t="s">
        <v>289</v>
      </c>
      <c r="O363" t="s">
        <v>39</v>
      </c>
      <c r="P363" t="s">
        <v>39</v>
      </c>
      <c r="Q363" t="s">
        <v>39</v>
      </c>
      <c r="R363" t="s">
        <v>41</v>
      </c>
      <c r="S363" t="s">
        <v>40</v>
      </c>
      <c r="T363" t="s">
        <v>41</v>
      </c>
      <c r="U363" t="s">
        <v>39</v>
      </c>
      <c r="V363" t="s">
        <v>39</v>
      </c>
      <c r="W363" t="s">
        <v>40</v>
      </c>
      <c r="AB363" t="s">
        <v>4393</v>
      </c>
      <c r="AC363" t="s">
        <v>4394</v>
      </c>
    </row>
    <row r="364" spans="1:31" x14ac:dyDescent="0.2">
      <c r="A364">
        <v>41594883</v>
      </c>
      <c r="B364" t="s">
        <v>4395</v>
      </c>
      <c r="C364" t="s">
        <v>4396</v>
      </c>
      <c r="D364" t="s">
        <v>3505</v>
      </c>
      <c r="E364" s="9">
        <v>45443</v>
      </c>
      <c r="F364" s="9">
        <v>45454</v>
      </c>
      <c r="G364" t="s">
        <v>45</v>
      </c>
      <c r="H364" t="s">
        <v>3533</v>
      </c>
      <c r="J364" t="s">
        <v>73</v>
      </c>
      <c r="K364" t="s">
        <v>48</v>
      </c>
      <c r="L364" t="s">
        <v>49</v>
      </c>
      <c r="M364" t="s">
        <v>50</v>
      </c>
      <c r="O364" t="s">
        <v>39</v>
      </c>
      <c r="P364" t="s">
        <v>39</v>
      </c>
      <c r="Q364" t="s">
        <v>39</v>
      </c>
      <c r="R364" t="s">
        <v>41</v>
      </c>
      <c r="S364" t="s">
        <v>40</v>
      </c>
      <c r="T364" t="s">
        <v>41</v>
      </c>
      <c r="U364" t="s">
        <v>39</v>
      </c>
      <c r="V364" t="s">
        <v>39</v>
      </c>
      <c r="W364" t="s">
        <v>40</v>
      </c>
      <c r="AB364" t="s">
        <v>4397</v>
      </c>
      <c r="AC364" t="s">
        <v>4398</v>
      </c>
      <c r="AD364" t="s">
        <v>4399</v>
      </c>
    </row>
    <row r="365" spans="1:31" x14ac:dyDescent="0.2">
      <c r="A365">
        <v>41594813</v>
      </c>
      <c r="B365" t="s">
        <v>4243</v>
      </c>
      <c r="C365" t="s">
        <v>4244</v>
      </c>
      <c r="D365" t="s">
        <v>3505</v>
      </c>
      <c r="E365" s="9">
        <v>45443</v>
      </c>
      <c r="F365" s="9">
        <v>45448</v>
      </c>
      <c r="G365" t="s">
        <v>45</v>
      </c>
      <c r="H365" t="s">
        <v>252</v>
      </c>
      <c r="J365" t="s">
        <v>254</v>
      </c>
      <c r="K365" t="s">
        <v>48</v>
      </c>
      <c r="L365" t="s">
        <v>49</v>
      </c>
      <c r="M365" t="s">
        <v>50</v>
      </c>
      <c r="O365" t="s">
        <v>39</v>
      </c>
      <c r="P365" t="s">
        <v>39</v>
      </c>
      <c r="Q365" t="s">
        <v>39</v>
      </c>
      <c r="R365" t="s">
        <v>41</v>
      </c>
      <c r="S365" t="s">
        <v>40</v>
      </c>
      <c r="T365" t="s">
        <v>41</v>
      </c>
      <c r="U365" t="s">
        <v>39</v>
      </c>
      <c r="V365" t="s">
        <v>39</v>
      </c>
      <c r="W365" t="s">
        <v>40</v>
      </c>
      <c r="AB365" t="s">
        <v>4400</v>
      </c>
      <c r="AC365" t="s">
        <v>4401</v>
      </c>
      <c r="AD365" t="s">
        <v>4402</v>
      </c>
    </row>
    <row r="366" spans="1:31" x14ac:dyDescent="0.2">
      <c r="A366">
        <v>41594832</v>
      </c>
      <c r="B366" t="s">
        <v>4132</v>
      </c>
      <c r="C366" t="s">
        <v>4133</v>
      </c>
      <c r="D366" t="s">
        <v>3505</v>
      </c>
      <c r="E366" s="9">
        <v>45443</v>
      </c>
      <c r="F366" s="9">
        <v>45473</v>
      </c>
      <c r="G366" t="s">
        <v>45</v>
      </c>
      <c r="H366" t="s">
        <v>46</v>
      </c>
      <c r="I366" t="s">
        <v>429</v>
      </c>
      <c r="J366" t="s">
        <v>4038</v>
      </c>
      <c r="K366" t="s">
        <v>36</v>
      </c>
      <c r="L366" t="s">
        <v>49</v>
      </c>
      <c r="M366" t="s">
        <v>50</v>
      </c>
      <c r="O366" t="s">
        <v>39</v>
      </c>
      <c r="P366" t="s">
        <v>39</v>
      </c>
      <c r="Q366" t="s">
        <v>39</v>
      </c>
      <c r="R366" t="s">
        <v>41</v>
      </c>
      <c r="S366" t="s">
        <v>40</v>
      </c>
      <c r="T366" t="s">
        <v>41</v>
      </c>
      <c r="U366" t="s">
        <v>39</v>
      </c>
      <c r="V366" t="s">
        <v>39</v>
      </c>
      <c r="W366" t="s">
        <v>40</v>
      </c>
      <c r="AB366" t="s">
        <v>4403</v>
      </c>
      <c r="AC366" t="s">
        <v>4404</v>
      </c>
      <c r="AD366" t="s">
        <v>4405</v>
      </c>
    </row>
    <row r="367" spans="1:31" x14ac:dyDescent="0.2">
      <c r="A367">
        <v>41594876</v>
      </c>
      <c r="B367" t="s">
        <v>4258</v>
      </c>
      <c r="C367" t="s">
        <v>4259</v>
      </c>
      <c r="D367" t="s">
        <v>3505</v>
      </c>
      <c r="E367" s="9">
        <v>45443</v>
      </c>
      <c r="F367" s="9">
        <v>45540</v>
      </c>
      <c r="G367" t="s">
        <v>45</v>
      </c>
      <c r="H367" t="s">
        <v>46</v>
      </c>
      <c r="J367" t="s">
        <v>154</v>
      </c>
      <c r="K367" t="s">
        <v>48</v>
      </c>
      <c r="L367" t="s">
        <v>37</v>
      </c>
      <c r="M367" t="s">
        <v>50</v>
      </c>
      <c r="O367" t="s">
        <v>39</v>
      </c>
      <c r="P367" t="s">
        <v>39</v>
      </c>
      <c r="Q367" t="s">
        <v>39</v>
      </c>
      <c r="R367" t="s">
        <v>41</v>
      </c>
      <c r="S367" t="s">
        <v>40</v>
      </c>
      <c r="T367" t="s">
        <v>41</v>
      </c>
      <c r="U367" t="s">
        <v>39</v>
      </c>
      <c r="V367" t="s">
        <v>39</v>
      </c>
      <c r="W367" t="s">
        <v>40</v>
      </c>
      <c r="X367" t="s">
        <v>4406</v>
      </c>
      <c r="AB367" t="s">
        <v>4407</v>
      </c>
      <c r="AC367" t="s">
        <v>4408</v>
      </c>
      <c r="AD367" t="s">
        <v>4409</v>
      </c>
      <c r="AE367" t="s">
        <v>4410</v>
      </c>
    </row>
    <row r="368" spans="1:31" x14ac:dyDescent="0.2">
      <c r="A368">
        <v>41627002</v>
      </c>
      <c r="B368" t="s">
        <v>4411</v>
      </c>
      <c r="C368" t="s">
        <v>4412</v>
      </c>
      <c r="D368" t="s">
        <v>3505</v>
      </c>
      <c r="E368" s="9">
        <v>45446</v>
      </c>
      <c r="F368" s="9">
        <v>45481</v>
      </c>
      <c r="G368" t="s">
        <v>45</v>
      </c>
      <c r="H368" t="s">
        <v>46</v>
      </c>
      <c r="J368" t="s">
        <v>123</v>
      </c>
      <c r="K368" t="s">
        <v>48</v>
      </c>
      <c r="L368" t="s">
        <v>49</v>
      </c>
      <c r="M368" t="s">
        <v>50</v>
      </c>
      <c r="O368" t="s">
        <v>39</v>
      </c>
      <c r="P368" t="s">
        <v>39</v>
      </c>
      <c r="Q368" t="s">
        <v>39</v>
      </c>
      <c r="R368" t="s">
        <v>41</v>
      </c>
      <c r="S368" t="s">
        <v>40</v>
      </c>
      <c r="T368" t="s">
        <v>41</v>
      </c>
      <c r="U368" t="s">
        <v>39</v>
      </c>
      <c r="V368" t="s">
        <v>39</v>
      </c>
      <c r="W368" t="s">
        <v>41</v>
      </c>
      <c r="X368" t="s">
        <v>4413</v>
      </c>
      <c r="AB368" t="s">
        <v>4414</v>
      </c>
      <c r="AC368" t="s">
        <v>4415</v>
      </c>
      <c r="AD368" t="s">
        <v>4416</v>
      </c>
    </row>
    <row r="369" spans="1:31" x14ac:dyDescent="0.2">
      <c r="A369">
        <v>41626955</v>
      </c>
      <c r="B369" t="s">
        <v>2946</v>
      </c>
      <c r="C369" t="s">
        <v>2947</v>
      </c>
      <c r="D369" t="s">
        <v>3505</v>
      </c>
      <c r="E369" s="9">
        <v>45446</v>
      </c>
      <c r="F369" s="9">
        <v>45473</v>
      </c>
      <c r="G369" t="s">
        <v>45</v>
      </c>
      <c r="H369" t="s">
        <v>68</v>
      </c>
      <c r="I369" t="s">
        <v>46</v>
      </c>
      <c r="J369" t="s">
        <v>60</v>
      </c>
      <c r="K369" t="s">
        <v>48</v>
      </c>
      <c r="L369" t="s">
        <v>49</v>
      </c>
      <c r="M369" t="s">
        <v>50</v>
      </c>
      <c r="O369" t="s">
        <v>39</v>
      </c>
      <c r="P369" t="s">
        <v>39</v>
      </c>
      <c r="Q369" t="s">
        <v>39</v>
      </c>
      <c r="R369" t="s">
        <v>41</v>
      </c>
      <c r="S369" t="s">
        <v>40</v>
      </c>
      <c r="T369" t="s">
        <v>41</v>
      </c>
      <c r="U369" t="s">
        <v>39</v>
      </c>
      <c r="V369" t="s">
        <v>39</v>
      </c>
      <c r="W369" t="s">
        <v>40</v>
      </c>
      <c r="X369" t="s">
        <v>4417</v>
      </c>
      <c r="AB369" t="s">
        <v>4418</v>
      </c>
      <c r="AC369" t="s">
        <v>4419</v>
      </c>
      <c r="AD369" t="s">
        <v>4420</v>
      </c>
    </row>
    <row r="370" spans="1:31" x14ac:dyDescent="0.2">
      <c r="A370">
        <v>41627733</v>
      </c>
      <c r="B370" t="s">
        <v>4276</v>
      </c>
      <c r="C370" t="s">
        <v>4277</v>
      </c>
      <c r="D370" t="s">
        <v>3505</v>
      </c>
      <c r="E370" s="9">
        <v>45446</v>
      </c>
      <c r="F370" s="9">
        <v>45603</v>
      </c>
      <c r="G370" t="s">
        <v>45</v>
      </c>
      <c r="H370" t="s">
        <v>335</v>
      </c>
      <c r="I370" t="s">
        <v>59</v>
      </c>
      <c r="J370" t="s">
        <v>2230</v>
      </c>
      <c r="K370" t="s">
        <v>36</v>
      </c>
      <c r="L370" t="s">
        <v>49</v>
      </c>
      <c r="M370" t="s">
        <v>50</v>
      </c>
      <c r="O370" t="s">
        <v>39</v>
      </c>
      <c r="P370" t="s">
        <v>39</v>
      </c>
      <c r="Q370" t="s">
        <v>39</v>
      </c>
      <c r="R370" t="s">
        <v>41</v>
      </c>
      <c r="S370" t="s">
        <v>40</v>
      </c>
      <c r="T370" t="s">
        <v>41</v>
      </c>
      <c r="U370" t="s">
        <v>39</v>
      </c>
      <c r="V370" t="s">
        <v>39</v>
      </c>
      <c r="W370" t="s">
        <v>40</v>
      </c>
      <c r="X370" t="s">
        <v>4421</v>
      </c>
      <c r="AB370" t="s">
        <v>4422</v>
      </c>
      <c r="AC370" t="s">
        <v>4423</v>
      </c>
      <c r="AD370" t="s">
        <v>4424</v>
      </c>
    </row>
    <row r="371" spans="1:31" x14ac:dyDescent="0.2">
      <c r="A371">
        <v>41627909</v>
      </c>
      <c r="B371" t="s">
        <v>4425</v>
      </c>
      <c r="C371" t="s">
        <v>3725</v>
      </c>
      <c r="D371" t="s">
        <v>3505</v>
      </c>
      <c r="E371" s="9">
        <v>45446</v>
      </c>
      <c r="F371" s="9">
        <v>45701</v>
      </c>
      <c r="G371" t="s">
        <v>45</v>
      </c>
      <c r="H371" t="s">
        <v>3889</v>
      </c>
      <c r="I371" t="s">
        <v>53</v>
      </c>
      <c r="J371" t="s">
        <v>73</v>
      </c>
      <c r="K371" t="s">
        <v>48</v>
      </c>
      <c r="L371" t="s">
        <v>49</v>
      </c>
      <c r="M371" t="s">
        <v>74</v>
      </c>
      <c r="O371" t="s">
        <v>39</v>
      </c>
      <c r="P371" t="s">
        <v>39</v>
      </c>
      <c r="Q371" t="s">
        <v>39</v>
      </c>
      <c r="R371" t="s">
        <v>41</v>
      </c>
      <c r="S371" t="s">
        <v>40</v>
      </c>
      <c r="T371" t="s">
        <v>41</v>
      </c>
      <c r="U371" t="s">
        <v>39</v>
      </c>
      <c r="V371" t="s">
        <v>39</v>
      </c>
      <c r="W371" t="s">
        <v>40</v>
      </c>
      <c r="X371" t="s">
        <v>4426</v>
      </c>
      <c r="AB371" t="s">
        <v>4427</v>
      </c>
      <c r="AC371" t="s">
        <v>4428</v>
      </c>
    </row>
    <row r="372" spans="1:31" x14ac:dyDescent="0.2">
      <c r="A372">
        <v>41627727</v>
      </c>
      <c r="B372" t="s">
        <v>4281</v>
      </c>
      <c r="C372" t="s">
        <v>4282</v>
      </c>
      <c r="D372" t="s">
        <v>3505</v>
      </c>
      <c r="E372" s="9">
        <v>45446</v>
      </c>
      <c r="F372" s="9">
        <v>45590</v>
      </c>
      <c r="G372" t="s">
        <v>45</v>
      </c>
      <c r="H372" t="s">
        <v>335</v>
      </c>
      <c r="I372" t="s">
        <v>59</v>
      </c>
      <c r="J372" t="s">
        <v>2230</v>
      </c>
      <c r="K372" t="s">
        <v>36</v>
      </c>
      <c r="L372" t="s">
        <v>49</v>
      </c>
      <c r="M372" t="s">
        <v>50</v>
      </c>
      <c r="O372" t="s">
        <v>39</v>
      </c>
      <c r="P372" t="s">
        <v>39</v>
      </c>
      <c r="Q372" t="s">
        <v>39</v>
      </c>
      <c r="R372" t="s">
        <v>41</v>
      </c>
      <c r="S372" t="s">
        <v>40</v>
      </c>
      <c r="T372" t="s">
        <v>41</v>
      </c>
      <c r="U372" t="s">
        <v>39</v>
      </c>
      <c r="V372" t="s">
        <v>39</v>
      </c>
      <c r="W372" t="s">
        <v>40</v>
      </c>
      <c r="X372" t="s">
        <v>4429</v>
      </c>
      <c r="AB372" t="s">
        <v>4430</v>
      </c>
      <c r="AC372" t="s">
        <v>4431</v>
      </c>
      <c r="AD372" t="s">
        <v>4432</v>
      </c>
    </row>
    <row r="373" spans="1:31" x14ac:dyDescent="0.2">
      <c r="A373">
        <v>41627743</v>
      </c>
      <c r="B373" t="s">
        <v>4223</v>
      </c>
      <c r="C373" t="s">
        <v>3872</v>
      </c>
      <c r="D373" t="s">
        <v>3505</v>
      </c>
      <c r="E373" s="9">
        <v>45446</v>
      </c>
      <c r="F373" s="9">
        <v>45496</v>
      </c>
      <c r="G373" t="s">
        <v>45</v>
      </c>
      <c r="H373" t="s">
        <v>4433</v>
      </c>
      <c r="I373" t="s">
        <v>4434</v>
      </c>
      <c r="J373" t="s">
        <v>342</v>
      </c>
      <c r="K373" t="s">
        <v>48</v>
      </c>
      <c r="L373" t="s">
        <v>49</v>
      </c>
      <c r="M373" t="s">
        <v>50</v>
      </c>
      <c r="O373" t="s">
        <v>39</v>
      </c>
      <c r="P373" t="s">
        <v>39</v>
      </c>
      <c r="Q373" t="s">
        <v>39</v>
      </c>
      <c r="R373" t="s">
        <v>41</v>
      </c>
      <c r="S373" t="s">
        <v>40</v>
      </c>
      <c r="T373" t="s">
        <v>41</v>
      </c>
      <c r="U373" t="s">
        <v>39</v>
      </c>
      <c r="V373" t="s">
        <v>39</v>
      </c>
      <c r="W373" t="s">
        <v>40</v>
      </c>
      <c r="AB373" t="s">
        <v>4435</v>
      </c>
      <c r="AC373" t="s">
        <v>4436</v>
      </c>
      <c r="AD373" t="s">
        <v>4437</v>
      </c>
    </row>
    <row r="374" spans="1:31" x14ac:dyDescent="0.2">
      <c r="A374">
        <v>41627806</v>
      </c>
      <c r="B374" t="s">
        <v>4036</v>
      </c>
      <c r="C374" t="s">
        <v>4037</v>
      </c>
      <c r="D374" t="s">
        <v>3505</v>
      </c>
      <c r="E374" s="9">
        <v>45446</v>
      </c>
      <c r="F374" s="9">
        <v>45485</v>
      </c>
      <c r="G374" t="s">
        <v>45</v>
      </c>
      <c r="H374" t="s">
        <v>429</v>
      </c>
      <c r="I374" t="s">
        <v>397</v>
      </c>
      <c r="J374" t="s">
        <v>4038</v>
      </c>
      <c r="K374" t="s">
        <v>48</v>
      </c>
      <c r="L374" t="s">
        <v>49</v>
      </c>
      <c r="M374" t="s">
        <v>50</v>
      </c>
      <c r="O374" t="s">
        <v>39</v>
      </c>
      <c r="P374" t="s">
        <v>39</v>
      </c>
      <c r="Q374" t="s">
        <v>39</v>
      </c>
      <c r="R374" t="s">
        <v>41</v>
      </c>
      <c r="S374" t="s">
        <v>40</v>
      </c>
      <c r="T374" t="s">
        <v>41</v>
      </c>
      <c r="U374" t="s">
        <v>39</v>
      </c>
      <c r="V374" t="s">
        <v>39</v>
      </c>
      <c r="W374" t="s">
        <v>40</v>
      </c>
      <c r="X374" t="s">
        <v>4438</v>
      </c>
      <c r="AB374" t="s">
        <v>4439</v>
      </c>
      <c r="AC374" t="s">
        <v>4440</v>
      </c>
      <c r="AD374" t="s">
        <v>4441</v>
      </c>
    </row>
    <row r="375" spans="1:31" x14ac:dyDescent="0.2">
      <c r="A375">
        <v>41627861</v>
      </c>
      <c r="B375" t="s">
        <v>4283</v>
      </c>
      <c r="C375" t="s">
        <v>4284</v>
      </c>
      <c r="D375" t="s">
        <v>3505</v>
      </c>
      <c r="E375" s="9">
        <v>45446</v>
      </c>
      <c r="F375" s="9">
        <v>45485</v>
      </c>
      <c r="G375" t="s">
        <v>45</v>
      </c>
      <c r="H375" t="s">
        <v>59</v>
      </c>
      <c r="I375" t="s">
        <v>46</v>
      </c>
      <c r="J375" t="s">
        <v>54</v>
      </c>
      <c r="K375" t="s">
        <v>36</v>
      </c>
      <c r="L375" t="s">
        <v>49</v>
      </c>
      <c r="M375" t="s">
        <v>50</v>
      </c>
      <c r="O375" t="s">
        <v>39</v>
      </c>
      <c r="P375" t="s">
        <v>39</v>
      </c>
      <c r="Q375" t="s">
        <v>39</v>
      </c>
      <c r="R375" t="s">
        <v>41</v>
      </c>
      <c r="S375" t="s">
        <v>40</v>
      </c>
      <c r="T375" t="s">
        <v>41</v>
      </c>
      <c r="U375" t="s">
        <v>39</v>
      </c>
      <c r="V375" t="s">
        <v>39</v>
      </c>
      <c r="W375" t="s">
        <v>40</v>
      </c>
      <c r="AB375" t="s">
        <v>4442</v>
      </c>
      <c r="AC375" t="s">
        <v>4443</v>
      </c>
      <c r="AD375" t="s">
        <v>4444</v>
      </c>
    </row>
    <row r="376" spans="1:31" x14ac:dyDescent="0.2">
      <c r="A376">
        <v>41626949</v>
      </c>
      <c r="B376" t="s">
        <v>3977</v>
      </c>
      <c r="C376" t="s">
        <v>110</v>
      </c>
      <c r="D376" t="s">
        <v>3505</v>
      </c>
      <c r="E376" s="9">
        <v>45446</v>
      </c>
      <c r="F376" s="9">
        <v>45540</v>
      </c>
      <c r="G376" t="s">
        <v>45</v>
      </c>
      <c r="H376" t="s">
        <v>46</v>
      </c>
      <c r="J376" t="s">
        <v>54</v>
      </c>
      <c r="K376" t="s">
        <v>48</v>
      </c>
      <c r="L376" t="s">
        <v>37</v>
      </c>
      <c r="M376" t="s">
        <v>50</v>
      </c>
      <c r="O376" t="s">
        <v>39</v>
      </c>
      <c r="P376" t="s">
        <v>39</v>
      </c>
      <c r="Q376" t="s">
        <v>39</v>
      </c>
      <c r="R376" t="s">
        <v>41</v>
      </c>
      <c r="S376" t="s">
        <v>40</v>
      </c>
      <c r="T376" t="s">
        <v>41</v>
      </c>
      <c r="U376" t="s">
        <v>39</v>
      </c>
      <c r="V376" t="s">
        <v>39</v>
      </c>
      <c r="W376" t="s">
        <v>40</v>
      </c>
      <c r="X376" t="s">
        <v>4445</v>
      </c>
      <c r="AB376" t="s">
        <v>4446</v>
      </c>
      <c r="AC376" t="s">
        <v>4447</v>
      </c>
      <c r="AD376" t="s">
        <v>4448</v>
      </c>
      <c r="AE376" t="s">
        <v>4449</v>
      </c>
    </row>
    <row r="377" spans="1:31" x14ac:dyDescent="0.2">
      <c r="A377">
        <v>41627775</v>
      </c>
      <c r="B377" t="s">
        <v>4232</v>
      </c>
      <c r="C377" t="s">
        <v>4233</v>
      </c>
      <c r="D377" t="s">
        <v>3505</v>
      </c>
      <c r="E377" s="9">
        <v>45446</v>
      </c>
      <c r="F377" s="9">
        <v>45509</v>
      </c>
      <c r="G377" t="s">
        <v>45</v>
      </c>
      <c r="H377" t="s">
        <v>46</v>
      </c>
      <c r="I377" t="s">
        <v>53</v>
      </c>
      <c r="J377" t="s">
        <v>154</v>
      </c>
      <c r="K377" t="s">
        <v>36</v>
      </c>
      <c r="L377" t="s">
        <v>49</v>
      </c>
      <c r="M377" t="s">
        <v>50</v>
      </c>
      <c r="O377" t="s">
        <v>39</v>
      </c>
      <c r="P377" t="s">
        <v>39</v>
      </c>
      <c r="Q377" t="s">
        <v>39</v>
      </c>
      <c r="R377" t="s">
        <v>41</v>
      </c>
      <c r="S377" t="s">
        <v>40</v>
      </c>
      <c r="T377" t="s">
        <v>41</v>
      </c>
      <c r="U377" t="s">
        <v>39</v>
      </c>
      <c r="V377" t="s">
        <v>39</v>
      </c>
      <c r="W377" t="s">
        <v>40</v>
      </c>
      <c r="X377" t="s">
        <v>4450</v>
      </c>
      <c r="AB377" t="s">
        <v>4451</v>
      </c>
      <c r="AC377" t="s">
        <v>4452</v>
      </c>
      <c r="AD377" t="s">
        <v>4453</v>
      </c>
    </row>
    <row r="378" spans="1:31" x14ac:dyDescent="0.2">
      <c r="A378">
        <v>41627843</v>
      </c>
      <c r="B378" t="s">
        <v>4287</v>
      </c>
      <c r="C378" t="s">
        <v>4288</v>
      </c>
      <c r="D378" t="s">
        <v>3505</v>
      </c>
      <c r="E378" s="9">
        <v>45446</v>
      </c>
      <c r="F378" s="9">
        <v>45450</v>
      </c>
      <c r="G378" t="s">
        <v>45</v>
      </c>
      <c r="H378" t="s">
        <v>46</v>
      </c>
      <c r="I378" t="s">
        <v>53</v>
      </c>
      <c r="J378" t="s">
        <v>65</v>
      </c>
      <c r="K378" t="s">
        <v>36</v>
      </c>
      <c r="L378" t="s">
        <v>49</v>
      </c>
      <c r="M378" t="s">
        <v>50</v>
      </c>
      <c r="O378" t="s">
        <v>39</v>
      </c>
      <c r="P378" t="s">
        <v>39</v>
      </c>
      <c r="Q378" t="s">
        <v>39</v>
      </c>
      <c r="R378" t="s">
        <v>41</v>
      </c>
      <c r="S378" t="s">
        <v>40</v>
      </c>
      <c r="T378" t="s">
        <v>41</v>
      </c>
      <c r="U378" t="s">
        <v>39</v>
      </c>
      <c r="V378" t="s">
        <v>39</v>
      </c>
      <c r="W378" t="s">
        <v>40</v>
      </c>
      <c r="AB378" t="s">
        <v>4454</v>
      </c>
    </row>
    <row r="379" spans="1:31" x14ac:dyDescent="0.2">
      <c r="A379">
        <v>41627891</v>
      </c>
      <c r="B379" t="s">
        <v>4455</v>
      </c>
      <c r="C379" t="s">
        <v>1912</v>
      </c>
      <c r="D379" t="s">
        <v>3505</v>
      </c>
      <c r="E379" s="9">
        <v>45446</v>
      </c>
      <c r="F379" s="9">
        <v>45496</v>
      </c>
      <c r="G379" t="s">
        <v>45</v>
      </c>
      <c r="H379" t="s">
        <v>4456</v>
      </c>
      <c r="I379" t="s">
        <v>4457</v>
      </c>
      <c r="J379" t="s">
        <v>112</v>
      </c>
      <c r="K379" t="s">
        <v>36</v>
      </c>
      <c r="L379" t="s">
        <v>49</v>
      </c>
      <c r="M379" t="s">
        <v>50</v>
      </c>
      <c r="O379" t="s">
        <v>39</v>
      </c>
      <c r="P379" t="s">
        <v>39</v>
      </c>
      <c r="Q379" t="s">
        <v>39</v>
      </c>
      <c r="R379" t="s">
        <v>41</v>
      </c>
      <c r="S379" t="s">
        <v>40</v>
      </c>
      <c r="T379" t="s">
        <v>41</v>
      </c>
      <c r="U379" t="s">
        <v>39</v>
      </c>
      <c r="V379" t="s">
        <v>39</v>
      </c>
      <c r="W379" t="s">
        <v>40</v>
      </c>
      <c r="X379" t="s">
        <v>4458</v>
      </c>
      <c r="AB379" t="s">
        <v>4459</v>
      </c>
      <c r="AC379" t="s">
        <v>4460</v>
      </c>
    </row>
    <row r="380" spans="1:31" x14ac:dyDescent="0.2">
      <c r="A380">
        <v>41628001</v>
      </c>
      <c r="B380" t="s">
        <v>4461</v>
      </c>
      <c r="C380" t="s">
        <v>4462</v>
      </c>
      <c r="D380" t="s">
        <v>3505</v>
      </c>
      <c r="E380" s="9">
        <v>45446</v>
      </c>
      <c r="F380" s="9">
        <v>45553</v>
      </c>
      <c r="G380" t="s">
        <v>45</v>
      </c>
      <c r="H380" t="s">
        <v>3889</v>
      </c>
      <c r="I380" t="s">
        <v>53</v>
      </c>
      <c r="J380" t="s">
        <v>138</v>
      </c>
      <c r="K380" t="s">
        <v>36</v>
      </c>
      <c r="L380" t="s">
        <v>49</v>
      </c>
      <c r="M380" t="s">
        <v>50</v>
      </c>
      <c r="O380" t="s">
        <v>39</v>
      </c>
      <c r="P380" t="s">
        <v>39</v>
      </c>
      <c r="Q380" t="s">
        <v>39</v>
      </c>
      <c r="R380" t="s">
        <v>41</v>
      </c>
      <c r="S380" t="s">
        <v>40</v>
      </c>
      <c r="T380" t="s">
        <v>41</v>
      </c>
      <c r="U380" t="s">
        <v>39</v>
      </c>
      <c r="V380" t="s">
        <v>39</v>
      </c>
      <c r="W380" t="s">
        <v>40</v>
      </c>
      <c r="AB380" t="s">
        <v>4463</v>
      </c>
      <c r="AC380" t="s">
        <v>4464</v>
      </c>
      <c r="AD380" t="s">
        <v>4465</v>
      </c>
    </row>
    <row r="381" spans="1:31" x14ac:dyDescent="0.2">
      <c r="A381">
        <v>41627034</v>
      </c>
      <c r="B381" t="s">
        <v>4116</v>
      </c>
      <c r="C381" t="s">
        <v>4117</v>
      </c>
      <c r="D381" t="s">
        <v>3505</v>
      </c>
      <c r="E381" s="9">
        <v>45446</v>
      </c>
      <c r="F381" s="9">
        <v>45473</v>
      </c>
      <c r="G381" t="s">
        <v>45</v>
      </c>
      <c r="H381" t="s">
        <v>46</v>
      </c>
      <c r="J381" t="s">
        <v>4466</v>
      </c>
      <c r="K381" t="s">
        <v>36</v>
      </c>
      <c r="L381" t="s">
        <v>49</v>
      </c>
      <c r="M381" t="s">
        <v>50</v>
      </c>
      <c r="O381" t="s">
        <v>39</v>
      </c>
      <c r="P381" t="s">
        <v>39</v>
      </c>
      <c r="Q381" t="s">
        <v>39</v>
      </c>
      <c r="R381" t="s">
        <v>41</v>
      </c>
      <c r="S381" t="s">
        <v>40</v>
      </c>
      <c r="T381" t="s">
        <v>41</v>
      </c>
      <c r="U381" t="s">
        <v>39</v>
      </c>
      <c r="V381" t="s">
        <v>39</v>
      </c>
      <c r="W381" t="s">
        <v>40</v>
      </c>
      <c r="X381" t="s">
        <v>4467</v>
      </c>
      <c r="AB381" t="s">
        <v>4468</v>
      </c>
      <c r="AC381" t="s">
        <v>4469</v>
      </c>
      <c r="AD381" t="s">
        <v>4470</v>
      </c>
    </row>
    <row r="382" spans="1:31" x14ac:dyDescent="0.2">
      <c r="A382">
        <v>41669269</v>
      </c>
      <c r="B382" t="s">
        <v>4471</v>
      </c>
      <c r="C382" t="s">
        <v>4472</v>
      </c>
      <c r="D382" t="s">
        <v>3505</v>
      </c>
      <c r="E382" s="9">
        <v>45450</v>
      </c>
      <c r="F382" s="9">
        <v>45454</v>
      </c>
      <c r="G382" t="s">
        <v>45</v>
      </c>
      <c r="H382" t="s">
        <v>4362</v>
      </c>
      <c r="I382" t="s">
        <v>46</v>
      </c>
      <c r="J382" t="s">
        <v>98</v>
      </c>
      <c r="K382" t="s">
        <v>48</v>
      </c>
      <c r="L382" t="s">
        <v>49</v>
      </c>
      <c r="M382" t="s">
        <v>50</v>
      </c>
      <c r="O382" t="s">
        <v>39</v>
      </c>
      <c r="P382" t="s">
        <v>39</v>
      </c>
      <c r="Q382" t="s">
        <v>39</v>
      </c>
      <c r="R382" t="s">
        <v>41</v>
      </c>
      <c r="S382" t="s">
        <v>40</v>
      </c>
      <c r="T382" t="s">
        <v>41</v>
      </c>
      <c r="U382" t="s">
        <v>39</v>
      </c>
      <c r="V382" t="s">
        <v>39</v>
      </c>
      <c r="W382" t="s">
        <v>40</v>
      </c>
      <c r="AB382" t="s">
        <v>4473</v>
      </c>
    </row>
    <row r="383" spans="1:31" x14ac:dyDescent="0.2">
      <c r="A383">
        <v>41667663</v>
      </c>
      <c r="B383" t="s">
        <v>4474</v>
      </c>
      <c r="C383" t="s">
        <v>4475</v>
      </c>
      <c r="D383" t="s">
        <v>3505</v>
      </c>
      <c r="E383" s="9">
        <v>45450</v>
      </c>
      <c r="F383" s="9">
        <v>45724</v>
      </c>
      <c r="G383" t="s">
        <v>45</v>
      </c>
      <c r="H383" t="s">
        <v>46</v>
      </c>
      <c r="I383" t="s">
        <v>53</v>
      </c>
      <c r="J383" t="s">
        <v>65</v>
      </c>
      <c r="K383" t="s">
        <v>48</v>
      </c>
      <c r="L383" t="s">
        <v>49</v>
      </c>
      <c r="M383" t="s">
        <v>50</v>
      </c>
      <c r="O383" t="s">
        <v>39</v>
      </c>
      <c r="P383" t="s">
        <v>39</v>
      </c>
      <c r="Q383" t="s">
        <v>39</v>
      </c>
      <c r="R383" t="s">
        <v>41</v>
      </c>
      <c r="S383" t="s">
        <v>40</v>
      </c>
      <c r="T383" t="s">
        <v>41</v>
      </c>
      <c r="U383" t="s">
        <v>39</v>
      </c>
      <c r="V383" t="s">
        <v>39</v>
      </c>
      <c r="W383" t="s">
        <v>40</v>
      </c>
      <c r="X383" t="s">
        <v>4476</v>
      </c>
      <c r="AB383" t="s">
        <v>4477</v>
      </c>
      <c r="AC383" t="s">
        <v>4478</v>
      </c>
    </row>
    <row r="384" spans="1:31" x14ac:dyDescent="0.2">
      <c r="A384">
        <v>41667667</v>
      </c>
      <c r="B384" t="s">
        <v>4479</v>
      </c>
      <c r="C384" t="s">
        <v>4480</v>
      </c>
      <c r="D384" t="s">
        <v>3505</v>
      </c>
      <c r="E384" s="9">
        <v>45450</v>
      </c>
      <c r="F384" s="9">
        <v>45540</v>
      </c>
      <c r="G384" t="s">
        <v>45</v>
      </c>
      <c r="H384" t="s">
        <v>1160</v>
      </c>
      <c r="I384" t="s">
        <v>1444</v>
      </c>
      <c r="J384" t="s">
        <v>47</v>
      </c>
      <c r="K384" t="s">
        <v>48</v>
      </c>
      <c r="L384" t="s">
        <v>49</v>
      </c>
      <c r="M384" t="s">
        <v>74</v>
      </c>
      <c r="O384" t="s">
        <v>39</v>
      </c>
      <c r="P384" t="s">
        <v>39</v>
      </c>
      <c r="Q384" t="s">
        <v>39</v>
      </c>
      <c r="R384" t="s">
        <v>41</v>
      </c>
      <c r="S384" t="s">
        <v>40</v>
      </c>
      <c r="T384" t="s">
        <v>41</v>
      </c>
      <c r="U384" t="s">
        <v>39</v>
      </c>
      <c r="V384" t="s">
        <v>39</v>
      </c>
      <c r="W384" t="s">
        <v>40</v>
      </c>
      <c r="AB384" t="s">
        <v>4481</v>
      </c>
      <c r="AC384" t="s">
        <v>4482</v>
      </c>
    </row>
    <row r="385" spans="1:31" x14ac:dyDescent="0.2">
      <c r="A385">
        <v>41667582</v>
      </c>
      <c r="B385" t="s">
        <v>4299</v>
      </c>
      <c r="C385" t="s">
        <v>4300</v>
      </c>
      <c r="D385" t="s">
        <v>3505</v>
      </c>
      <c r="E385" s="9">
        <v>45450</v>
      </c>
      <c r="F385" s="9">
        <v>45701</v>
      </c>
      <c r="G385" t="s">
        <v>45</v>
      </c>
      <c r="H385" t="s">
        <v>46</v>
      </c>
      <c r="J385" t="s">
        <v>47</v>
      </c>
      <c r="K385" t="s">
        <v>48</v>
      </c>
      <c r="L385" t="s">
        <v>49</v>
      </c>
      <c r="M385" t="s">
        <v>50</v>
      </c>
      <c r="O385" t="s">
        <v>39</v>
      </c>
      <c r="P385" t="s">
        <v>39</v>
      </c>
      <c r="Q385" t="s">
        <v>39</v>
      </c>
      <c r="R385" t="s">
        <v>41</v>
      </c>
      <c r="S385" t="s">
        <v>40</v>
      </c>
      <c r="T385" t="s">
        <v>41</v>
      </c>
      <c r="U385" t="s">
        <v>39</v>
      </c>
      <c r="V385" t="s">
        <v>39</v>
      </c>
      <c r="W385" t="s">
        <v>40</v>
      </c>
      <c r="X385" t="s">
        <v>4483</v>
      </c>
      <c r="AB385" t="s">
        <v>4484</v>
      </c>
      <c r="AC385" t="s">
        <v>4485</v>
      </c>
    </row>
    <row r="386" spans="1:31" x14ac:dyDescent="0.2">
      <c r="A386">
        <v>41667618</v>
      </c>
      <c r="B386" t="s">
        <v>43</v>
      </c>
      <c r="C386" t="s">
        <v>44</v>
      </c>
      <c r="D386" t="s">
        <v>32</v>
      </c>
      <c r="E386" s="9">
        <v>45450</v>
      </c>
      <c r="G386" t="s">
        <v>45</v>
      </c>
      <c r="H386" t="s">
        <v>46</v>
      </c>
      <c r="J386" t="s">
        <v>47</v>
      </c>
      <c r="K386" t="s">
        <v>48</v>
      </c>
      <c r="L386" t="s">
        <v>49</v>
      </c>
      <c r="M386" t="s">
        <v>50</v>
      </c>
      <c r="O386" t="s">
        <v>39</v>
      </c>
      <c r="P386" t="s">
        <v>39</v>
      </c>
      <c r="Q386" t="s">
        <v>39</v>
      </c>
      <c r="R386" t="s">
        <v>41</v>
      </c>
      <c r="S386" t="s">
        <v>40</v>
      </c>
      <c r="T386" t="s">
        <v>41</v>
      </c>
      <c r="U386" t="s">
        <v>39</v>
      </c>
      <c r="V386" t="s">
        <v>39</v>
      </c>
      <c r="W386" t="s">
        <v>40</v>
      </c>
      <c r="X386" t="s">
        <v>1410</v>
      </c>
      <c r="AB386" t="s">
        <v>2174</v>
      </c>
      <c r="AC386" t="s">
        <v>2175</v>
      </c>
      <c r="AD386" t="s">
        <v>2176</v>
      </c>
      <c r="AE386" t="s">
        <v>2177</v>
      </c>
    </row>
    <row r="387" spans="1:31" x14ac:dyDescent="0.2">
      <c r="A387">
        <v>41668372</v>
      </c>
      <c r="B387" t="s">
        <v>4486</v>
      </c>
      <c r="C387" t="s">
        <v>4487</v>
      </c>
      <c r="D387" t="s">
        <v>3505</v>
      </c>
      <c r="E387" s="9">
        <v>45450</v>
      </c>
      <c r="F387" s="9">
        <v>45478</v>
      </c>
      <c r="G387" t="s">
        <v>45</v>
      </c>
      <c r="H387" t="s">
        <v>4362</v>
      </c>
      <c r="I387" t="s">
        <v>46</v>
      </c>
      <c r="J387" t="s">
        <v>138</v>
      </c>
      <c r="K387" t="s">
        <v>36</v>
      </c>
      <c r="L387" t="s">
        <v>386</v>
      </c>
      <c r="M387" t="s">
        <v>50</v>
      </c>
      <c r="O387" t="s">
        <v>39</v>
      </c>
      <c r="P387" t="s">
        <v>39</v>
      </c>
      <c r="Q387" t="s">
        <v>39</v>
      </c>
      <c r="R387" t="s">
        <v>41</v>
      </c>
      <c r="S387" t="s">
        <v>40</v>
      </c>
      <c r="T387" t="s">
        <v>41</v>
      </c>
      <c r="U387" t="s">
        <v>39</v>
      </c>
      <c r="V387" t="s">
        <v>39</v>
      </c>
      <c r="W387" t="s">
        <v>40</v>
      </c>
      <c r="X387" t="s">
        <v>4488</v>
      </c>
      <c r="AB387" t="s">
        <v>4489</v>
      </c>
    </row>
    <row r="388" spans="1:31" x14ac:dyDescent="0.2">
      <c r="A388">
        <v>41667650</v>
      </c>
      <c r="B388" t="s">
        <v>4303</v>
      </c>
      <c r="C388" t="s">
        <v>4304</v>
      </c>
      <c r="D388" t="s">
        <v>3505</v>
      </c>
      <c r="E388" s="9">
        <v>45450</v>
      </c>
      <c r="F388" s="9">
        <v>45540</v>
      </c>
      <c r="G388" t="s">
        <v>45</v>
      </c>
      <c r="H388" t="s">
        <v>59</v>
      </c>
      <c r="I388" t="s">
        <v>46</v>
      </c>
      <c r="J388" t="s">
        <v>65</v>
      </c>
      <c r="K388" t="s">
        <v>48</v>
      </c>
      <c r="L388" t="s">
        <v>49</v>
      </c>
      <c r="M388" t="s">
        <v>50</v>
      </c>
      <c r="O388" t="s">
        <v>39</v>
      </c>
      <c r="P388" t="s">
        <v>39</v>
      </c>
      <c r="Q388" t="s">
        <v>39</v>
      </c>
      <c r="R388" t="s">
        <v>41</v>
      </c>
      <c r="S388" t="s">
        <v>40</v>
      </c>
      <c r="T388" t="s">
        <v>41</v>
      </c>
      <c r="U388" t="s">
        <v>39</v>
      </c>
      <c r="V388" t="s">
        <v>39</v>
      </c>
      <c r="W388" t="s">
        <v>40</v>
      </c>
      <c r="AB388" t="s">
        <v>4490</v>
      </c>
      <c r="AC388" t="s">
        <v>4491</v>
      </c>
      <c r="AD388" t="s">
        <v>4492</v>
      </c>
    </row>
    <row r="389" spans="1:31" x14ac:dyDescent="0.2">
      <c r="A389">
        <v>41669899</v>
      </c>
      <c r="B389" t="s">
        <v>4493</v>
      </c>
      <c r="C389" t="s">
        <v>4494</v>
      </c>
      <c r="D389" t="s">
        <v>3505</v>
      </c>
      <c r="E389" s="9">
        <v>45450</v>
      </c>
      <c r="F389" s="9">
        <v>45454</v>
      </c>
      <c r="G389" t="s">
        <v>45</v>
      </c>
      <c r="H389" t="s">
        <v>90</v>
      </c>
      <c r="J389" t="s">
        <v>154</v>
      </c>
      <c r="K389" t="s">
        <v>36</v>
      </c>
      <c r="L389" t="s">
        <v>37</v>
      </c>
      <c r="M389" t="s">
        <v>50</v>
      </c>
      <c r="O389" t="s">
        <v>39</v>
      </c>
      <c r="P389" t="s">
        <v>39</v>
      </c>
      <c r="Q389" t="s">
        <v>39</v>
      </c>
      <c r="R389" t="s">
        <v>41</v>
      </c>
      <c r="S389" t="s">
        <v>40</v>
      </c>
      <c r="T389" t="s">
        <v>41</v>
      </c>
      <c r="U389" t="s">
        <v>39</v>
      </c>
      <c r="V389" t="s">
        <v>39</v>
      </c>
      <c r="W389" t="s">
        <v>40</v>
      </c>
      <c r="AB389" t="s">
        <v>4495</v>
      </c>
      <c r="AC389" t="s">
        <v>4496</v>
      </c>
      <c r="AD389" t="s">
        <v>4497</v>
      </c>
      <c r="AE389" t="s">
        <v>4498</v>
      </c>
    </row>
    <row r="390" spans="1:31" x14ac:dyDescent="0.2">
      <c r="A390">
        <v>41667640</v>
      </c>
      <c r="B390" t="s">
        <v>4238</v>
      </c>
      <c r="C390" t="s">
        <v>4239</v>
      </c>
      <c r="D390" t="s">
        <v>3505</v>
      </c>
      <c r="E390" s="9">
        <v>45450</v>
      </c>
      <c r="F390" s="9">
        <v>45678</v>
      </c>
      <c r="G390" t="s">
        <v>45</v>
      </c>
      <c r="H390" t="s">
        <v>4499</v>
      </c>
      <c r="I390" t="s">
        <v>80</v>
      </c>
      <c r="J390" t="s">
        <v>203</v>
      </c>
      <c r="K390" t="s">
        <v>36</v>
      </c>
      <c r="L390" t="s">
        <v>49</v>
      </c>
      <c r="M390" t="s">
        <v>74</v>
      </c>
      <c r="O390" t="s">
        <v>39</v>
      </c>
      <c r="P390" t="s">
        <v>39</v>
      </c>
      <c r="Q390" t="s">
        <v>39</v>
      </c>
      <c r="R390" t="s">
        <v>41</v>
      </c>
      <c r="S390" t="s">
        <v>40</v>
      </c>
      <c r="T390" t="s">
        <v>41</v>
      </c>
      <c r="U390" t="s">
        <v>39</v>
      </c>
      <c r="V390" t="s">
        <v>39</v>
      </c>
      <c r="W390" t="s">
        <v>40</v>
      </c>
      <c r="X390" t="s">
        <v>4500</v>
      </c>
      <c r="AB390" t="s">
        <v>4501</v>
      </c>
      <c r="AC390" t="s">
        <v>4502</v>
      </c>
      <c r="AD390" t="s">
        <v>4503</v>
      </c>
    </row>
    <row r="391" spans="1:31" x14ac:dyDescent="0.2">
      <c r="A391">
        <v>41667679</v>
      </c>
      <c r="B391" t="s">
        <v>4504</v>
      </c>
      <c r="C391" t="s">
        <v>4152</v>
      </c>
      <c r="D391" t="s">
        <v>3505</v>
      </c>
      <c r="E391" s="9">
        <v>45450</v>
      </c>
      <c r="F391" s="9">
        <v>45473</v>
      </c>
      <c r="G391" t="s">
        <v>45</v>
      </c>
      <c r="H391" t="s">
        <v>90</v>
      </c>
      <c r="J391" t="s">
        <v>138</v>
      </c>
      <c r="K391" t="s">
        <v>48</v>
      </c>
      <c r="L391" t="s">
        <v>49</v>
      </c>
      <c r="M391" t="s">
        <v>74</v>
      </c>
      <c r="O391" t="s">
        <v>39</v>
      </c>
      <c r="P391" t="s">
        <v>39</v>
      </c>
      <c r="Q391" t="s">
        <v>39</v>
      </c>
      <c r="R391" t="s">
        <v>41</v>
      </c>
      <c r="S391" t="s">
        <v>40</v>
      </c>
      <c r="T391" t="s">
        <v>41</v>
      </c>
      <c r="U391" t="s">
        <v>39</v>
      </c>
      <c r="V391" t="s">
        <v>39</v>
      </c>
      <c r="W391" t="s">
        <v>40</v>
      </c>
      <c r="AB391" t="s">
        <v>4505</v>
      </c>
      <c r="AC391" t="s">
        <v>4506</v>
      </c>
      <c r="AD391" t="s">
        <v>4507</v>
      </c>
    </row>
    <row r="392" spans="1:31" x14ac:dyDescent="0.2">
      <c r="A392">
        <v>41668030</v>
      </c>
      <c r="B392" t="s">
        <v>4508</v>
      </c>
      <c r="C392" t="s">
        <v>2403</v>
      </c>
      <c r="D392" t="s">
        <v>3505</v>
      </c>
      <c r="E392" s="9">
        <v>45450</v>
      </c>
      <c r="F392" s="9">
        <v>45478</v>
      </c>
      <c r="G392" t="s">
        <v>45</v>
      </c>
      <c r="H392" t="s">
        <v>4362</v>
      </c>
      <c r="I392" t="s">
        <v>46</v>
      </c>
      <c r="J392" t="s">
        <v>154</v>
      </c>
      <c r="K392" t="s">
        <v>48</v>
      </c>
      <c r="L392" t="s">
        <v>386</v>
      </c>
      <c r="M392" t="s">
        <v>50</v>
      </c>
      <c r="O392" t="s">
        <v>39</v>
      </c>
      <c r="P392" t="s">
        <v>39</v>
      </c>
      <c r="Q392" t="s">
        <v>39</v>
      </c>
      <c r="R392" t="s">
        <v>41</v>
      </c>
      <c r="S392" t="s">
        <v>40</v>
      </c>
      <c r="T392" t="s">
        <v>41</v>
      </c>
      <c r="U392" t="s">
        <v>39</v>
      </c>
      <c r="V392" t="s">
        <v>39</v>
      </c>
      <c r="W392" t="s">
        <v>40</v>
      </c>
      <c r="X392" t="s">
        <v>4488</v>
      </c>
      <c r="AB392" t="s">
        <v>4509</v>
      </c>
    </row>
    <row r="393" spans="1:31" x14ac:dyDescent="0.2">
      <c r="A393">
        <v>41668056</v>
      </c>
      <c r="B393" t="s">
        <v>4510</v>
      </c>
      <c r="C393" t="s">
        <v>4511</v>
      </c>
      <c r="D393" t="s">
        <v>3505</v>
      </c>
      <c r="E393" s="9">
        <v>45450</v>
      </c>
      <c r="F393" s="9">
        <v>45478</v>
      </c>
      <c r="G393" t="s">
        <v>45</v>
      </c>
      <c r="H393" t="s">
        <v>4362</v>
      </c>
      <c r="I393" t="s">
        <v>46</v>
      </c>
      <c r="J393" t="s">
        <v>154</v>
      </c>
      <c r="K393" t="s">
        <v>36</v>
      </c>
      <c r="L393" t="s">
        <v>386</v>
      </c>
      <c r="M393" t="s">
        <v>50</v>
      </c>
      <c r="O393" t="s">
        <v>39</v>
      </c>
      <c r="P393" t="s">
        <v>39</v>
      </c>
      <c r="Q393" t="s">
        <v>39</v>
      </c>
      <c r="R393" t="s">
        <v>41</v>
      </c>
      <c r="S393" t="s">
        <v>40</v>
      </c>
      <c r="T393" t="s">
        <v>41</v>
      </c>
      <c r="U393" t="s">
        <v>39</v>
      </c>
      <c r="V393" t="s">
        <v>39</v>
      </c>
      <c r="W393" t="s">
        <v>40</v>
      </c>
      <c r="X393" t="s">
        <v>4488</v>
      </c>
      <c r="AB393" t="s">
        <v>4512</v>
      </c>
    </row>
    <row r="394" spans="1:31" x14ac:dyDescent="0.2">
      <c r="A394">
        <v>41667687</v>
      </c>
      <c r="B394" t="s">
        <v>4513</v>
      </c>
      <c r="C394" t="s">
        <v>4514</v>
      </c>
      <c r="D394" t="s">
        <v>3505</v>
      </c>
      <c r="E394" s="9">
        <v>45450</v>
      </c>
      <c r="F394" s="9">
        <v>45478</v>
      </c>
      <c r="G394" t="s">
        <v>45</v>
      </c>
      <c r="H394" t="s">
        <v>4362</v>
      </c>
      <c r="I394" t="s">
        <v>46</v>
      </c>
      <c r="J394" t="s">
        <v>73</v>
      </c>
      <c r="K394" t="s">
        <v>48</v>
      </c>
      <c r="L394" t="s">
        <v>386</v>
      </c>
      <c r="M394" t="s">
        <v>50</v>
      </c>
      <c r="O394" t="s">
        <v>39</v>
      </c>
      <c r="P394" t="s">
        <v>39</v>
      </c>
      <c r="Q394" t="s">
        <v>39</v>
      </c>
      <c r="R394" t="s">
        <v>41</v>
      </c>
      <c r="S394" t="s">
        <v>40</v>
      </c>
      <c r="T394" t="s">
        <v>41</v>
      </c>
      <c r="U394" t="s">
        <v>39</v>
      </c>
      <c r="V394" t="s">
        <v>39</v>
      </c>
      <c r="W394" t="s">
        <v>40</v>
      </c>
      <c r="X394" t="s">
        <v>4488</v>
      </c>
      <c r="AB394" t="s">
        <v>4515</v>
      </c>
    </row>
    <row r="395" spans="1:31" x14ac:dyDescent="0.2">
      <c r="A395">
        <v>41667591</v>
      </c>
      <c r="B395" t="s">
        <v>4136</v>
      </c>
      <c r="C395" t="s">
        <v>4137</v>
      </c>
      <c r="D395" t="s">
        <v>3505</v>
      </c>
      <c r="E395" s="9">
        <v>45450</v>
      </c>
      <c r="F395" s="9">
        <v>45461</v>
      </c>
      <c r="G395" t="s">
        <v>45</v>
      </c>
      <c r="H395" t="s">
        <v>253</v>
      </c>
      <c r="J395" t="s">
        <v>117</v>
      </c>
      <c r="K395" t="s">
        <v>48</v>
      </c>
      <c r="L395" t="s">
        <v>49</v>
      </c>
      <c r="M395" t="s">
        <v>50</v>
      </c>
      <c r="O395" t="s">
        <v>39</v>
      </c>
      <c r="P395" t="s">
        <v>39</v>
      </c>
      <c r="Q395" t="s">
        <v>39</v>
      </c>
      <c r="R395" t="s">
        <v>41</v>
      </c>
      <c r="S395" t="s">
        <v>40</v>
      </c>
      <c r="T395" t="s">
        <v>41</v>
      </c>
      <c r="U395" t="s">
        <v>39</v>
      </c>
      <c r="V395" t="s">
        <v>39</v>
      </c>
      <c r="W395" t="s">
        <v>40</v>
      </c>
      <c r="AB395" t="s">
        <v>4516</v>
      </c>
      <c r="AC395" t="s">
        <v>4517</v>
      </c>
      <c r="AD395" t="s">
        <v>4518</v>
      </c>
    </row>
    <row r="396" spans="1:31" x14ac:dyDescent="0.2">
      <c r="A396">
        <v>41669009</v>
      </c>
      <c r="B396" t="s">
        <v>4519</v>
      </c>
      <c r="C396" t="s">
        <v>4520</v>
      </c>
      <c r="D396" t="s">
        <v>3505</v>
      </c>
      <c r="E396" s="9">
        <v>45450</v>
      </c>
      <c r="F396" s="9">
        <v>45761</v>
      </c>
      <c r="G396" t="s">
        <v>45</v>
      </c>
      <c r="H396" t="s">
        <v>46</v>
      </c>
      <c r="I396" t="s">
        <v>90</v>
      </c>
      <c r="J396" t="s">
        <v>4521</v>
      </c>
      <c r="K396" t="s">
        <v>48</v>
      </c>
      <c r="L396" t="s">
        <v>49</v>
      </c>
      <c r="M396" t="s">
        <v>50</v>
      </c>
      <c r="O396" t="s">
        <v>39</v>
      </c>
      <c r="P396" t="s">
        <v>39</v>
      </c>
      <c r="Q396" t="s">
        <v>39</v>
      </c>
      <c r="R396" t="s">
        <v>41</v>
      </c>
      <c r="S396" t="s">
        <v>40</v>
      </c>
      <c r="T396" t="s">
        <v>41</v>
      </c>
      <c r="U396" t="s">
        <v>39</v>
      </c>
      <c r="V396" t="s">
        <v>39</v>
      </c>
      <c r="W396" t="s">
        <v>40</v>
      </c>
      <c r="X396" t="s">
        <v>4522</v>
      </c>
      <c r="AB396" t="s">
        <v>4523</v>
      </c>
      <c r="AC396" t="s">
        <v>4524</v>
      </c>
      <c r="AD396" t="s">
        <v>4525</v>
      </c>
      <c r="AE396" t="s">
        <v>4526</v>
      </c>
    </row>
    <row r="397" spans="1:31" x14ac:dyDescent="0.2">
      <c r="A397">
        <v>41668009</v>
      </c>
      <c r="B397" t="s">
        <v>4527</v>
      </c>
      <c r="C397" t="s">
        <v>4528</v>
      </c>
      <c r="D397" t="s">
        <v>3505</v>
      </c>
      <c r="E397" s="9">
        <v>45450</v>
      </c>
      <c r="F397" s="9">
        <v>45478</v>
      </c>
      <c r="G397" t="s">
        <v>45</v>
      </c>
      <c r="H397" t="s">
        <v>4362</v>
      </c>
      <c r="I397" t="s">
        <v>46</v>
      </c>
      <c r="J397" t="s">
        <v>73</v>
      </c>
      <c r="K397" t="s">
        <v>48</v>
      </c>
      <c r="L397" t="s">
        <v>386</v>
      </c>
      <c r="M397" t="s">
        <v>50</v>
      </c>
      <c r="O397" t="s">
        <v>39</v>
      </c>
      <c r="P397" t="s">
        <v>39</v>
      </c>
      <c r="Q397" t="s">
        <v>39</v>
      </c>
      <c r="R397" t="s">
        <v>41</v>
      </c>
      <c r="S397" t="s">
        <v>40</v>
      </c>
      <c r="T397" t="s">
        <v>41</v>
      </c>
      <c r="U397" t="s">
        <v>39</v>
      </c>
      <c r="V397" t="s">
        <v>39</v>
      </c>
      <c r="W397" t="s">
        <v>40</v>
      </c>
      <c r="X397" t="s">
        <v>4488</v>
      </c>
      <c r="AB397" t="s">
        <v>4529</v>
      </c>
    </row>
    <row r="398" spans="1:31" x14ac:dyDescent="0.2">
      <c r="A398">
        <v>41705594</v>
      </c>
      <c r="B398" t="s">
        <v>4530</v>
      </c>
      <c r="C398" t="s">
        <v>1977</v>
      </c>
      <c r="D398" t="s">
        <v>3505</v>
      </c>
      <c r="E398" s="9">
        <v>45454</v>
      </c>
      <c r="F398" s="9">
        <v>45645</v>
      </c>
      <c r="G398" t="s">
        <v>45</v>
      </c>
      <c r="H398" t="s">
        <v>80</v>
      </c>
      <c r="I398" t="s">
        <v>46</v>
      </c>
      <c r="J398" t="s">
        <v>98</v>
      </c>
      <c r="K398" t="s">
        <v>36</v>
      </c>
      <c r="L398" t="s">
        <v>49</v>
      </c>
      <c r="M398" t="s">
        <v>50</v>
      </c>
      <c r="O398" t="s">
        <v>39</v>
      </c>
      <c r="P398" t="s">
        <v>39</v>
      </c>
      <c r="Q398" t="s">
        <v>39</v>
      </c>
      <c r="R398" t="s">
        <v>41</v>
      </c>
      <c r="S398" t="s">
        <v>40</v>
      </c>
      <c r="T398" t="s">
        <v>41</v>
      </c>
      <c r="U398" t="s">
        <v>39</v>
      </c>
      <c r="V398" t="s">
        <v>39</v>
      </c>
      <c r="W398" t="s">
        <v>40</v>
      </c>
      <c r="X398" t="s">
        <v>4531</v>
      </c>
      <c r="AB398" t="s">
        <v>4532</v>
      </c>
      <c r="AC398" t="s">
        <v>4533</v>
      </c>
      <c r="AD398" t="s">
        <v>4534</v>
      </c>
    </row>
    <row r="399" spans="1:31" x14ac:dyDescent="0.2">
      <c r="A399">
        <v>41705526</v>
      </c>
      <c r="B399" t="s">
        <v>4535</v>
      </c>
      <c r="C399" t="s">
        <v>4536</v>
      </c>
      <c r="D399" t="s">
        <v>3505</v>
      </c>
      <c r="E399" s="9">
        <v>45454</v>
      </c>
      <c r="F399" s="9">
        <v>45574</v>
      </c>
      <c r="G399" t="s">
        <v>45</v>
      </c>
      <c r="H399" t="s">
        <v>90</v>
      </c>
      <c r="J399" t="s">
        <v>154</v>
      </c>
      <c r="K399" t="s">
        <v>36</v>
      </c>
      <c r="L399" t="s">
        <v>49</v>
      </c>
      <c r="M399" t="s">
        <v>50</v>
      </c>
      <c r="O399" t="s">
        <v>39</v>
      </c>
      <c r="P399" t="s">
        <v>39</v>
      </c>
      <c r="Q399" t="s">
        <v>39</v>
      </c>
      <c r="R399" t="s">
        <v>41</v>
      </c>
      <c r="S399" t="s">
        <v>40</v>
      </c>
      <c r="T399" t="s">
        <v>41</v>
      </c>
      <c r="U399" t="s">
        <v>39</v>
      </c>
      <c r="V399" t="s">
        <v>39</v>
      </c>
      <c r="W399" t="s">
        <v>40</v>
      </c>
      <c r="AB399" t="s">
        <v>4537</v>
      </c>
      <c r="AC399" t="s">
        <v>4538</v>
      </c>
      <c r="AD399" t="s">
        <v>4539</v>
      </c>
    </row>
    <row r="400" spans="1:31" x14ac:dyDescent="0.2">
      <c r="A400">
        <v>41705428</v>
      </c>
      <c r="B400" t="s">
        <v>4540</v>
      </c>
      <c r="C400" t="s">
        <v>4541</v>
      </c>
      <c r="D400" t="s">
        <v>3505</v>
      </c>
      <c r="E400" s="9">
        <v>45454</v>
      </c>
      <c r="F400" s="9">
        <v>45478</v>
      </c>
      <c r="G400" t="s">
        <v>45</v>
      </c>
      <c r="H400" t="s">
        <v>59</v>
      </c>
      <c r="I400" t="s">
        <v>53</v>
      </c>
      <c r="J400" t="s">
        <v>286</v>
      </c>
      <c r="K400" t="s">
        <v>48</v>
      </c>
      <c r="L400" t="s">
        <v>49</v>
      </c>
      <c r="M400" t="s">
        <v>50</v>
      </c>
      <c r="O400" t="s">
        <v>39</v>
      </c>
      <c r="P400" t="s">
        <v>39</v>
      </c>
      <c r="Q400" t="s">
        <v>39</v>
      </c>
      <c r="R400" t="s">
        <v>41</v>
      </c>
      <c r="S400" t="s">
        <v>40</v>
      </c>
      <c r="T400" t="s">
        <v>41</v>
      </c>
      <c r="U400" t="s">
        <v>39</v>
      </c>
      <c r="V400" t="s">
        <v>39</v>
      </c>
      <c r="W400" t="s">
        <v>40</v>
      </c>
      <c r="AB400" t="s">
        <v>4542</v>
      </c>
      <c r="AC400" t="s">
        <v>4543</v>
      </c>
      <c r="AD400" t="s">
        <v>4544</v>
      </c>
    </row>
    <row r="401" spans="1:30" x14ac:dyDescent="0.2">
      <c r="A401">
        <v>41705373</v>
      </c>
      <c r="B401" t="s">
        <v>4545</v>
      </c>
      <c r="C401" t="s">
        <v>1199</v>
      </c>
      <c r="D401" t="s">
        <v>3505</v>
      </c>
      <c r="E401" s="9">
        <v>45454</v>
      </c>
      <c r="F401" s="9">
        <v>45520</v>
      </c>
      <c r="G401" t="s">
        <v>45</v>
      </c>
      <c r="H401" t="s">
        <v>80</v>
      </c>
      <c r="J401" t="s">
        <v>203</v>
      </c>
      <c r="K401" t="s">
        <v>48</v>
      </c>
      <c r="L401" t="s">
        <v>49</v>
      </c>
      <c r="M401" t="s">
        <v>74</v>
      </c>
      <c r="O401" t="s">
        <v>39</v>
      </c>
      <c r="P401" t="s">
        <v>39</v>
      </c>
      <c r="Q401" t="s">
        <v>39</v>
      </c>
      <c r="R401" t="s">
        <v>41</v>
      </c>
      <c r="S401" t="s">
        <v>40</v>
      </c>
      <c r="T401" t="s">
        <v>41</v>
      </c>
      <c r="U401" t="s">
        <v>39</v>
      </c>
      <c r="V401" t="s">
        <v>39</v>
      </c>
      <c r="W401" t="s">
        <v>39</v>
      </c>
      <c r="X401" t="s">
        <v>4546</v>
      </c>
      <c r="AB401" t="s">
        <v>4547</v>
      </c>
      <c r="AC401" t="s">
        <v>4548</v>
      </c>
      <c r="AD401" t="s">
        <v>4549</v>
      </c>
    </row>
    <row r="402" spans="1:30" x14ac:dyDescent="0.2">
      <c r="A402">
        <v>41712901</v>
      </c>
      <c r="B402" t="s">
        <v>4550</v>
      </c>
      <c r="C402" t="s">
        <v>4551</v>
      </c>
      <c r="D402" t="s">
        <v>3505</v>
      </c>
      <c r="E402" s="9">
        <v>45455</v>
      </c>
      <c r="F402" s="9">
        <v>45473</v>
      </c>
      <c r="G402" t="s">
        <v>45</v>
      </c>
      <c r="H402" t="s">
        <v>46</v>
      </c>
      <c r="J402" t="s">
        <v>54</v>
      </c>
      <c r="K402" t="s">
        <v>36</v>
      </c>
      <c r="L402" t="s">
        <v>49</v>
      </c>
      <c r="M402" t="s">
        <v>50</v>
      </c>
      <c r="O402" t="s">
        <v>39</v>
      </c>
      <c r="P402" t="s">
        <v>41</v>
      </c>
      <c r="Q402" t="s">
        <v>41</v>
      </c>
      <c r="R402" t="s">
        <v>41</v>
      </c>
      <c r="S402" t="s">
        <v>40</v>
      </c>
      <c r="T402" t="s">
        <v>41</v>
      </c>
      <c r="U402" t="s">
        <v>39</v>
      </c>
      <c r="V402" t="s">
        <v>39</v>
      </c>
      <c r="W402" t="s">
        <v>40</v>
      </c>
      <c r="AB402" t="s">
        <v>4552</v>
      </c>
      <c r="AC402" t="s">
        <v>4553</v>
      </c>
      <c r="AD402" t="s">
        <v>4554</v>
      </c>
    </row>
    <row r="403" spans="1:30" x14ac:dyDescent="0.2">
      <c r="A403">
        <v>41712569</v>
      </c>
      <c r="B403" t="s">
        <v>4555</v>
      </c>
      <c r="C403" t="s">
        <v>4556</v>
      </c>
      <c r="D403" t="s">
        <v>3505</v>
      </c>
      <c r="E403" s="9">
        <v>45455</v>
      </c>
      <c r="F403" s="9">
        <v>45473</v>
      </c>
      <c r="G403" t="s">
        <v>45</v>
      </c>
      <c r="H403" t="s">
        <v>1158</v>
      </c>
      <c r="J403" t="s">
        <v>117</v>
      </c>
      <c r="K403" t="s">
        <v>48</v>
      </c>
      <c r="L403" t="s">
        <v>49</v>
      </c>
      <c r="M403" t="s">
        <v>50</v>
      </c>
      <c r="O403" t="s">
        <v>39</v>
      </c>
      <c r="P403" t="s">
        <v>39</v>
      </c>
      <c r="Q403" t="s">
        <v>39</v>
      </c>
      <c r="R403" t="s">
        <v>41</v>
      </c>
      <c r="S403" t="s">
        <v>40</v>
      </c>
      <c r="T403" t="s">
        <v>41</v>
      </c>
      <c r="U403" t="s">
        <v>39</v>
      </c>
      <c r="V403" t="s">
        <v>39</v>
      </c>
      <c r="W403" t="s">
        <v>40</v>
      </c>
      <c r="AB403" t="s">
        <v>4557</v>
      </c>
      <c r="AC403" t="s">
        <v>4558</v>
      </c>
      <c r="AD403" t="s">
        <v>4559</v>
      </c>
    </row>
    <row r="404" spans="1:30" x14ac:dyDescent="0.2">
      <c r="A404">
        <v>41777521</v>
      </c>
      <c r="B404" t="s">
        <v>4560</v>
      </c>
      <c r="C404" t="s">
        <v>4561</v>
      </c>
      <c r="D404" t="s">
        <v>3505</v>
      </c>
      <c r="E404" s="9">
        <v>45461</v>
      </c>
      <c r="F404" s="9">
        <v>45500</v>
      </c>
      <c r="G404" t="s">
        <v>45</v>
      </c>
      <c r="H404" t="s">
        <v>72</v>
      </c>
      <c r="J404" t="s">
        <v>203</v>
      </c>
      <c r="K404" t="s">
        <v>36</v>
      </c>
      <c r="L404" t="s">
        <v>49</v>
      </c>
      <c r="M404" t="s">
        <v>74</v>
      </c>
      <c r="O404" t="s">
        <v>39</v>
      </c>
      <c r="P404" t="s">
        <v>39</v>
      </c>
      <c r="Q404" t="s">
        <v>39</v>
      </c>
      <c r="R404" t="s">
        <v>41</v>
      </c>
      <c r="S404" t="s">
        <v>40</v>
      </c>
      <c r="T404" t="s">
        <v>41</v>
      </c>
      <c r="U404" t="s">
        <v>39</v>
      </c>
      <c r="V404" t="s">
        <v>39</v>
      </c>
      <c r="W404" t="s">
        <v>39</v>
      </c>
      <c r="AB404" t="s">
        <v>4562</v>
      </c>
      <c r="AC404" t="s">
        <v>4563</v>
      </c>
      <c r="AD404" t="s">
        <v>4564</v>
      </c>
    </row>
    <row r="405" spans="1:30" x14ac:dyDescent="0.2">
      <c r="A405">
        <v>41777049</v>
      </c>
      <c r="C405" t="s">
        <v>4565</v>
      </c>
      <c r="D405" t="s">
        <v>3505</v>
      </c>
      <c r="E405" s="9">
        <v>45461</v>
      </c>
      <c r="F405" s="9">
        <v>45496</v>
      </c>
      <c r="G405" t="s">
        <v>45</v>
      </c>
      <c r="H405" t="s">
        <v>80</v>
      </c>
      <c r="J405" t="s">
        <v>98</v>
      </c>
      <c r="K405" t="s">
        <v>48</v>
      </c>
      <c r="L405" t="s">
        <v>49</v>
      </c>
      <c r="M405" t="s">
        <v>50</v>
      </c>
      <c r="O405" t="s">
        <v>39</v>
      </c>
      <c r="P405" t="s">
        <v>39</v>
      </c>
      <c r="Q405" t="s">
        <v>39</v>
      </c>
      <c r="R405" t="s">
        <v>41</v>
      </c>
      <c r="S405" t="s">
        <v>40</v>
      </c>
      <c r="T405" t="s">
        <v>41</v>
      </c>
      <c r="U405" t="s">
        <v>39</v>
      </c>
      <c r="V405" t="s">
        <v>39</v>
      </c>
      <c r="W405" t="s">
        <v>40</v>
      </c>
      <c r="X405" t="s">
        <v>4566</v>
      </c>
      <c r="AB405" t="s">
        <v>4567</v>
      </c>
      <c r="AC405" t="s">
        <v>4568</v>
      </c>
      <c r="AD405" t="s">
        <v>4569</v>
      </c>
    </row>
    <row r="406" spans="1:30" x14ac:dyDescent="0.2">
      <c r="A406">
        <v>41777063</v>
      </c>
      <c r="B406" t="s">
        <v>4006</v>
      </c>
      <c r="C406" t="s">
        <v>4007</v>
      </c>
      <c r="D406" t="s">
        <v>3505</v>
      </c>
      <c r="E406" s="9">
        <v>45461</v>
      </c>
      <c r="F406" s="9">
        <v>45630</v>
      </c>
      <c r="G406" t="s">
        <v>45</v>
      </c>
      <c r="H406" t="s">
        <v>46</v>
      </c>
      <c r="J406" t="s">
        <v>54</v>
      </c>
      <c r="K406" t="s">
        <v>48</v>
      </c>
      <c r="L406" t="s">
        <v>37</v>
      </c>
      <c r="M406" t="s">
        <v>50</v>
      </c>
      <c r="O406" t="s">
        <v>39</v>
      </c>
      <c r="P406" t="s">
        <v>39</v>
      </c>
      <c r="Q406" t="s">
        <v>39</v>
      </c>
      <c r="R406" t="s">
        <v>41</v>
      </c>
      <c r="S406" t="s">
        <v>40</v>
      </c>
      <c r="T406" t="s">
        <v>41</v>
      </c>
      <c r="U406" t="s">
        <v>39</v>
      </c>
      <c r="V406" t="s">
        <v>39</v>
      </c>
      <c r="W406" t="s">
        <v>40</v>
      </c>
      <c r="X406" t="s">
        <v>4570</v>
      </c>
      <c r="AB406" t="s">
        <v>4571</v>
      </c>
      <c r="AC406" t="s">
        <v>4572</v>
      </c>
    </row>
    <row r="407" spans="1:30" x14ac:dyDescent="0.2">
      <c r="A407">
        <v>41777223</v>
      </c>
      <c r="B407" t="s">
        <v>4573</v>
      </c>
      <c r="C407" t="s">
        <v>1984</v>
      </c>
      <c r="D407" t="s">
        <v>3505</v>
      </c>
      <c r="E407" s="9">
        <v>45461</v>
      </c>
      <c r="F407" s="9">
        <v>45485</v>
      </c>
      <c r="G407" t="s">
        <v>45</v>
      </c>
      <c r="H407" t="s">
        <v>1158</v>
      </c>
      <c r="J407" t="s">
        <v>254</v>
      </c>
      <c r="K407" t="s">
        <v>48</v>
      </c>
      <c r="L407" t="s">
        <v>49</v>
      </c>
      <c r="M407" t="s">
        <v>50</v>
      </c>
      <c r="O407" t="s">
        <v>39</v>
      </c>
      <c r="P407" t="s">
        <v>39</v>
      </c>
      <c r="Q407" t="s">
        <v>39</v>
      </c>
      <c r="R407" t="s">
        <v>41</v>
      </c>
      <c r="S407" t="s">
        <v>40</v>
      </c>
      <c r="T407" t="s">
        <v>41</v>
      </c>
      <c r="U407" t="s">
        <v>39</v>
      </c>
      <c r="V407" t="s">
        <v>39</v>
      </c>
      <c r="W407" t="s">
        <v>40</v>
      </c>
      <c r="AB407" t="s">
        <v>4574</v>
      </c>
      <c r="AC407" t="s">
        <v>4575</v>
      </c>
      <c r="AD407" t="s">
        <v>4576</v>
      </c>
    </row>
    <row r="408" spans="1:30" x14ac:dyDescent="0.2">
      <c r="A408">
        <v>41777098</v>
      </c>
      <c r="B408" t="s">
        <v>4577</v>
      </c>
      <c r="C408" t="s">
        <v>4578</v>
      </c>
      <c r="D408" t="s">
        <v>3505</v>
      </c>
      <c r="E408" s="9">
        <v>45461</v>
      </c>
      <c r="F408" s="9">
        <v>45496</v>
      </c>
      <c r="G408" t="s">
        <v>45</v>
      </c>
      <c r="H408" t="s">
        <v>429</v>
      </c>
      <c r="J408" t="s">
        <v>4038</v>
      </c>
      <c r="K408" t="s">
        <v>48</v>
      </c>
      <c r="L408" t="s">
        <v>49</v>
      </c>
      <c r="M408" t="s">
        <v>50</v>
      </c>
      <c r="O408" t="s">
        <v>39</v>
      </c>
      <c r="P408" t="s">
        <v>39</v>
      </c>
      <c r="Q408" t="s">
        <v>39</v>
      </c>
      <c r="R408" t="s">
        <v>41</v>
      </c>
      <c r="S408" t="s">
        <v>40</v>
      </c>
      <c r="T408" t="s">
        <v>41</v>
      </c>
      <c r="U408" t="s">
        <v>39</v>
      </c>
      <c r="V408" t="s">
        <v>39</v>
      </c>
      <c r="W408" t="s">
        <v>40</v>
      </c>
      <c r="AB408" t="s">
        <v>4579</v>
      </c>
      <c r="AC408" t="s">
        <v>4580</v>
      </c>
      <c r="AD408" t="s">
        <v>4581</v>
      </c>
    </row>
    <row r="409" spans="1:30" x14ac:dyDescent="0.2">
      <c r="A409">
        <v>41777546</v>
      </c>
      <c r="B409" t="s">
        <v>4582</v>
      </c>
      <c r="C409" t="s">
        <v>4583</v>
      </c>
      <c r="D409" t="s">
        <v>3505</v>
      </c>
      <c r="E409" s="9">
        <v>45461</v>
      </c>
      <c r="F409" s="9">
        <v>45501</v>
      </c>
      <c r="G409" t="s">
        <v>45</v>
      </c>
      <c r="H409" t="s">
        <v>105</v>
      </c>
      <c r="I409" t="s">
        <v>4362</v>
      </c>
      <c r="J409" t="s">
        <v>112</v>
      </c>
      <c r="K409" t="s">
        <v>36</v>
      </c>
      <c r="L409" t="s">
        <v>230</v>
      </c>
      <c r="M409" t="s">
        <v>50</v>
      </c>
      <c r="O409" t="s">
        <v>39</v>
      </c>
      <c r="P409" t="s">
        <v>39</v>
      </c>
      <c r="Q409" t="s">
        <v>39</v>
      </c>
      <c r="R409" t="s">
        <v>41</v>
      </c>
      <c r="S409" t="s">
        <v>40</v>
      </c>
      <c r="T409" t="s">
        <v>41</v>
      </c>
      <c r="U409" t="s">
        <v>39</v>
      </c>
      <c r="V409" t="s">
        <v>39</v>
      </c>
      <c r="W409" t="s">
        <v>40</v>
      </c>
      <c r="AB409" t="s">
        <v>4584</v>
      </c>
      <c r="AC409" t="s">
        <v>4585</v>
      </c>
      <c r="AD409" t="s">
        <v>4586</v>
      </c>
    </row>
    <row r="410" spans="1:30" x14ac:dyDescent="0.2">
      <c r="A410">
        <v>41777629</v>
      </c>
      <c r="B410" t="s">
        <v>4587</v>
      </c>
      <c r="C410" t="s">
        <v>4588</v>
      </c>
      <c r="D410" t="s">
        <v>3505</v>
      </c>
      <c r="E410" s="9">
        <v>45461</v>
      </c>
      <c r="F410" s="9">
        <v>45509</v>
      </c>
      <c r="G410" t="s">
        <v>45</v>
      </c>
      <c r="H410" t="s">
        <v>59</v>
      </c>
      <c r="I410" t="s">
        <v>46</v>
      </c>
      <c r="J410" t="s">
        <v>65</v>
      </c>
      <c r="K410" t="s">
        <v>48</v>
      </c>
      <c r="L410" t="s">
        <v>386</v>
      </c>
      <c r="M410" t="s">
        <v>50</v>
      </c>
      <c r="O410" t="s">
        <v>39</v>
      </c>
      <c r="P410" t="s">
        <v>39</v>
      </c>
      <c r="Q410" t="s">
        <v>39</v>
      </c>
      <c r="R410" t="s">
        <v>41</v>
      </c>
      <c r="S410" t="s">
        <v>40</v>
      </c>
      <c r="T410" t="s">
        <v>41</v>
      </c>
      <c r="U410" t="s">
        <v>39</v>
      </c>
      <c r="V410" t="s">
        <v>39</v>
      </c>
      <c r="W410" t="s">
        <v>40</v>
      </c>
      <c r="AB410" t="s">
        <v>4589</v>
      </c>
      <c r="AC410" t="s">
        <v>4590</v>
      </c>
      <c r="AD410" t="s">
        <v>4591</v>
      </c>
    </row>
    <row r="411" spans="1:30" x14ac:dyDescent="0.2">
      <c r="A411">
        <v>41777619</v>
      </c>
      <c r="B411" t="s">
        <v>4592</v>
      </c>
      <c r="C411" t="s">
        <v>4593</v>
      </c>
      <c r="D411" t="s">
        <v>3505</v>
      </c>
      <c r="E411" s="9">
        <v>45461</v>
      </c>
      <c r="F411" s="9">
        <v>45509</v>
      </c>
      <c r="G411" t="s">
        <v>45</v>
      </c>
      <c r="H411" t="s">
        <v>59</v>
      </c>
      <c r="I411" t="s">
        <v>46</v>
      </c>
      <c r="J411" t="s">
        <v>65</v>
      </c>
      <c r="K411" t="s">
        <v>36</v>
      </c>
      <c r="L411" t="s">
        <v>386</v>
      </c>
      <c r="M411" t="s">
        <v>50</v>
      </c>
      <c r="O411" t="s">
        <v>39</v>
      </c>
      <c r="P411" t="s">
        <v>39</v>
      </c>
      <c r="Q411" t="s">
        <v>39</v>
      </c>
      <c r="R411" t="s">
        <v>41</v>
      </c>
      <c r="S411" t="s">
        <v>40</v>
      </c>
      <c r="T411" t="s">
        <v>41</v>
      </c>
      <c r="U411" t="s">
        <v>39</v>
      </c>
      <c r="V411" t="s">
        <v>39</v>
      </c>
      <c r="W411" t="s">
        <v>40</v>
      </c>
      <c r="AB411" t="s">
        <v>4594</v>
      </c>
      <c r="AC411" t="s">
        <v>4595</v>
      </c>
      <c r="AD411" t="s">
        <v>4596</v>
      </c>
    </row>
    <row r="412" spans="1:30" x14ac:dyDescent="0.2">
      <c r="A412">
        <v>41804797</v>
      </c>
      <c r="B412">
        <v>55744564</v>
      </c>
      <c r="C412" t="s">
        <v>4597</v>
      </c>
      <c r="D412" t="s">
        <v>3505</v>
      </c>
      <c r="E412" s="9">
        <v>45464</v>
      </c>
      <c r="F412" s="9">
        <v>45764</v>
      </c>
      <c r="G412" t="s">
        <v>33</v>
      </c>
      <c r="H412" t="s">
        <v>34</v>
      </c>
      <c r="J412" t="s">
        <v>4598</v>
      </c>
      <c r="K412" t="s">
        <v>36</v>
      </c>
      <c r="L412" t="s">
        <v>164</v>
      </c>
      <c r="N412" t="s">
        <v>38</v>
      </c>
      <c r="O412" t="s">
        <v>40</v>
      </c>
      <c r="P412" t="s">
        <v>39</v>
      </c>
      <c r="Q412" t="s">
        <v>39</v>
      </c>
      <c r="R412" t="s">
        <v>40</v>
      </c>
      <c r="S412" t="s">
        <v>41</v>
      </c>
      <c r="T412" t="s">
        <v>41</v>
      </c>
      <c r="U412" t="s">
        <v>40</v>
      </c>
      <c r="V412" t="s">
        <v>40</v>
      </c>
      <c r="W412" t="s">
        <v>40</v>
      </c>
      <c r="AB412" t="s">
        <v>4599</v>
      </c>
    </row>
    <row r="413" spans="1:30" x14ac:dyDescent="0.2">
      <c r="A413">
        <v>41804752</v>
      </c>
      <c r="B413">
        <v>55795916</v>
      </c>
      <c r="C413" t="s">
        <v>4600</v>
      </c>
      <c r="D413" t="s">
        <v>3505</v>
      </c>
      <c r="E413" s="9">
        <v>45464</v>
      </c>
      <c r="F413" s="9">
        <v>45833</v>
      </c>
      <c r="G413" t="s">
        <v>33</v>
      </c>
      <c r="H413" t="s">
        <v>34</v>
      </c>
      <c r="J413" t="s">
        <v>222</v>
      </c>
      <c r="K413" t="s">
        <v>36</v>
      </c>
      <c r="L413" t="s">
        <v>37</v>
      </c>
      <c r="N413" t="s">
        <v>38</v>
      </c>
      <c r="O413" t="s">
        <v>40</v>
      </c>
      <c r="P413" t="s">
        <v>39</v>
      </c>
      <c r="Q413" t="s">
        <v>39</v>
      </c>
      <c r="R413" t="s">
        <v>40</v>
      </c>
      <c r="S413" t="s">
        <v>41</v>
      </c>
      <c r="T413" t="s">
        <v>41</v>
      </c>
      <c r="U413" t="s">
        <v>40</v>
      </c>
      <c r="V413" t="s">
        <v>40</v>
      </c>
      <c r="W413" t="s">
        <v>40</v>
      </c>
      <c r="AB413" t="s">
        <v>4601</v>
      </c>
    </row>
    <row r="414" spans="1:30" x14ac:dyDescent="0.2">
      <c r="A414">
        <v>41804756</v>
      </c>
      <c r="B414">
        <v>55825822</v>
      </c>
      <c r="C414" t="s">
        <v>4602</v>
      </c>
      <c r="D414" t="s">
        <v>3505</v>
      </c>
      <c r="E414" s="9">
        <v>45464</v>
      </c>
      <c r="F414" s="9">
        <v>45764</v>
      </c>
      <c r="G414" t="s">
        <v>33</v>
      </c>
      <c r="H414" t="s">
        <v>34</v>
      </c>
      <c r="J414" t="s">
        <v>234</v>
      </c>
      <c r="K414" t="s">
        <v>48</v>
      </c>
      <c r="L414" t="s">
        <v>164</v>
      </c>
      <c r="N414" t="s">
        <v>38</v>
      </c>
      <c r="O414" t="s">
        <v>40</v>
      </c>
      <c r="P414" t="s">
        <v>39</v>
      </c>
      <c r="Q414" t="s">
        <v>39</v>
      </c>
      <c r="R414" t="s">
        <v>40</v>
      </c>
      <c r="S414" t="s">
        <v>41</v>
      </c>
      <c r="T414" t="s">
        <v>41</v>
      </c>
      <c r="U414" t="s">
        <v>39</v>
      </c>
      <c r="V414" t="s">
        <v>40</v>
      </c>
      <c r="W414" t="s">
        <v>39</v>
      </c>
      <c r="X414" t="s">
        <v>4603</v>
      </c>
      <c r="AB414" t="s">
        <v>4604</v>
      </c>
    </row>
    <row r="415" spans="1:30" x14ac:dyDescent="0.2">
      <c r="A415">
        <v>41819732</v>
      </c>
      <c r="B415">
        <v>55840335</v>
      </c>
      <c r="C415" t="s">
        <v>4605</v>
      </c>
      <c r="D415" t="s">
        <v>3505</v>
      </c>
      <c r="E415" s="9">
        <v>45465</v>
      </c>
      <c r="F415" s="9">
        <v>45764</v>
      </c>
      <c r="G415" t="s">
        <v>33</v>
      </c>
      <c r="H415" t="s">
        <v>34</v>
      </c>
      <c r="J415" t="s">
        <v>107</v>
      </c>
      <c r="K415" t="s">
        <v>48</v>
      </c>
      <c r="L415" t="s">
        <v>37</v>
      </c>
      <c r="N415" t="s">
        <v>38</v>
      </c>
      <c r="O415" t="s">
        <v>40</v>
      </c>
      <c r="P415" t="s">
        <v>39</v>
      </c>
      <c r="Q415" t="s">
        <v>39</v>
      </c>
      <c r="R415" t="s">
        <v>40</v>
      </c>
      <c r="S415" t="s">
        <v>41</v>
      </c>
      <c r="T415" t="s">
        <v>41</v>
      </c>
      <c r="U415" t="s">
        <v>40</v>
      </c>
      <c r="V415" t="s">
        <v>40</v>
      </c>
      <c r="W415" t="s">
        <v>40</v>
      </c>
      <c r="AB415" t="s">
        <v>4606</v>
      </c>
    </row>
    <row r="416" spans="1:30" x14ac:dyDescent="0.2">
      <c r="A416">
        <v>41819706</v>
      </c>
      <c r="B416">
        <v>46270462</v>
      </c>
      <c r="C416" t="s">
        <v>4607</v>
      </c>
      <c r="D416" t="s">
        <v>3505</v>
      </c>
      <c r="E416" s="9">
        <v>45465</v>
      </c>
      <c r="F416" s="9">
        <v>45764</v>
      </c>
      <c r="G416" t="s">
        <v>33</v>
      </c>
      <c r="H416" t="s">
        <v>34</v>
      </c>
      <c r="J416" t="s">
        <v>1245</v>
      </c>
      <c r="K416" t="s">
        <v>36</v>
      </c>
      <c r="L416" t="s">
        <v>49</v>
      </c>
      <c r="N416" t="s">
        <v>38</v>
      </c>
      <c r="O416" t="s">
        <v>40</v>
      </c>
      <c r="P416" t="s">
        <v>39</v>
      </c>
      <c r="Q416" t="s">
        <v>39</v>
      </c>
      <c r="R416" t="s">
        <v>40</v>
      </c>
      <c r="S416" t="s">
        <v>41</v>
      </c>
      <c r="T416" t="s">
        <v>41</v>
      </c>
      <c r="U416" t="s">
        <v>40</v>
      </c>
      <c r="V416" t="s">
        <v>40</v>
      </c>
      <c r="W416" t="s">
        <v>40</v>
      </c>
      <c r="AB416" t="s">
        <v>4608</v>
      </c>
    </row>
    <row r="417" spans="1:31" x14ac:dyDescent="0.2">
      <c r="A417">
        <v>41819743</v>
      </c>
      <c r="B417">
        <v>55917513</v>
      </c>
      <c r="C417" t="s">
        <v>4609</v>
      </c>
      <c r="D417" t="s">
        <v>3505</v>
      </c>
      <c r="E417" s="9">
        <v>45465</v>
      </c>
      <c r="F417" s="9">
        <v>45764</v>
      </c>
      <c r="G417" t="s">
        <v>33</v>
      </c>
      <c r="H417" t="s">
        <v>34</v>
      </c>
      <c r="J417" t="s">
        <v>35</v>
      </c>
      <c r="K417" t="s">
        <v>36</v>
      </c>
      <c r="L417" t="s">
        <v>37</v>
      </c>
      <c r="N417" t="s">
        <v>38</v>
      </c>
      <c r="O417" t="s">
        <v>40</v>
      </c>
      <c r="P417" t="s">
        <v>39</v>
      </c>
      <c r="Q417" t="s">
        <v>39</v>
      </c>
      <c r="R417" t="s">
        <v>40</v>
      </c>
      <c r="S417" t="s">
        <v>41</v>
      </c>
      <c r="T417" t="s">
        <v>41</v>
      </c>
      <c r="U417" t="s">
        <v>40</v>
      </c>
      <c r="V417" t="s">
        <v>40</v>
      </c>
      <c r="W417" t="s">
        <v>40</v>
      </c>
      <c r="X417" t="s">
        <v>4610</v>
      </c>
      <c r="AB417" t="s">
        <v>4611</v>
      </c>
      <c r="AC417" t="s">
        <v>4612</v>
      </c>
    </row>
    <row r="418" spans="1:31" x14ac:dyDescent="0.2">
      <c r="A418">
        <v>41819730</v>
      </c>
      <c r="B418">
        <v>55824855</v>
      </c>
      <c r="C418" t="s">
        <v>4613</v>
      </c>
      <c r="D418" t="s">
        <v>3505</v>
      </c>
      <c r="E418" s="9">
        <v>45465</v>
      </c>
      <c r="F418" s="9">
        <v>45764</v>
      </c>
      <c r="G418" t="s">
        <v>33</v>
      </c>
      <c r="H418" t="s">
        <v>34</v>
      </c>
      <c r="J418" t="s">
        <v>35</v>
      </c>
      <c r="K418" t="s">
        <v>36</v>
      </c>
      <c r="L418" t="s">
        <v>37</v>
      </c>
      <c r="N418" t="s">
        <v>38</v>
      </c>
      <c r="O418" t="s">
        <v>40</v>
      </c>
      <c r="P418" t="s">
        <v>39</v>
      </c>
      <c r="Q418" t="s">
        <v>39</v>
      </c>
      <c r="R418" t="s">
        <v>40</v>
      </c>
      <c r="S418" t="s">
        <v>41</v>
      </c>
      <c r="T418" t="s">
        <v>41</v>
      </c>
      <c r="U418" t="s">
        <v>40</v>
      </c>
      <c r="V418" t="s">
        <v>40</v>
      </c>
      <c r="W418" t="s">
        <v>40</v>
      </c>
      <c r="AB418" t="s">
        <v>4614</v>
      </c>
    </row>
    <row r="419" spans="1:31" x14ac:dyDescent="0.2">
      <c r="A419">
        <v>41896222</v>
      </c>
      <c r="B419">
        <v>55840417</v>
      </c>
      <c r="C419" t="s">
        <v>4615</v>
      </c>
      <c r="D419" t="s">
        <v>3505</v>
      </c>
      <c r="E419" s="9">
        <v>45473</v>
      </c>
      <c r="F419" s="9">
        <v>45764</v>
      </c>
      <c r="G419" t="s">
        <v>33</v>
      </c>
      <c r="H419" t="s">
        <v>34</v>
      </c>
      <c r="J419" t="s">
        <v>4598</v>
      </c>
      <c r="K419" t="s">
        <v>36</v>
      </c>
      <c r="L419" t="s">
        <v>37</v>
      </c>
      <c r="N419" t="s">
        <v>38</v>
      </c>
      <c r="O419" t="s">
        <v>40</v>
      </c>
      <c r="P419" t="s">
        <v>41</v>
      </c>
      <c r="Q419" t="s">
        <v>39</v>
      </c>
      <c r="R419" t="s">
        <v>40</v>
      </c>
      <c r="S419" t="s">
        <v>41</v>
      </c>
      <c r="T419" t="s">
        <v>41</v>
      </c>
      <c r="U419" t="s">
        <v>40</v>
      </c>
      <c r="V419" t="s">
        <v>40</v>
      </c>
      <c r="W419" t="s">
        <v>40</v>
      </c>
      <c r="AB419" t="s">
        <v>4616</v>
      </c>
      <c r="AC419" t="s">
        <v>4617</v>
      </c>
      <c r="AD419" t="s">
        <v>4618</v>
      </c>
    </row>
    <row r="420" spans="1:31" x14ac:dyDescent="0.2">
      <c r="A420">
        <v>41896427</v>
      </c>
      <c r="B420">
        <v>56040273</v>
      </c>
      <c r="C420" t="s">
        <v>4619</v>
      </c>
      <c r="D420" t="s">
        <v>3505</v>
      </c>
      <c r="E420" s="9">
        <v>45473</v>
      </c>
      <c r="F420" s="9">
        <v>45764</v>
      </c>
      <c r="G420" t="s">
        <v>33</v>
      </c>
      <c r="H420" t="s">
        <v>34</v>
      </c>
      <c r="J420" t="s">
        <v>107</v>
      </c>
      <c r="K420" t="s">
        <v>36</v>
      </c>
      <c r="L420" t="s">
        <v>37</v>
      </c>
      <c r="N420" t="s">
        <v>38</v>
      </c>
      <c r="O420" t="s">
        <v>40</v>
      </c>
      <c r="P420" t="s">
        <v>39</v>
      </c>
      <c r="Q420" t="s">
        <v>39</v>
      </c>
      <c r="R420" t="s">
        <v>40</v>
      </c>
      <c r="S420" t="s">
        <v>41</v>
      </c>
      <c r="T420" t="s">
        <v>41</v>
      </c>
      <c r="U420" t="s">
        <v>40</v>
      </c>
      <c r="V420" t="s">
        <v>40</v>
      </c>
      <c r="W420" t="s">
        <v>40</v>
      </c>
      <c r="AB420" t="s">
        <v>4620</v>
      </c>
    </row>
    <row r="421" spans="1:31" x14ac:dyDescent="0.2">
      <c r="A421">
        <v>41896268</v>
      </c>
      <c r="B421">
        <v>55880084</v>
      </c>
      <c r="C421" t="s">
        <v>4621</v>
      </c>
      <c r="D421" t="s">
        <v>3505</v>
      </c>
      <c r="E421" s="9">
        <v>45473</v>
      </c>
      <c r="F421" s="9">
        <v>45764</v>
      </c>
      <c r="G421" t="s">
        <v>33</v>
      </c>
      <c r="H421" t="s">
        <v>34</v>
      </c>
      <c r="J421" t="s">
        <v>4622</v>
      </c>
      <c r="K421" t="s">
        <v>48</v>
      </c>
      <c r="L421" t="s">
        <v>164</v>
      </c>
      <c r="N421" t="s">
        <v>38</v>
      </c>
      <c r="O421" t="s">
        <v>40</v>
      </c>
      <c r="P421" t="s">
        <v>39</v>
      </c>
      <c r="Q421" t="s">
        <v>39</v>
      </c>
      <c r="R421" t="s">
        <v>40</v>
      </c>
      <c r="S421" t="s">
        <v>41</v>
      </c>
      <c r="T421" t="s">
        <v>41</v>
      </c>
      <c r="U421" t="s">
        <v>40</v>
      </c>
      <c r="V421" t="s">
        <v>40</v>
      </c>
      <c r="W421" t="s">
        <v>40</v>
      </c>
      <c r="AB421" t="s">
        <v>4623</v>
      </c>
      <c r="AC421" t="s">
        <v>4624</v>
      </c>
    </row>
    <row r="422" spans="1:31" x14ac:dyDescent="0.2">
      <c r="A422">
        <v>41896305</v>
      </c>
      <c r="B422">
        <v>55917116</v>
      </c>
      <c r="C422" t="s">
        <v>4625</v>
      </c>
      <c r="D422" t="s">
        <v>3505</v>
      </c>
      <c r="E422" s="9">
        <v>45473</v>
      </c>
      <c r="F422" s="9">
        <v>45764</v>
      </c>
      <c r="G422" t="s">
        <v>33</v>
      </c>
      <c r="H422" t="s">
        <v>34</v>
      </c>
      <c r="J422" t="s">
        <v>4622</v>
      </c>
      <c r="K422" t="s">
        <v>36</v>
      </c>
      <c r="L422" t="s">
        <v>49</v>
      </c>
      <c r="N422" t="s">
        <v>38</v>
      </c>
      <c r="O422" t="s">
        <v>40</v>
      </c>
      <c r="P422" t="s">
        <v>39</v>
      </c>
      <c r="Q422" t="s">
        <v>39</v>
      </c>
      <c r="R422" t="s">
        <v>40</v>
      </c>
      <c r="S422" t="s">
        <v>41</v>
      </c>
      <c r="T422" t="s">
        <v>41</v>
      </c>
      <c r="U422" t="s">
        <v>40</v>
      </c>
      <c r="V422" t="s">
        <v>40</v>
      </c>
      <c r="W422" t="s">
        <v>40</v>
      </c>
      <c r="AB422" t="s">
        <v>4626</v>
      </c>
      <c r="AC422" t="s">
        <v>4627</v>
      </c>
    </row>
    <row r="423" spans="1:31" x14ac:dyDescent="0.2">
      <c r="A423">
        <v>41896264</v>
      </c>
      <c r="B423">
        <v>55880037</v>
      </c>
      <c r="C423" t="s">
        <v>4628</v>
      </c>
      <c r="D423" t="s">
        <v>3505</v>
      </c>
      <c r="E423" s="9">
        <v>45473</v>
      </c>
      <c r="F423" s="9">
        <v>45764</v>
      </c>
      <c r="G423" t="s">
        <v>33</v>
      </c>
      <c r="H423" t="s">
        <v>34</v>
      </c>
      <c r="J423" t="s">
        <v>222</v>
      </c>
      <c r="K423" t="s">
        <v>48</v>
      </c>
      <c r="L423" t="s">
        <v>164</v>
      </c>
      <c r="N423" t="s">
        <v>38</v>
      </c>
      <c r="O423" t="s">
        <v>40</v>
      </c>
      <c r="P423" t="s">
        <v>39</v>
      </c>
      <c r="Q423" t="s">
        <v>39</v>
      </c>
      <c r="R423" t="s">
        <v>40</v>
      </c>
      <c r="S423" t="s">
        <v>41</v>
      </c>
      <c r="T423" t="s">
        <v>41</v>
      </c>
      <c r="U423" t="s">
        <v>40</v>
      </c>
      <c r="V423" t="s">
        <v>40</v>
      </c>
      <c r="W423" t="s">
        <v>39</v>
      </c>
      <c r="AB423" t="s">
        <v>4629</v>
      </c>
    </row>
    <row r="424" spans="1:31" x14ac:dyDescent="0.2">
      <c r="A424">
        <v>41896321</v>
      </c>
      <c r="B424">
        <v>56010448</v>
      </c>
      <c r="C424" t="s">
        <v>4630</v>
      </c>
      <c r="D424" t="s">
        <v>3505</v>
      </c>
      <c r="E424" s="9">
        <v>45473</v>
      </c>
      <c r="F424" s="9">
        <v>45764</v>
      </c>
      <c r="G424" t="s">
        <v>33</v>
      </c>
      <c r="H424" t="s">
        <v>34</v>
      </c>
      <c r="J424" t="s">
        <v>222</v>
      </c>
      <c r="K424" t="s">
        <v>36</v>
      </c>
      <c r="L424" t="s">
        <v>37</v>
      </c>
      <c r="N424" t="s">
        <v>38</v>
      </c>
      <c r="O424" t="s">
        <v>40</v>
      </c>
      <c r="P424" t="s">
        <v>39</v>
      </c>
      <c r="Q424" t="s">
        <v>39</v>
      </c>
      <c r="R424" t="s">
        <v>40</v>
      </c>
      <c r="S424" t="s">
        <v>41</v>
      </c>
      <c r="T424" t="s">
        <v>41</v>
      </c>
      <c r="U424" t="s">
        <v>40</v>
      </c>
      <c r="V424" t="s">
        <v>40</v>
      </c>
      <c r="W424" t="s">
        <v>40</v>
      </c>
      <c r="AB424" t="s">
        <v>4631</v>
      </c>
      <c r="AC424" t="s">
        <v>4632</v>
      </c>
    </row>
    <row r="425" spans="1:31" x14ac:dyDescent="0.2">
      <c r="A425">
        <v>41913002</v>
      </c>
      <c r="B425" t="s">
        <v>4633</v>
      </c>
      <c r="C425" t="s">
        <v>4634</v>
      </c>
      <c r="D425" t="s">
        <v>3505</v>
      </c>
      <c r="E425" s="9">
        <v>45475</v>
      </c>
      <c r="F425" s="9">
        <v>45553</v>
      </c>
      <c r="G425" t="s">
        <v>45</v>
      </c>
      <c r="H425" t="s">
        <v>90</v>
      </c>
      <c r="I425" t="s">
        <v>132</v>
      </c>
      <c r="J425" t="s">
        <v>154</v>
      </c>
      <c r="K425" t="s">
        <v>36</v>
      </c>
      <c r="L425" t="s">
        <v>49</v>
      </c>
      <c r="M425" t="s">
        <v>50</v>
      </c>
      <c r="O425" t="s">
        <v>39</v>
      </c>
      <c r="P425" t="s">
        <v>39</v>
      </c>
      <c r="Q425" t="s">
        <v>39</v>
      </c>
      <c r="R425" t="s">
        <v>41</v>
      </c>
      <c r="S425" t="s">
        <v>40</v>
      </c>
      <c r="T425" t="s">
        <v>41</v>
      </c>
      <c r="U425" t="s">
        <v>39</v>
      </c>
      <c r="V425" t="s">
        <v>39</v>
      </c>
      <c r="W425" t="s">
        <v>40</v>
      </c>
      <c r="X425" t="s">
        <v>4635</v>
      </c>
      <c r="AB425" t="s">
        <v>4636</v>
      </c>
      <c r="AC425" t="s">
        <v>4637</v>
      </c>
      <c r="AD425" t="s">
        <v>4638</v>
      </c>
    </row>
    <row r="426" spans="1:31" x14ac:dyDescent="0.2">
      <c r="A426">
        <v>41917603</v>
      </c>
      <c r="B426">
        <v>55942180</v>
      </c>
      <c r="C426" t="s">
        <v>4639</v>
      </c>
      <c r="D426" t="s">
        <v>3505</v>
      </c>
      <c r="E426" s="9">
        <v>45475</v>
      </c>
      <c r="F426" s="9">
        <v>45764</v>
      </c>
      <c r="G426" t="s">
        <v>33</v>
      </c>
      <c r="H426" t="s">
        <v>34</v>
      </c>
      <c r="J426" t="s">
        <v>211</v>
      </c>
      <c r="K426" t="s">
        <v>36</v>
      </c>
      <c r="L426" t="s">
        <v>37</v>
      </c>
      <c r="N426" t="s">
        <v>38</v>
      </c>
      <c r="O426" t="s">
        <v>40</v>
      </c>
      <c r="P426" t="s">
        <v>39</v>
      </c>
      <c r="Q426" t="s">
        <v>39</v>
      </c>
      <c r="R426" t="s">
        <v>40</v>
      </c>
      <c r="S426" t="s">
        <v>41</v>
      </c>
      <c r="T426" t="s">
        <v>41</v>
      </c>
      <c r="U426" t="s">
        <v>40</v>
      </c>
      <c r="V426" t="s">
        <v>40</v>
      </c>
      <c r="W426" t="s">
        <v>40</v>
      </c>
      <c r="AB426" t="s">
        <v>4640</v>
      </c>
      <c r="AC426" t="s">
        <v>4641</v>
      </c>
    </row>
    <row r="427" spans="1:31" x14ac:dyDescent="0.2">
      <c r="A427">
        <v>41913026</v>
      </c>
      <c r="B427" t="s">
        <v>4273</v>
      </c>
      <c r="C427" t="s">
        <v>4274</v>
      </c>
      <c r="D427" t="s">
        <v>3505</v>
      </c>
      <c r="E427" s="9">
        <v>45475</v>
      </c>
      <c r="F427" s="9">
        <v>45509</v>
      </c>
      <c r="G427" t="s">
        <v>45</v>
      </c>
      <c r="H427" t="s">
        <v>90</v>
      </c>
      <c r="I427" t="s">
        <v>46</v>
      </c>
      <c r="J427" t="s">
        <v>154</v>
      </c>
      <c r="K427" t="s">
        <v>36</v>
      </c>
      <c r="L427" t="s">
        <v>37</v>
      </c>
      <c r="M427" t="s">
        <v>50</v>
      </c>
      <c r="O427" t="s">
        <v>39</v>
      </c>
      <c r="P427" t="s">
        <v>39</v>
      </c>
      <c r="Q427" t="s">
        <v>39</v>
      </c>
      <c r="R427" t="s">
        <v>41</v>
      </c>
      <c r="S427" t="s">
        <v>40</v>
      </c>
      <c r="T427" t="s">
        <v>41</v>
      </c>
      <c r="U427" t="s">
        <v>39</v>
      </c>
      <c r="V427" t="s">
        <v>39</v>
      </c>
      <c r="W427" t="s">
        <v>39</v>
      </c>
      <c r="AB427" t="s">
        <v>4642</v>
      </c>
      <c r="AC427" t="s">
        <v>4643</v>
      </c>
      <c r="AD427" t="s">
        <v>4644</v>
      </c>
    </row>
    <row r="428" spans="1:31" x14ac:dyDescent="0.2">
      <c r="A428">
        <v>41917553</v>
      </c>
      <c r="B428">
        <v>55799573</v>
      </c>
      <c r="C428" t="s">
        <v>378</v>
      </c>
      <c r="D428" t="s">
        <v>3505</v>
      </c>
      <c r="E428" s="9">
        <v>45475</v>
      </c>
      <c r="F428" s="9">
        <v>45764</v>
      </c>
      <c r="G428" t="s">
        <v>33</v>
      </c>
      <c r="H428" t="s">
        <v>34</v>
      </c>
      <c r="J428" t="s">
        <v>35</v>
      </c>
      <c r="K428" t="s">
        <v>36</v>
      </c>
      <c r="L428" t="s">
        <v>37</v>
      </c>
      <c r="N428" t="s">
        <v>38</v>
      </c>
      <c r="O428" t="s">
        <v>40</v>
      </c>
      <c r="P428" t="s">
        <v>41</v>
      </c>
      <c r="Q428" t="s">
        <v>39</v>
      </c>
      <c r="R428" t="s">
        <v>40</v>
      </c>
      <c r="S428" t="s">
        <v>41</v>
      </c>
      <c r="T428" t="s">
        <v>41</v>
      </c>
      <c r="U428" t="s">
        <v>40</v>
      </c>
      <c r="V428" t="s">
        <v>40</v>
      </c>
      <c r="W428" t="s">
        <v>40</v>
      </c>
      <c r="AB428" t="s">
        <v>4645</v>
      </c>
    </row>
    <row r="429" spans="1:31" x14ac:dyDescent="0.2">
      <c r="A429">
        <v>41913013</v>
      </c>
      <c r="B429" t="s">
        <v>4646</v>
      </c>
      <c r="C429" t="s">
        <v>4647</v>
      </c>
      <c r="D429" t="s">
        <v>3505</v>
      </c>
      <c r="E429" s="9">
        <v>45475</v>
      </c>
      <c r="F429" s="9">
        <v>45485</v>
      </c>
      <c r="G429" t="s">
        <v>45</v>
      </c>
      <c r="H429" t="s">
        <v>53</v>
      </c>
      <c r="I429" t="s">
        <v>46</v>
      </c>
      <c r="J429" t="s">
        <v>69</v>
      </c>
      <c r="K429" t="s">
        <v>48</v>
      </c>
      <c r="L429" t="s">
        <v>49</v>
      </c>
      <c r="M429" t="s">
        <v>74</v>
      </c>
      <c r="O429" t="s">
        <v>39</v>
      </c>
      <c r="P429" t="s">
        <v>39</v>
      </c>
      <c r="Q429" t="s">
        <v>39</v>
      </c>
      <c r="R429" t="s">
        <v>41</v>
      </c>
      <c r="S429" t="s">
        <v>40</v>
      </c>
      <c r="T429" t="s">
        <v>41</v>
      </c>
      <c r="U429" t="s">
        <v>39</v>
      </c>
      <c r="V429" t="s">
        <v>39</v>
      </c>
      <c r="W429" t="s">
        <v>40</v>
      </c>
      <c r="AB429" t="s">
        <v>4648</v>
      </c>
      <c r="AC429" t="s">
        <v>4649</v>
      </c>
      <c r="AD429" t="s">
        <v>4650</v>
      </c>
    </row>
    <row r="430" spans="1:31" x14ac:dyDescent="0.2">
      <c r="A430">
        <v>41912832</v>
      </c>
      <c r="B430" t="s">
        <v>4010</v>
      </c>
      <c r="C430" t="s">
        <v>4011</v>
      </c>
      <c r="D430" t="s">
        <v>3505</v>
      </c>
      <c r="E430" s="9">
        <v>45475</v>
      </c>
      <c r="F430" s="9">
        <v>45645</v>
      </c>
      <c r="G430" t="s">
        <v>45</v>
      </c>
      <c r="H430" t="s">
        <v>1429</v>
      </c>
      <c r="J430" t="s">
        <v>254</v>
      </c>
      <c r="K430" t="s">
        <v>48</v>
      </c>
      <c r="L430" t="s">
        <v>37</v>
      </c>
      <c r="M430" t="s">
        <v>50</v>
      </c>
      <c r="O430" t="s">
        <v>39</v>
      </c>
      <c r="P430" t="s">
        <v>39</v>
      </c>
      <c r="Q430" t="s">
        <v>39</v>
      </c>
      <c r="R430" t="s">
        <v>39</v>
      </c>
      <c r="S430" t="s">
        <v>40</v>
      </c>
      <c r="T430" t="s">
        <v>41</v>
      </c>
      <c r="U430" t="s">
        <v>39</v>
      </c>
      <c r="V430" t="s">
        <v>39</v>
      </c>
      <c r="W430" t="s">
        <v>40</v>
      </c>
      <c r="X430" t="s">
        <v>4651</v>
      </c>
      <c r="AB430" t="s">
        <v>4652</v>
      </c>
      <c r="AC430" t="s">
        <v>4653</v>
      </c>
    </row>
    <row r="431" spans="1:31" x14ac:dyDescent="0.2">
      <c r="A431">
        <v>41917623</v>
      </c>
      <c r="B431">
        <v>55744566</v>
      </c>
      <c r="C431" t="s">
        <v>4654</v>
      </c>
      <c r="D431" t="s">
        <v>3505</v>
      </c>
      <c r="E431" s="9">
        <v>45475</v>
      </c>
      <c r="F431" s="9">
        <v>45764</v>
      </c>
      <c r="G431" t="s">
        <v>33</v>
      </c>
      <c r="H431" t="s">
        <v>34</v>
      </c>
      <c r="J431" t="s">
        <v>107</v>
      </c>
      <c r="K431" t="s">
        <v>48</v>
      </c>
      <c r="L431" t="s">
        <v>164</v>
      </c>
      <c r="N431" t="s">
        <v>38</v>
      </c>
      <c r="O431" t="s">
        <v>40</v>
      </c>
      <c r="P431" t="s">
        <v>41</v>
      </c>
      <c r="Q431" t="s">
        <v>41</v>
      </c>
      <c r="R431" t="s">
        <v>40</v>
      </c>
      <c r="S431" t="s">
        <v>41</v>
      </c>
      <c r="T431" t="s">
        <v>41</v>
      </c>
      <c r="U431" t="s">
        <v>40</v>
      </c>
      <c r="V431" t="s">
        <v>40</v>
      </c>
      <c r="W431" t="s">
        <v>40</v>
      </c>
      <c r="AB431" t="s">
        <v>4655</v>
      </c>
    </row>
    <row r="432" spans="1:31" x14ac:dyDescent="0.2">
      <c r="A432">
        <v>41913021</v>
      </c>
      <c r="B432" t="s">
        <v>4656</v>
      </c>
      <c r="C432" t="s">
        <v>4657</v>
      </c>
      <c r="D432" t="s">
        <v>3505</v>
      </c>
      <c r="E432" s="9">
        <v>45475</v>
      </c>
      <c r="F432" s="9">
        <v>45553</v>
      </c>
      <c r="G432" t="s">
        <v>45</v>
      </c>
      <c r="H432" t="s">
        <v>253</v>
      </c>
      <c r="I432" t="s">
        <v>4658</v>
      </c>
      <c r="J432" t="s">
        <v>117</v>
      </c>
      <c r="K432" t="s">
        <v>36</v>
      </c>
      <c r="L432" t="s">
        <v>49</v>
      </c>
      <c r="M432" t="s">
        <v>50</v>
      </c>
      <c r="O432" t="s">
        <v>39</v>
      </c>
      <c r="P432" t="s">
        <v>39</v>
      </c>
      <c r="Q432" t="s">
        <v>39</v>
      </c>
      <c r="R432" t="s">
        <v>41</v>
      </c>
      <c r="S432" t="s">
        <v>40</v>
      </c>
      <c r="T432" t="s">
        <v>41</v>
      </c>
      <c r="U432" t="s">
        <v>39</v>
      </c>
      <c r="V432" t="s">
        <v>39</v>
      </c>
      <c r="W432" t="s">
        <v>40</v>
      </c>
      <c r="X432" t="s">
        <v>4659</v>
      </c>
      <c r="AB432" t="s">
        <v>4660</v>
      </c>
      <c r="AC432" t="s">
        <v>4661</v>
      </c>
      <c r="AD432" t="s">
        <v>4662</v>
      </c>
      <c r="AE432" t="s">
        <v>4663</v>
      </c>
    </row>
    <row r="433" spans="1:31" x14ac:dyDescent="0.2">
      <c r="A433">
        <v>41917596</v>
      </c>
      <c r="B433">
        <v>55825837</v>
      </c>
      <c r="C433" t="s">
        <v>4664</v>
      </c>
      <c r="D433" t="s">
        <v>3505</v>
      </c>
      <c r="E433" s="9">
        <v>45475</v>
      </c>
      <c r="F433" s="9">
        <v>45764</v>
      </c>
      <c r="G433" t="s">
        <v>33</v>
      </c>
      <c r="H433" t="s">
        <v>34</v>
      </c>
      <c r="J433" t="s">
        <v>107</v>
      </c>
      <c r="K433" t="s">
        <v>36</v>
      </c>
      <c r="L433" t="s">
        <v>37</v>
      </c>
      <c r="N433" t="s">
        <v>38</v>
      </c>
      <c r="O433" t="s">
        <v>40</v>
      </c>
      <c r="P433" t="s">
        <v>41</v>
      </c>
      <c r="Q433" t="s">
        <v>39</v>
      </c>
      <c r="R433" t="s">
        <v>40</v>
      </c>
      <c r="S433" t="s">
        <v>41</v>
      </c>
      <c r="T433" t="s">
        <v>41</v>
      </c>
      <c r="U433" t="s">
        <v>40</v>
      </c>
      <c r="V433" t="s">
        <v>40</v>
      </c>
      <c r="W433" t="s">
        <v>40</v>
      </c>
      <c r="AB433" t="s">
        <v>4665</v>
      </c>
    </row>
    <row r="434" spans="1:31" x14ac:dyDescent="0.2">
      <c r="A434">
        <v>41917661</v>
      </c>
      <c r="B434">
        <v>55744560</v>
      </c>
      <c r="C434" t="s">
        <v>4666</v>
      </c>
      <c r="D434" t="s">
        <v>3505</v>
      </c>
      <c r="E434" s="9">
        <v>45475</v>
      </c>
      <c r="F434" s="9">
        <v>45764</v>
      </c>
      <c r="G434" t="s">
        <v>33</v>
      </c>
      <c r="H434" t="s">
        <v>34</v>
      </c>
      <c r="J434" t="s">
        <v>211</v>
      </c>
      <c r="K434" t="s">
        <v>36</v>
      </c>
      <c r="L434" t="s">
        <v>164</v>
      </c>
      <c r="N434" t="s">
        <v>38</v>
      </c>
      <c r="O434" t="s">
        <v>40</v>
      </c>
      <c r="P434" t="s">
        <v>41</v>
      </c>
      <c r="Q434" t="s">
        <v>41</v>
      </c>
      <c r="R434" t="s">
        <v>40</v>
      </c>
      <c r="S434" t="s">
        <v>41</v>
      </c>
      <c r="T434" t="s">
        <v>41</v>
      </c>
      <c r="U434" t="s">
        <v>40</v>
      </c>
      <c r="V434" t="s">
        <v>40</v>
      </c>
      <c r="W434" t="s">
        <v>40</v>
      </c>
      <c r="AB434" t="s">
        <v>4667</v>
      </c>
    </row>
    <row r="435" spans="1:31" x14ac:dyDescent="0.2">
      <c r="A435">
        <v>42005500</v>
      </c>
      <c r="B435" t="s">
        <v>4668</v>
      </c>
      <c r="C435" t="s">
        <v>4669</v>
      </c>
      <c r="D435" t="s">
        <v>3505</v>
      </c>
      <c r="E435" s="9">
        <v>45485</v>
      </c>
      <c r="F435" s="9">
        <v>45496</v>
      </c>
      <c r="G435" t="s">
        <v>45</v>
      </c>
      <c r="H435" t="s">
        <v>1158</v>
      </c>
      <c r="I435" t="s">
        <v>46</v>
      </c>
      <c r="J435" t="s">
        <v>69</v>
      </c>
      <c r="K435" t="s">
        <v>48</v>
      </c>
      <c r="L435" t="s">
        <v>386</v>
      </c>
      <c r="M435" t="s">
        <v>289</v>
      </c>
      <c r="O435" t="s">
        <v>39</v>
      </c>
      <c r="P435" t="s">
        <v>39</v>
      </c>
      <c r="Q435" t="s">
        <v>39</v>
      </c>
      <c r="R435" t="s">
        <v>41</v>
      </c>
      <c r="S435" t="s">
        <v>40</v>
      </c>
      <c r="T435" t="s">
        <v>41</v>
      </c>
      <c r="U435" t="s">
        <v>39</v>
      </c>
      <c r="V435" t="s">
        <v>39</v>
      </c>
      <c r="W435" t="s">
        <v>39</v>
      </c>
      <c r="AB435" t="s">
        <v>4670</v>
      </c>
      <c r="AC435" t="s">
        <v>4671</v>
      </c>
      <c r="AD435" t="s">
        <v>4672</v>
      </c>
    </row>
    <row r="436" spans="1:31" x14ac:dyDescent="0.2">
      <c r="A436">
        <v>42005508</v>
      </c>
      <c r="B436" t="s">
        <v>4673</v>
      </c>
      <c r="C436" t="s">
        <v>4674</v>
      </c>
      <c r="D436" t="s">
        <v>3505</v>
      </c>
      <c r="E436" s="9">
        <v>45485</v>
      </c>
      <c r="F436" s="9">
        <v>45574</v>
      </c>
      <c r="G436" t="s">
        <v>45</v>
      </c>
      <c r="H436" t="s">
        <v>46</v>
      </c>
      <c r="I436" t="s">
        <v>132</v>
      </c>
      <c r="J436" t="s">
        <v>146</v>
      </c>
      <c r="K436" t="s">
        <v>36</v>
      </c>
      <c r="L436" t="s">
        <v>49</v>
      </c>
      <c r="M436" t="s">
        <v>50</v>
      </c>
      <c r="O436" t="s">
        <v>39</v>
      </c>
      <c r="P436" t="s">
        <v>39</v>
      </c>
      <c r="Q436" t="s">
        <v>39</v>
      </c>
      <c r="R436" t="s">
        <v>41</v>
      </c>
      <c r="S436" t="s">
        <v>40</v>
      </c>
      <c r="T436" t="s">
        <v>41</v>
      </c>
      <c r="U436" t="s">
        <v>39</v>
      </c>
      <c r="V436" t="s">
        <v>39</v>
      </c>
      <c r="W436" t="s">
        <v>40</v>
      </c>
      <c r="X436" t="s">
        <v>4675</v>
      </c>
      <c r="AB436" t="s">
        <v>4676</v>
      </c>
      <c r="AC436" t="s">
        <v>4677</v>
      </c>
      <c r="AD436" t="s">
        <v>4678</v>
      </c>
    </row>
    <row r="437" spans="1:31" x14ac:dyDescent="0.2">
      <c r="A437">
        <v>42005481</v>
      </c>
      <c r="B437" t="s">
        <v>4679</v>
      </c>
      <c r="C437" t="s">
        <v>4680</v>
      </c>
      <c r="D437" t="s">
        <v>3505</v>
      </c>
      <c r="E437" s="9">
        <v>45485</v>
      </c>
      <c r="F437" s="9">
        <v>45496</v>
      </c>
      <c r="G437" t="s">
        <v>45</v>
      </c>
      <c r="H437" t="s">
        <v>1158</v>
      </c>
      <c r="I437" t="s">
        <v>46</v>
      </c>
      <c r="J437" t="s">
        <v>123</v>
      </c>
      <c r="K437" t="s">
        <v>48</v>
      </c>
      <c r="L437" t="s">
        <v>386</v>
      </c>
      <c r="M437" t="s">
        <v>289</v>
      </c>
      <c r="O437" t="s">
        <v>39</v>
      </c>
      <c r="P437" t="s">
        <v>39</v>
      </c>
      <c r="Q437" t="s">
        <v>39</v>
      </c>
      <c r="R437" t="s">
        <v>41</v>
      </c>
      <c r="S437" t="s">
        <v>40</v>
      </c>
      <c r="T437" t="s">
        <v>41</v>
      </c>
      <c r="U437" t="s">
        <v>39</v>
      </c>
      <c r="V437" t="s">
        <v>39</v>
      </c>
      <c r="W437" t="s">
        <v>39</v>
      </c>
      <c r="AB437" t="s">
        <v>4681</v>
      </c>
      <c r="AC437" t="s">
        <v>4682</v>
      </c>
      <c r="AD437" t="s">
        <v>4683</v>
      </c>
    </row>
    <row r="438" spans="1:31" x14ac:dyDescent="0.2">
      <c r="A438">
        <v>42003641</v>
      </c>
      <c r="B438">
        <v>55784054</v>
      </c>
      <c r="C438" t="s">
        <v>854</v>
      </c>
      <c r="D438" t="s">
        <v>3505</v>
      </c>
      <c r="E438" s="9">
        <v>45485</v>
      </c>
      <c r="F438" s="9">
        <v>45540</v>
      </c>
      <c r="G438" t="s">
        <v>33</v>
      </c>
      <c r="H438" t="s">
        <v>34</v>
      </c>
      <c r="J438" t="s">
        <v>107</v>
      </c>
      <c r="K438" t="s">
        <v>36</v>
      </c>
      <c r="L438" t="s">
        <v>164</v>
      </c>
      <c r="N438" t="s">
        <v>38</v>
      </c>
      <c r="O438" t="s">
        <v>40</v>
      </c>
      <c r="P438" t="s">
        <v>39</v>
      </c>
      <c r="Q438" t="s">
        <v>39</v>
      </c>
      <c r="R438" t="s">
        <v>40</v>
      </c>
      <c r="S438" t="s">
        <v>41</v>
      </c>
      <c r="T438" t="s">
        <v>41</v>
      </c>
      <c r="U438" t="s">
        <v>40</v>
      </c>
      <c r="V438" t="s">
        <v>40</v>
      </c>
      <c r="W438" t="s">
        <v>40</v>
      </c>
      <c r="AB438" t="s">
        <v>4684</v>
      </c>
      <c r="AC438" t="s">
        <v>4685</v>
      </c>
    </row>
    <row r="439" spans="1:31" x14ac:dyDescent="0.2">
      <c r="A439">
        <v>42007072</v>
      </c>
      <c r="B439" t="s">
        <v>4686</v>
      </c>
      <c r="C439" t="s">
        <v>4687</v>
      </c>
      <c r="D439" t="s">
        <v>3505</v>
      </c>
      <c r="E439" s="9">
        <v>45485</v>
      </c>
      <c r="F439" s="9">
        <v>45540</v>
      </c>
      <c r="G439" t="s">
        <v>45</v>
      </c>
      <c r="H439" t="s">
        <v>90</v>
      </c>
      <c r="J439" t="s">
        <v>138</v>
      </c>
      <c r="K439" t="s">
        <v>48</v>
      </c>
      <c r="L439" t="s">
        <v>386</v>
      </c>
      <c r="M439" t="s">
        <v>289</v>
      </c>
      <c r="O439" t="s">
        <v>39</v>
      </c>
      <c r="P439" t="s">
        <v>39</v>
      </c>
      <c r="Q439" t="s">
        <v>39</v>
      </c>
      <c r="R439" t="s">
        <v>41</v>
      </c>
      <c r="S439" t="s">
        <v>40</v>
      </c>
      <c r="T439" t="s">
        <v>41</v>
      </c>
      <c r="U439" t="s">
        <v>39</v>
      </c>
      <c r="V439" t="s">
        <v>39</v>
      </c>
      <c r="W439" t="s">
        <v>39</v>
      </c>
      <c r="AB439" t="s">
        <v>4688</v>
      </c>
      <c r="AC439" t="s">
        <v>4689</v>
      </c>
      <c r="AD439" t="s">
        <v>4690</v>
      </c>
    </row>
    <row r="440" spans="1:31" x14ac:dyDescent="0.2">
      <c r="A440">
        <v>42005189</v>
      </c>
      <c r="B440" t="s">
        <v>4691</v>
      </c>
      <c r="C440" t="s">
        <v>4692</v>
      </c>
      <c r="D440" t="s">
        <v>3505</v>
      </c>
      <c r="E440" s="9">
        <v>45485</v>
      </c>
      <c r="F440" s="9">
        <v>45496</v>
      </c>
      <c r="G440" t="s">
        <v>45</v>
      </c>
      <c r="H440" t="s">
        <v>4693</v>
      </c>
      <c r="I440" t="s">
        <v>111</v>
      </c>
      <c r="J440" t="s">
        <v>112</v>
      </c>
      <c r="K440" t="s">
        <v>48</v>
      </c>
      <c r="L440" t="s">
        <v>49</v>
      </c>
      <c r="M440" t="s">
        <v>74</v>
      </c>
      <c r="O440" t="s">
        <v>39</v>
      </c>
      <c r="P440" t="s">
        <v>39</v>
      </c>
      <c r="Q440" t="s">
        <v>39</v>
      </c>
      <c r="R440" t="s">
        <v>39</v>
      </c>
      <c r="S440" t="s">
        <v>40</v>
      </c>
      <c r="T440" t="s">
        <v>41</v>
      </c>
      <c r="U440" t="s">
        <v>39</v>
      </c>
      <c r="V440" t="s">
        <v>39</v>
      </c>
      <c r="W440" t="s">
        <v>39</v>
      </c>
      <c r="AB440" t="s">
        <v>4694</v>
      </c>
      <c r="AC440" t="s">
        <v>4695</v>
      </c>
      <c r="AD440" t="s">
        <v>4696</v>
      </c>
      <c r="AE440" t="s">
        <v>4697</v>
      </c>
    </row>
    <row r="441" spans="1:31" x14ac:dyDescent="0.2">
      <c r="A441">
        <v>42007099</v>
      </c>
      <c r="B441" t="s">
        <v>4698</v>
      </c>
      <c r="C441" t="s">
        <v>4699</v>
      </c>
      <c r="D441" t="s">
        <v>3505</v>
      </c>
      <c r="E441" s="9">
        <v>45485</v>
      </c>
      <c r="F441" s="9">
        <v>45509</v>
      </c>
      <c r="G441" t="s">
        <v>45</v>
      </c>
      <c r="H441" t="s">
        <v>132</v>
      </c>
      <c r="J441" t="s">
        <v>54</v>
      </c>
      <c r="K441" t="s">
        <v>48</v>
      </c>
      <c r="L441" t="s">
        <v>386</v>
      </c>
      <c r="M441" t="s">
        <v>289</v>
      </c>
      <c r="O441" t="s">
        <v>39</v>
      </c>
      <c r="P441" t="s">
        <v>39</v>
      </c>
      <c r="Q441" t="s">
        <v>39</v>
      </c>
      <c r="R441" t="s">
        <v>41</v>
      </c>
      <c r="S441" t="s">
        <v>40</v>
      </c>
      <c r="T441" t="s">
        <v>41</v>
      </c>
      <c r="U441" t="s">
        <v>39</v>
      </c>
      <c r="V441" t="s">
        <v>39</v>
      </c>
      <c r="W441" t="s">
        <v>39</v>
      </c>
      <c r="AB441" t="s">
        <v>4700</v>
      </c>
    </row>
    <row r="442" spans="1:31" x14ac:dyDescent="0.2">
      <c r="A442">
        <v>42007084</v>
      </c>
      <c r="B442" t="s">
        <v>4701</v>
      </c>
      <c r="C442" t="s">
        <v>4702</v>
      </c>
      <c r="D442" t="s">
        <v>3505</v>
      </c>
      <c r="E442" s="9">
        <v>45485</v>
      </c>
      <c r="F442" s="9">
        <v>45574</v>
      </c>
      <c r="G442" t="s">
        <v>45</v>
      </c>
      <c r="H442" t="s">
        <v>132</v>
      </c>
      <c r="J442" t="s">
        <v>54</v>
      </c>
      <c r="K442" t="s">
        <v>48</v>
      </c>
      <c r="L442" t="s">
        <v>386</v>
      </c>
      <c r="M442" t="s">
        <v>289</v>
      </c>
      <c r="O442" t="s">
        <v>39</v>
      </c>
      <c r="P442" t="s">
        <v>39</v>
      </c>
      <c r="Q442" t="s">
        <v>39</v>
      </c>
      <c r="R442" t="s">
        <v>41</v>
      </c>
      <c r="S442" t="s">
        <v>40</v>
      </c>
      <c r="T442" t="s">
        <v>41</v>
      </c>
      <c r="U442" t="s">
        <v>39</v>
      </c>
      <c r="V442" t="s">
        <v>39</v>
      </c>
      <c r="W442" t="s">
        <v>39</v>
      </c>
      <c r="AB442" t="s">
        <v>4703</v>
      </c>
      <c r="AC442" t="s">
        <v>4704</v>
      </c>
      <c r="AD442" t="s">
        <v>4705</v>
      </c>
    </row>
    <row r="443" spans="1:31" x14ac:dyDescent="0.2">
      <c r="A443">
        <v>42005149</v>
      </c>
      <c r="B443" t="s">
        <v>4706</v>
      </c>
      <c r="C443" t="s">
        <v>4707</v>
      </c>
      <c r="D443" t="s">
        <v>3505</v>
      </c>
      <c r="E443" s="9">
        <v>45485</v>
      </c>
      <c r="F443" s="9">
        <v>45540</v>
      </c>
      <c r="G443" t="s">
        <v>45</v>
      </c>
      <c r="H443" t="s">
        <v>46</v>
      </c>
      <c r="I443" t="s">
        <v>53</v>
      </c>
      <c r="J443" t="s">
        <v>123</v>
      </c>
      <c r="K443" t="s">
        <v>48</v>
      </c>
      <c r="L443" t="s">
        <v>49</v>
      </c>
      <c r="M443" t="s">
        <v>50</v>
      </c>
      <c r="O443" t="s">
        <v>39</v>
      </c>
      <c r="P443" t="s">
        <v>39</v>
      </c>
      <c r="Q443" t="s">
        <v>39</v>
      </c>
      <c r="R443" t="s">
        <v>41</v>
      </c>
      <c r="S443" t="s">
        <v>40</v>
      </c>
      <c r="T443" t="s">
        <v>41</v>
      </c>
      <c r="U443" t="s">
        <v>39</v>
      </c>
      <c r="V443" t="s">
        <v>39</v>
      </c>
      <c r="W443" t="s">
        <v>40</v>
      </c>
      <c r="AB443" t="s">
        <v>4708</v>
      </c>
      <c r="AC443" t="s">
        <v>4709</v>
      </c>
      <c r="AD443" t="s">
        <v>4710</v>
      </c>
    </row>
    <row r="444" spans="1:31" x14ac:dyDescent="0.2">
      <c r="A444">
        <v>42005519</v>
      </c>
      <c r="B444" t="s">
        <v>4711</v>
      </c>
      <c r="C444" t="s">
        <v>4712</v>
      </c>
      <c r="D444" t="s">
        <v>3505</v>
      </c>
      <c r="E444" s="9">
        <v>45485</v>
      </c>
      <c r="F444" s="9">
        <v>45645</v>
      </c>
      <c r="G444" t="s">
        <v>45</v>
      </c>
      <c r="H444" t="s">
        <v>4499</v>
      </c>
      <c r="I444" t="s">
        <v>4362</v>
      </c>
      <c r="J444" t="s">
        <v>73</v>
      </c>
      <c r="K444" t="s">
        <v>36</v>
      </c>
      <c r="L444" t="s">
        <v>37</v>
      </c>
      <c r="M444" t="s">
        <v>50</v>
      </c>
      <c r="O444" t="s">
        <v>39</v>
      </c>
      <c r="P444" t="s">
        <v>39</v>
      </c>
      <c r="Q444" t="s">
        <v>39</v>
      </c>
      <c r="R444" t="s">
        <v>41</v>
      </c>
      <c r="S444" t="s">
        <v>40</v>
      </c>
      <c r="T444" t="s">
        <v>41</v>
      </c>
      <c r="U444" t="s">
        <v>39</v>
      </c>
      <c r="V444" t="s">
        <v>39</v>
      </c>
      <c r="W444" t="s">
        <v>40</v>
      </c>
      <c r="X444" t="s">
        <v>4713</v>
      </c>
      <c r="AB444" t="s">
        <v>4714</v>
      </c>
      <c r="AC444" t="s">
        <v>4715</v>
      </c>
      <c r="AD444" t="s">
        <v>4716</v>
      </c>
    </row>
    <row r="445" spans="1:31" x14ac:dyDescent="0.2">
      <c r="A445">
        <v>42005472</v>
      </c>
      <c r="B445" t="s">
        <v>4717</v>
      </c>
      <c r="C445" t="s">
        <v>1880</v>
      </c>
      <c r="D445" t="s">
        <v>3505</v>
      </c>
      <c r="E445" s="9">
        <v>45485</v>
      </c>
      <c r="F445" s="9">
        <v>45496</v>
      </c>
      <c r="G445" t="s">
        <v>45</v>
      </c>
      <c r="H445" t="s">
        <v>46</v>
      </c>
      <c r="I445" t="s">
        <v>4362</v>
      </c>
      <c r="J445" t="s">
        <v>154</v>
      </c>
      <c r="K445" t="s">
        <v>48</v>
      </c>
      <c r="L445" t="s">
        <v>37</v>
      </c>
      <c r="M445" t="s">
        <v>50</v>
      </c>
      <c r="O445" t="s">
        <v>39</v>
      </c>
      <c r="P445" t="s">
        <v>39</v>
      </c>
      <c r="Q445" t="s">
        <v>39</v>
      </c>
      <c r="R445" t="s">
        <v>41</v>
      </c>
      <c r="S445" t="s">
        <v>40</v>
      </c>
      <c r="T445" t="s">
        <v>41</v>
      </c>
      <c r="U445" t="s">
        <v>39</v>
      </c>
      <c r="V445" t="s">
        <v>39</v>
      </c>
      <c r="W445" t="s">
        <v>40</v>
      </c>
      <c r="AB445" t="s">
        <v>4718</v>
      </c>
      <c r="AC445" t="s">
        <v>4719</v>
      </c>
      <c r="AD445" t="s">
        <v>4720</v>
      </c>
    </row>
    <row r="446" spans="1:31" x14ac:dyDescent="0.2">
      <c r="A446">
        <v>42003631</v>
      </c>
      <c r="B446">
        <v>55783991</v>
      </c>
      <c r="C446" t="s">
        <v>1165</v>
      </c>
      <c r="D446" t="s">
        <v>3505</v>
      </c>
      <c r="E446" s="9">
        <v>45485</v>
      </c>
      <c r="F446" s="9">
        <v>45764</v>
      </c>
      <c r="G446" t="s">
        <v>33</v>
      </c>
      <c r="H446" t="s">
        <v>34</v>
      </c>
      <c r="J446" t="s">
        <v>211</v>
      </c>
      <c r="K446" t="s">
        <v>36</v>
      </c>
      <c r="L446" t="s">
        <v>164</v>
      </c>
      <c r="N446" t="s">
        <v>38</v>
      </c>
      <c r="O446" t="s">
        <v>40</v>
      </c>
      <c r="P446" t="s">
        <v>39</v>
      </c>
      <c r="Q446" t="s">
        <v>39</v>
      </c>
      <c r="R446" t="s">
        <v>40</v>
      </c>
      <c r="S446" t="s">
        <v>41</v>
      </c>
      <c r="T446" t="s">
        <v>41</v>
      </c>
      <c r="U446" t="s">
        <v>40</v>
      </c>
      <c r="V446" t="s">
        <v>40</v>
      </c>
      <c r="W446" t="s">
        <v>40</v>
      </c>
      <c r="AB446" t="s">
        <v>4721</v>
      </c>
      <c r="AC446" t="s">
        <v>4722</v>
      </c>
      <c r="AD446" t="s">
        <v>4723</v>
      </c>
    </row>
    <row r="447" spans="1:31" x14ac:dyDescent="0.2">
      <c r="A447">
        <v>42109816</v>
      </c>
      <c r="B447" t="s">
        <v>4724</v>
      </c>
      <c r="C447" t="s">
        <v>4725</v>
      </c>
      <c r="D447" t="s">
        <v>3505</v>
      </c>
      <c r="E447" s="9">
        <v>45496</v>
      </c>
      <c r="F447" s="9">
        <v>45509</v>
      </c>
      <c r="G447" t="s">
        <v>45</v>
      </c>
      <c r="H447" t="s">
        <v>59</v>
      </c>
      <c r="I447" t="s">
        <v>46</v>
      </c>
      <c r="J447" t="s">
        <v>69</v>
      </c>
      <c r="K447" t="s">
        <v>48</v>
      </c>
      <c r="L447" t="s">
        <v>37</v>
      </c>
      <c r="M447" t="s">
        <v>50</v>
      </c>
      <c r="O447" t="s">
        <v>39</v>
      </c>
      <c r="P447" t="s">
        <v>39</v>
      </c>
      <c r="Q447" t="s">
        <v>39</v>
      </c>
      <c r="R447" t="s">
        <v>41</v>
      </c>
      <c r="S447" t="s">
        <v>40</v>
      </c>
      <c r="T447" t="s">
        <v>41</v>
      </c>
      <c r="U447" t="s">
        <v>39</v>
      </c>
      <c r="V447" t="s">
        <v>39</v>
      </c>
      <c r="W447" t="s">
        <v>40</v>
      </c>
      <c r="AB447" t="s">
        <v>4726</v>
      </c>
      <c r="AC447" t="s">
        <v>4727</v>
      </c>
      <c r="AD447" t="s">
        <v>4728</v>
      </c>
    </row>
    <row r="448" spans="1:31" x14ac:dyDescent="0.2">
      <c r="A448">
        <v>42109796</v>
      </c>
      <c r="B448" t="s">
        <v>4729</v>
      </c>
      <c r="C448" t="s">
        <v>4730</v>
      </c>
      <c r="D448" t="s">
        <v>3505</v>
      </c>
      <c r="E448" s="9">
        <v>45496</v>
      </c>
      <c r="F448" s="9">
        <v>45509</v>
      </c>
      <c r="G448" t="s">
        <v>45</v>
      </c>
      <c r="H448" t="s">
        <v>132</v>
      </c>
      <c r="J448" t="s">
        <v>138</v>
      </c>
      <c r="K448" t="s">
        <v>48</v>
      </c>
      <c r="L448" t="s">
        <v>37</v>
      </c>
      <c r="M448" t="s">
        <v>50</v>
      </c>
      <c r="O448" t="s">
        <v>39</v>
      </c>
      <c r="P448" t="s">
        <v>39</v>
      </c>
      <c r="Q448" t="s">
        <v>39</v>
      </c>
      <c r="R448" t="s">
        <v>41</v>
      </c>
      <c r="S448" t="s">
        <v>40</v>
      </c>
      <c r="T448" t="s">
        <v>41</v>
      </c>
      <c r="U448" t="s">
        <v>39</v>
      </c>
      <c r="V448" t="s">
        <v>39</v>
      </c>
      <c r="W448" t="s">
        <v>40</v>
      </c>
      <c r="X448" t="s">
        <v>4731</v>
      </c>
      <c r="AB448" t="s">
        <v>4732</v>
      </c>
      <c r="AC448" t="s">
        <v>4733</v>
      </c>
      <c r="AD448" t="s">
        <v>4734</v>
      </c>
    </row>
    <row r="449" spans="1:30" x14ac:dyDescent="0.2">
      <c r="A449">
        <v>42109807</v>
      </c>
      <c r="B449" t="s">
        <v>4735</v>
      </c>
      <c r="C449" t="s">
        <v>4736</v>
      </c>
      <c r="D449" t="s">
        <v>3505</v>
      </c>
      <c r="E449" s="9">
        <v>45496</v>
      </c>
      <c r="F449" s="9">
        <v>45509</v>
      </c>
      <c r="G449" t="s">
        <v>45</v>
      </c>
      <c r="H449" t="s">
        <v>4737</v>
      </c>
      <c r="I449" t="s">
        <v>4738</v>
      </c>
      <c r="J449" t="s">
        <v>117</v>
      </c>
      <c r="K449" t="s">
        <v>48</v>
      </c>
      <c r="L449" t="s">
        <v>37</v>
      </c>
      <c r="M449" t="s">
        <v>289</v>
      </c>
      <c r="O449" t="s">
        <v>39</v>
      </c>
      <c r="P449" t="s">
        <v>39</v>
      </c>
      <c r="Q449" t="s">
        <v>39</v>
      </c>
      <c r="R449" t="s">
        <v>41</v>
      </c>
      <c r="S449" t="s">
        <v>40</v>
      </c>
      <c r="T449" t="s">
        <v>41</v>
      </c>
      <c r="U449" t="s">
        <v>39</v>
      </c>
      <c r="V449" t="s">
        <v>39</v>
      </c>
      <c r="W449" t="s">
        <v>40</v>
      </c>
      <c r="AB449" t="s">
        <v>4739</v>
      </c>
      <c r="AC449" t="s">
        <v>4740</v>
      </c>
      <c r="AD449" t="s">
        <v>4741</v>
      </c>
    </row>
    <row r="450" spans="1:30" x14ac:dyDescent="0.2">
      <c r="A450">
        <v>42109592</v>
      </c>
      <c r="B450" t="s">
        <v>4742</v>
      </c>
      <c r="C450" t="s">
        <v>4743</v>
      </c>
      <c r="D450" t="s">
        <v>3505</v>
      </c>
      <c r="E450" s="9">
        <v>45496</v>
      </c>
      <c r="F450" s="9">
        <v>45761</v>
      </c>
      <c r="G450" t="s">
        <v>45</v>
      </c>
      <c r="H450" t="s">
        <v>46</v>
      </c>
      <c r="I450" t="s">
        <v>53</v>
      </c>
      <c r="J450" t="s">
        <v>117</v>
      </c>
      <c r="K450" t="s">
        <v>48</v>
      </c>
      <c r="L450" t="s">
        <v>49</v>
      </c>
      <c r="M450" t="s">
        <v>50</v>
      </c>
      <c r="O450" t="s">
        <v>39</v>
      </c>
      <c r="P450" t="s">
        <v>39</v>
      </c>
      <c r="Q450" t="s">
        <v>39</v>
      </c>
      <c r="R450" t="s">
        <v>41</v>
      </c>
      <c r="S450" t="s">
        <v>40</v>
      </c>
      <c r="T450" t="s">
        <v>41</v>
      </c>
      <c r="U450" t="s">
        <v>39</v>
      </c>
      <c r="V450" t="s">
        <v>39</v>
      </c>
      <c r="W450" t="s">
        <v>40</v>
      </c>
      <c r="X450" t="s">
        <v>4744</v>
      </c>
      <c r="AB450" t="s">
        <v>4745</v>
      </c>
      <c r="AC450" t="s">
        <v>4746</v>
      </c>
    </row>
    <row r="451" spans="1:30" x14ac:dyDescent="0.2">
      <c r="A451">
        <v>42109613</v>
      </c>
      <c r="B451" t="s">
        <v>4747</v>
      </c>
      <c r="C451" t="s">
        <v>4748</v>
      </c>
      <c r="D451" t="s">
        <v>3505</v>
      </c>
      <c r="E451" s="9">
        <v>45496</v>
      </c>
      <c r="F451" s="9">
        <v>45893</v>
      </c>
      <c r="G451" t="s">
        <v>45</v>
      </c>
      <c r="H451" t="s">
        <v>68</v>
      </c>
      <c r="I451" t="s">
        <v>385</v>
      </c>
      <c r="J451" t="s">
        <v>342</v>
      </c>
      <c r="K451" t="s">
        <v>36</v>
      </c>
      <c r="L451" t="s">
        <v>49</v>
      </c>
      <c r="M451" t="s">
        <v>50</v>
      </c>
      <c r="O451" t="s">
        <v>39</v>
      </c>
      <c r="P451" t="s">
        <v>39</v>
      </c>
      <c r="Q451" t="s">
        <v>39</v>
      </c>
      <c r="R451" t="s">
        <v>41</v>
      </c>
      <c r="S451" t="s">
        <v>40</v>
      </c>
      <c r="T451" t="s">
        <v>41</v>
      </c>
      <c r="U451" t="s">
        <v>39</v>
      </c>
      <c r="V451" t="s">
        <v>39</v>
      </c>
      <c r="W451" t="s">
        <v>40</v>
      </c>
      <c r="AB451" t="s">
        <v>4749</v>
      </c>
      <c r="AC451" t="s">
        <v>4750</v>
      </c>
      <c r="AD451" t="s">
        <v>4751</v>
      </c>
    </row>
    <row r="452" spans="1:30" x14ac:dyDescent="0.2">
      <c r="A452">
        <v>42146528</v>
      </c>
      <c r="B452" t="s">
        <v>4752</v>
      </c>
      <c r="C452" t="s">
        <v>3918</v>
      </c>
      <c r="D452" t="s">
        <v>3505</v>
      </c>
      <c r="E452" s="9">
        <v>45500</v>
      </c>
      <c r="F452" s="9">
        <v>45688</v>
      </c>
      <c r="G452" t="s">
        <v>45</v>
      </c>
      <c r="H452" t="s">
        <v>132</v>
      </c>
      <c r="I452" t="s">
        <v>90</v>
      </c>
      <c r="J452" t="s">
        <v>138</v>
      </c>
      <c r="K452" t="s">
        <v>48</v>
      </c>
      <c r="L452" t="s">
        <v>37</v>
      </c>
      <c r="M452" t="s">
        <v>50</v>
      </c>
      <c r="O452" t="s">
        <v>39</v>
      </c>
      <c r="P452" t="s">
        <v>39</v>
      </c>
      <c r="Q452" t="s">
        <v>39</v>
      </c>
      <c r="R452" t="s">
        <v>41</v>
      </c>
      <c r="S452" t="s">
        <v>40</v>
      </c>
      <c r="T452" t="s">
        <v>41</v>
      </c>
      <c r="U452" t="s">
        <v>39</v>
      </c>
      <c r="V452" t="s">
        <v>39</v>
      </c>
      <c r="W452" t="s">
        <v>40</v>
      </c>
      <c r="AB452" t="s">
        <v>4753</v>
      </c>
      <c r="AC452" t="s">
        <v>4754</v>
      </c>
    </row>
    <row r="453" spans="1:30" x14ac:dyDescent="0.2">
      <c r="A453">
        <v>42146527</v>
      </c>
      <c r="B453" t="s">
        <v>4755</v>
      </c>
      <c r="C453" t="s">
        <v>4756</v>
      </c>
      <c r="D453" t="s">
        <v>3505</v>
      </c>
      <c r="E453" s="9">
        <v>45500</v>
      </c>
      <c r="F453" s="9">
        <v>45603</v>
      </c>
      <c r="G453" t="s">
        <v>45</v>
      </c>
      <c r="H453" t="s">
        <v>59</v>
      </c>
      <c r="I453" t="s">
        <v>46</v>
      </c>
      <c r="J453" t="s">
        <v>69</v>
      </c>
      <c r="K453" t="s">
        <v>48</v>
      </c>
      <c r="L453" t="s">
        <v>37</v>
      </c>
      <c r="M453" t="s">
        <v>50</v>
      </c>
      <c r="O453" t="s">
        <v>39</v>
      </c>
      <c r="P453" t="s">
        <v>39</v>
      </c>
      <c r="Q453" t="s">
        <v>39</v>
      </c>
      <c r="R453" t="s">
        <v>41</v>
      </c>
      <c r="S453" t="s">
        <v>40</v>
      </c>
      <c r="T453" t="s">
        <v>41</v>
      </c>
      <c r="U453" t="s">
        <v>39</v>
      </c>
      <c r="V453" t="s">
        <v>39</v>
      </c>
      <c r="W453" t="s">
        <v>40</v>
      </c>
      <c r="AB453" t="s">
        <v>4757</v>
      </c>
      <c r="AC453" t="s">
        <v>4758</v>
      </c>
      <c r="AD453" t="s">
        <v>4759</v>
      </c>
    </row>
    <row r="454" spans="1:30" x14ac:dyDescent="0.2">
      <c r="A454">
        <v>42227932</v>
      </c>
      <c r="B454" t="s">
        <v>4760</v>
      </c>
      <c r="C454" t="s">
        <v>4761</v>
      </c>
      <c r="D454" t="s">
        <v>3505</v>
      </c>
      <c r="E454" s="9">
        <v>45509</v>
      </c>
      <c r="F454" s="9">
        <v>45826</v>
      </c>
      <c r="G454" t="s">
        <v>45</v>
      </c>
      <c r="H454" t="s">
        <v>46</v>
      </c>
      <c r="I454" t="s">
        <v>90</v>
      </c>
      <c r="J454" t="s">
        <v>47</v>
      </c>
      <c r="K454" t="s">
        <v>36</v>
      </c>
      <c r="L454" t="s">
        <v>49</v>
      </c>
      <c r="M454" t="s">
        <v>50</v>
      </c>
      <c r="O454" t="s">
        <v>39</v>
      </c>
      <c r="P454" t="s">
        <v>39</v>
      </c>
      <c r="Q454" t="s">
        <v>39</v>
      </c>
      <c r="R454" t="s">
        <v>41</v>
      </c>
      <c r="S454" t="s">
        <v>40</v>
      </c>
      <c r="T454" t="s">
        <v>41</v>
      </c>
      <c r="U454" t="s">
        <v>39</v>
      </c>
      <c r="V454" t="s">
        <v>39</v>
      </c>
      <c r="W454" t="s">
        <v>40</v>
      </c>
      <c r="AB454" t="s">
        <v>4762</v>
      </c>
      <c r="AC454" t="s">
        <v>4763</v>
      </c>
      <c r="AD454" t="s">
        <v>4764</v>
      </c>
    </row>
    <row r="455" spans="1:30" x14ac:dyDescent="0.2">
      <c r="A455">
        <v>42228655</v>
      </c>
      <c r="B455" t="s">
        <v>4765</v>
      </c>
      <c r="C455" t="s">
        <v>4766</v>
      </c>
      <c r="D455" t="s">
        <v>3505</v>
      </c>
      <c r="E455" s="9">
        <v>45509</v>
      </c>
      <c r="F455" s="9">
        <v>45590</v>
      </c>
      <c r="G455" t="s">
        <v>45</v>
      </c>
      <c r="H455" t="s">
        <v>46</v>
      </c>
      <c r="I455" t="s">
        <v>53</v>
      </c>
      <c r="J455" t="s">
        <v>154</v>
      </c>
      <c r="K455" t="s">
        <v>48</v>
      </c>
      <c r="L455" t="s">
        <v>386</v>
      </c>
      <c r="M455" t="s">
        <v>289</v>
      </c>
      <c r="O455" t="s">
        <v>39</v>
      </c>
      <c r="P455" t="s">
        <v>39</v>
      </c>
      <c r="Q455" t="s">
        <v>39</v>
      </c>
      <c r="R455" t="s">
        <v>41</v>
      </c>
      <c r="S455" t="s">
        <v>40</v>
      </c>
      <c r="T455" t="s">
        <v>41</v>
      </c>
      <c r="U455" t="s">
        <v>39</v>
      </c>
      <c r="V455" t="s">
        <v>39</v>
      </c>
      <c r="W455" t="s">
        <v>40</v>
      </c>
      <c r="X455" t="s">
        <v>4767</v>
      </c>
      <c r="AB455" t="s">
        <v>4768</v>
      </c>
      <c r="AC455" t="s">
        <v>4769</v>
      </c>
      <c r="AD455" t="s">
        <v>4770</v>
      </c>
    </row>
    <row r="456" spans="1:30" x14ac:dyDescent="0.2">
      <c r="A456">
        <v>42228700</v>
      </c>
      <c r="B456" t="s">
        <v>4771</v>
      </c>
      <c r="C456" t="s">
        <v>4772</v>
      </c>
      <c r="D456" t="s">
        <v>3505</v>
      </c>
      <c r="E456" s="9">
        <v>45509</v>
      </c>
      <c r="F456" s="9">
        <v>45590</v>
      </c>
      <c r="G456" t="s">
        <v>45</v>
      </c>
      <c r="H456" t="s">
        <v>46</v>
      </c>
      <c r="I456" t="s">
        <v>53</v>
      </c>
      <c r="J456" t="s">
        <v>65</v>
      </c>
      <c r="K456" t="s">
        <v>36</v>
      </c>
      <c r="L456" t="s">
        <v>386</v>
      </c>
      <c r="M456" t="s">
        <v>289</v>
      </c>
      <c r="O456" t="s">
        <v>39</v>
      </c>
      <c r="P456" t="s">
        <v>39</v>
      </c>
      <c r="Q456" t="s">
        <v>39</v>
      </c>
      <c r="R456" t="s">
        <v>41</v>
      </c>
      <c r="S456" t="s">
        <v>40</v>
      </c>
      <c r="T456" t="s">
        <v>41</v>
      </c>
      <c r="U456" t="s">
        <v>39</v>
      </c>
      <c r="V456" t="s">
        <v>39</v>
      </c>
      <c r="W456" t="s">
        <v>40</v>
      </c>
      <c r="AB456" t="s">
        <v>4773</v>
      </c>
      <c r="AC456" t="s">
        <v>4774</v>
      </c>
      <c r="AD456" t="s">
        <v>4775</v>
      </c>
    </row>
    <row r="457" spans="1:30" x14ac:dyDescent="0.2">
      <c r="A457">
        <v>42228885</v>
      </c>
      <c r="B457" t="s">
        <v>4776</v>
      </c>
      <c r="C457" t="s">
        <v>4777</v>
      </c>
      <c r="D457" t="s">
        <v>3505</v>
      </c>
      <c r="E457" s="9">
        <v>45509</v>
      </c>
      <c r="F457" s="9">
        <v>45540</v>
      </c>
      <c r="G457" t="s">
        <v>45</v>
      </c>
      <c r="H457" t="s">
        <v>429</v>
      </c>
      <c r="I457" t="s">
        <v>4372</v>
      </c>
      <c r="J457" t="s">
        <v>2230</v>
      </c>
      <c r="K457" t="s">
        <v>36</v>
      </c>
      <c r="L457" t="s">
        <v>49</v>
      </c>
      <c r="M457" t="s">
        <v>50</v>
      </c>
      <c r="O457" t="s">
        <v>39</v>
      </c>
      <c r="P457" t="s">
        <v>39</v>
      </c>
      <c r="Q457" t="s">
        <v>39</v>
      </c>
      <c r="R457" t="s">
        <v>41</v>
      </c>
      <c r="S457" t="s">
        <v>40</v>
      </c>
      <c r="T457" t="s">
        <v>41</v>
      </c>
      <c r="U457" t="s">
        <v>39</v>
      </c>
      <c r="V457" t="s">
        <v>39</v>
      </c>
      <c r="W457" t="s">
        <v>40</v>
      </c>
      <c r="AB457" t="s">
        <v>4778</v>
      </c>
      <c r="AC457" t="s">
        <v>4779</v>
      </c>
      <c r="AD457" t="s">
        <v>4780</v>
      </c>
    </row>
    <row r="458" spans="1:30" x14ac:dyDescent="0.2">
      <c r="A458">
        <v>42228961</v>
      </c>
      <c r="B458" t="s">
        <v>4781</v>
      </c>
      <c r="C458" t="s">
        <v>4782</v>
      </c>
      <c r="D458" t="s">
        <v>3505</v>
      </c>
      <c r="E458" s="9">
        <v>45509</v>
      </c>
      <c r="F458" s="9">
        <v>45540</v>
      </c>
      <c r="G458" t="s">
        <v>45</v>
      </c>
      <c r="H458" t="s">
        <v>80</v>
      </c>
      <c r="I458" t="s">
        <v>4783</v>
      </c>
      <c r="J458" t="s">
        <v>1440</v>
      </c>
      <c r="K458" t="s">
        <v>48</v>
      </c>
      <c r="L458" t="s">
        <v>49</v>
      </c>
      <c r="M458" t="s">
        <v>50</v>
      </c>
      <c r="O458" t="s">
        <v>39</v>
      </c>
      <c r="P458" t="s">
        <v>39</v>
      </c>
      <c r="Q458" t="s">
        <v>39</v>
      </c>
      <c r="R458" t="s">
        <v>41</v>
      </c>
      <c r="S458" t="s">
        <v>40</v>
      </c>
      <c r="T458" t="s">
        <v>41</v>
      </c>
      <c r="U458" t="s">
        <v>39</v>
      </c>
      <c r="V458" t="s">
        <v>39</v>
      </c>
      <c r="W458" t="s">
        <v>40</v>
      </c>
      <c r="AB458" t="s">
        <v>4784</v>
      </c>
      <c r="AC458" t="s">
        <v>4785</v>
      </c>
      <c r="AD458" t="s">
        <v>4786</v>
      </c>
    </row>
    <row r="459" spans="1:30" x14ac:dyDescent="0.2">
      <c r="A459">
        <v>42228709</v>
      </c>
      <c r="C459" t="s">
        <v>4787</v>
      </c>
      <c r="D459" t="s">
        <v>3505</v>
      </c>
      <c r="E459" s="9">
        <v>45509</v>
      </c>
      <c r="F459" s="9">
        <v>45590</v>
      </c>
      <c r="G459" t="s">
        <v>45</v>
      </c>
      <c r="H459" t="s">
        <v>46</v>
      </c>
      <c r="I459" t="s">
        <v>53</v>
      </c>
      <c r="J459" t="s">
        <v>138</v>
      </c>
      <c r="K459" t="s">
        <v>36</v>
      </c>
      <c r="L459" t="s">
        <v>386</v>
      </c>
      <c r="M459" t="s">
        <v>289</v>
      </c>
      <c r="O459" t="s">
        <v>39</v>
      </c>
      <c r="P459" t="s">
        <v>39</v>
      </c>
      <c r="Q459" t="s">
        <v>39</v>
      </c>
      <c r="R459" t="s">
        <v>41</v>
      </c>
      <c r="S459" t="s">
        <v>40</v>
      </c>
      <c r="T459" t="s">
        <v>41</v>
      </c>
      <c r="U459" t="s">
        <v>39</v>
      </c>
      <c r="V459" t="s">
        <v>39</v>
      </c>
      <c r="W459" t="s">
        <v>40</v>
      </c>
      <c r="AB459" t="s">
        <v>4788</v>
      </c>
      <c r="AC459" t="s">
        <v>4789</v>
      </c>
      <c r="AD459" t="s">
        <v>4790</v>
      </c>
    </row>
    <row r="460" spans="1:30" x14ac:dyDescent="0.2">
      <c r="A460">
        <v>42228693</v>
      </c>
      <c r="B460" t="s">
        <v>4791</v>
      </c>
      <c r="C460" t="s">
        <v>4792</v>
      </c>
      <c r="D460" t="s">
        <v>3505</v>
      </c>
      <c r="E460" s="9">
        <v>45509</v>
      </c>
      <c r="F460" s="9">
        <v>45678</v>
      </c>
      <c r="G460" t="s">
        <v>45</v>
      </c>
      <c r="H460" t="s">
        <v>4362</v>
      </c>
      <c r="I460" t="s">
        <v>105</v>
      </c>
      <c r="J460" t="s">
        <v>112</v>
      </c>
      <c r="K460" t="s">
        <v>36</v>
      </c>
      <c r="L460" t="s">
        <v>37</v>
      </c>
      <c r="M460" t="s">
        <v>50</v>
      </c>
      <c r="O460" t="s">
        <v>39</v>
      </c>
      <c r="P460" t="s">
        <v>39</v>
      </c>
      <c r="Q460" t="s">
        <v>39</v>
      </c>
      <c r="R460" t="s">
        <v>41</v>
      </c>
      <c r="S460" t="s">
        <v>40</v>
      </c>
      <c r="T460" t="s">
        <v>41</v>
      </c>
      <c r="U460" t="s">
        <v>39</v>
      </c>
      <c r="V460" t="s">
        <v>39</v>
      </c>
      <c r="W460" t="s">
        <v>40</v>
      </c>
      <c r="AB460" t="s">
        <v>4793</v>
      </c>
      <c r="AC460" t="s">
        <v>4794</v>
      </c>
      <c r="AD460" t="s">
        <v>4795</v>
      </c>
    </row>
    <row r="461" spans="1:30" x14ac:dyDescent="0.2">
      <c r="A461">
        <v>42228870</v>
      </c>
      <c r="B461" t="s">
        <v>4796</v>
      </c>
      <c r="C461" t="s">
        <v>4797</v>
      </c>
      <c r="D461" t="s">
        <v>3505</v>
      </c>
      <c r="E461" s="9">
        <v>45509</v>
      </c>
      <c r="F461" s="9">
        <v>45779</v>
      </c>
      <c r="G461" t="s">
        <v>45</v>
      </c>
      <c r="H461" t="s">
        <v>53</v>
      </c>
      <c r="I461" t="s">
        <v>173</v>
      </c>
      <c r="J461" t="s">
        <v>47</v>
      </c>
      <c r="K461" t="s">
        <v>36</v>
      </c>
      <c r="L461" t="s">
        <v>49</v>
      </c>
      <c r="M461" t="s">
        <v>50</v>
      </c>
      <c r="O461" t="s">
        <v>39</v>
      </c>
      <c r="P461" t="s">
        <v>39</v>
      </c>
      <c r="Q461" t="s">
        <v>39</v>
      </c>
      <c r="R461" t="s">
        <v>41</v>
      </c>
      <c r="S461" t="s">
        <v>40</v>
      </c>
      <c r="T461" t="s">
        <v>41</v>
      </c>
      <c r="U461" t="s">
        <v>39</v>
      </c>
      <c r="V461" t="s">
        <v>39</v>
      </c>
      <c r="W461" t="s">
        <v>40</v>
      </c>
      <c r="AB461" t="s">
        <v>4798</v>
      </c>
      <c r="AC461" t="s">
        <v>4799</v>
      </c>
      <c r="AD461" t="s">
        <v>4800</v>
      </c>
    </row>
    <row r="462" spans="1:30" x14ac:dyDescent="0.2">
      <c r="A462">
        <v>42228934</v>
      </c>
      <c r="B462" t="s">
        <v>4801</v>
      </c>
      <c r="C462" t="s">
        <v>2528</v>
      </c>
      <c r="D462" t="s">
        <v>3505</v>
      </c>
      <c r="E462" s="9">
        <v>45509</v>
      </c>
      <c r="F462" s="9">
        <v>45540</v>
      </c>
      <c r="G462" t="s">
        <v>45</v>
      </c>
      <c r="H462" t="s">
        <v>437</v>
      </c>
      <c r="I462" t="s">
        <v>132</v>
      </c>
      <c r="J462" t="s">
        <v>60</v>
      </c>
      <c r="K462" t="s">
        <v>36</v>
      </c>
      <c r="L462" t="s">
        <v>49</v>
      </c>
      <c r="M462" t="s">
        <v>50</v>
      </c>
      <c r="O462" t="s">
        <v>39</v>
      </c>
      <c r="P462" t="s">
        <v>39</v>
      </c>
      <c r="Q462" t="s">
        <v>39</v>
      </c>
      <c r="R462" t="s">
        <v>41</v>
      </c>
      <c r="S462" t="s">
        <v>40</v>
      </c>
      <c r="T462" t="s">
        <v>41</v>
      </c>
      <c r="U462" t="s">
        <v>39</v>
      </c>
      <c r="V462" t="s">
        <v>39</v>
      </c>
      <c r="W462" t="s">
        <v>40</v>
      </c>
      <c r="AB462" t="s">
        <v>4802</v>
      </c>
      <c r="AC462" t="s">
        <v>4803</v>
      </c>
      <c r="AD462" t="s">
        <v>4804</v>
      </c>
    </row>
    <row r="463" spans="1:30" x14ac:dyDescent="0.2">
      <c r="A463">
        <v>42228678</v>
      </c>
      <c r="B463" t="s">
        <v>4805</v>
      </c>
      <c r="C463" t="s">
        <v>4806</v>
      </c>
      <c r="D463" t="s">
        <v>3505</v>
      </c>
      <c r="E463" s="9">
        <v>45509</v>
      </c>
      <c r="F463" s="9">
        <v>45724</v>
      </c>
      <c r="G463" t="s">
        <v>45</v>
      </c>
      <c r="H463" t="s">
        <v>2312</v>
      </c>
      <c r="I463" t="s">
        <v>429</v>
      </c>
      <c r="J463" t="s">
        <v>2230</v>
      </c>
      <c r="K463" t="s">
        <v>48</v>
      </c>
      <c r="L463" t="s">
        <v>37</v>
      </c>
      <c r="M463" t="s">
        <v>50</v>
      </c>
      <c r="O463" t="s">
        <v>39</v>
      </c>
      <c r="P463" t="s">
        <v>39</v>
      </c>
      <c r="Q463" t="s">
        <v>39</v>
      </c>
      <c r="R463" t="s">
        <v>41</v>
      </c>
      <c r="S463" t="s">
        <v>40</v>
      </c>
      <c r="T463" t="s">
        <v>41</v>
      </c>
      <c r="U463" t="s">
        <v>39</v>
      </c>
      <c r="V463" t="s">
        <v>39</v>
      </c>
      <c r="W463" t="s">
        <v>40</v>
      </c>
      <c r="AB463" t="s">
        <v>4807</v>
      </c>
      <c r="AC463" t="s">
        <v>4808</v>
      </c>
      <c r="AD463" t="s">
        <v>4809</v>
      </c>
    </row>
    <row r="464" spans="1:30" x14ac:dyDescent="0.2">
      <c r="A464">
        <v>42228664</v>
      </c>
      <c r="B464" t="s">
        <v>4810</v>
      </c>
      <c r="C464" t="s">
        <v>4811</v>
      </c>
      <c r="D464" t="s">
        <v>3505</v>
      </c>
      <c r="E464" s="9">
        <v>45509</v>
      </c>
      <c r="F464" s="9">
        <v>45540</v>
      </c>
      <c r="G464" t="s">
        <v>45</v>
      </c>
      <c r="H464" t="s">
        <v>46</v>
      </c>
      <c r="I464" t="s">
        <v>53</v>
      </c>
      <c r="J464" t="s">
        <v>65</v>
      </c>
      <c r="K464" t="s">
        <v>48</v>
      </c>
      <c r="L464" t="s">
        <v>386</v>
      </c>
      <c r="M464" t="s">
        <v>289</v>
      </c>
      <c r="O464" t="s">
        <v>39</v>
      </c>
      <c r="P464" t="s">
        <v>39</v>
      </c>
      <c r="Q464" t="s">
        <v>39</v>
      </c>
      <c r="R464" t="s">
        <v>41</v>
      </c>
      <c r="S464" t="s">
        <v>40</v>
      </c>
      <c r="T464" t="s">
        <v>41</v>
      </c>
      <c r="U464" t="s">
        <v>39</v>
      </c>
      <c r="V464" t="s">
        <v>39</v>
      </c>
      <c r="W464" t="s">
        <v>40</v>
      </c>
      <c r="X464" t="s">
        <v>4812</v>
      </c>
      <c r="AB464" t="s">
        <v>4813</v>
      </c>
      <c r="AC464" t="s">
        <v>4814</v>
      </c>
      <c r="AD464" t="s">
        <v>4815</v>
      </c>
    </row>
    <row r="465" spans="1:31" x14ac:dyDescent="0.2">
      <c r="A465">
        <v>42245540</v>
      </c>
      <c r="B465" t="s">
        <v>4816</v>
      </c>
      <c r="C465" t="s">
        <v>4817</v>
      </c>
      <c r="D465" t="s">
        <v>3505</v>
      </c>
      <c r="E465" s="9">
        <v>45511</v>
      </c>
      <c r="F465" s="9">
        <v>45540</v>
      </c>
      <c r="G465" t="s">
        <v>45</v>
      </c>
      <c r="H465" t="s">
        <v>68</v>
      </c>
      <c r="I465" t="s">
        <v>59</v>
      </c>
      <c r="J465" t="s">
        <v>69</v>
      </c>
      <c r="K465" t="s">
        <v>48</v>
      </c>
      <c r="L465" t="s">
        <v>37</v>
      </c>
      <c r="M465" t="s">
        <v>50</v>
      </c>
      <c r="O465" t="s">
        <v>39</v>
      </c>
      <c r="P465" t="s">
        <v>39</v>
      </c>
      <c r="Q465" t="s">
        <v>39</v>
      </c>
      <c r="R465" t="s">
        <v>41</v>
      </c>
      <c r="S465" t="s">
        <v>40</v>
      </c>
      <c r="T465" t="s">
        <v>41</v>
      </c>
      <c r="U465" t="s">
        <v>39</v>
      </c>
      <c r="V465" t="s">
        <v>39</v>
      </c>
      <c r="W465" t="s">
        <v>40</v>
      </c>
      <c r="AB465" t="s">
        <v>4818</v>
      </c>
      <c r="AC465" t="s">
        <v>4819</v>
      </c>
      <c r="AD465" t="s">
        <v>4820</v>
      </c>
    </row>
    <row r="466" spans="1:31" x14ac:dyDescent="0.2">
      <c r="A466">
        <v>42367269</v>
      </c>
      <c r="B466" t="s">
        <v>4821</v>
      </c>
      <c r="C466" t="s">
        <v>4822</v>
      </c>
      <c r="D466" t="s">
        <v>3505</v>
      </c>
      <c r="E466" s="9">
        <v>45524</v>
      </c>
      <c r="F466" s="9">
        <v>45630</v>
      </c>
      <c r="G466" t="s">
        <v>45</v>
      </c>
      <c r="H466" t="s">
        <v>46</v>
      </c>
      <c r="I466" t="s">
        <v>53</v>
      </c>
      <c r="J466" t="s">
        <v>69</v>
      </c>
      <c r="K466" t="s">
        <v>48</v>
      </c>
      <c r="L466" t="s">
        <v>37</v>
      </c>
      <c r="M466" t="s">
        <v>50</v>
      </c>
      <c r="O466" t="s">
        <v>39</v>
      </c>
      <c r="P466" t="s">
        <v>39</v>
      </c>
      <c r="Q466" t="s">
        <v>39</v>
      </c>
      <c r="R466" t="s">
        <v>41</v>
      </c>
      <c r="S466" t="s">
        <v>40</v>
      </c>
      <c r="T466" t="s">
        <v>41</v>
      </c>
      <c r="U466" t="s">
        <v>39</v>
      </c>
      <c r="V466" t="s">
        <v>39</v>
      </c>
      <c r="W466" t="s">
        <v>40</v>
      </c>
      <c r="AB466" t="s">
        <v>4823</v>
      </c>
      <c r="AC466" t="s">
        <v>4824</v>
      </c>
      <c r="AD466" t="s">
        <v>4825</v>
      </c>
    </row>
    <row r="467" spans="1:31" x14ac:dyDescent="0.2">
      <c r="A467">
        <v>42367284</v>
      </c>
      <c r="B467" t="s">
        <v>4826</v>
      </c>
      <c r="C467" t="s">
        <v>4827</v>
      </c>
      <c r="D467" t="s">
        <v>3505</v>
      </c>
      <c r="E467" s="9">
        <v>45524</v>
      </c>
      <c r="F467" s="9">
        <v>45540</v>
      </c>
      <c r="G467" t="s">
        <v>45</v>
      </c>
      <c r="H467" t="s">
        <v>90</v>
      </c>
      <c r="J467" t="s">
        <v>138</v>
      </c>
      <c r="K467" t="s">
        <v>48</v>
      </c>
      <c r="L467" t="s">
        <v>49</v>
      </c>
      <c r="M467" t="s">
        <v>74</v>
      </c>
      <c r="O467" t="s">
        <v>41</v>
      </c>
      <c r="P467" t="s">
        <v>39</v>
      </c>
      <c r="Q467" t="s">
        <v>39</v>
      </c>
      <c r="R467" t="s">
        <v>41</v>
      </c>
      <c r="S467" t="s">
        <v>40</v>
      </c>
      <c r="T467" t="s">
        <v>41</v>
      </c>
      <c r="U467" t="s">
        <v>39</v>
      </c>
      <c r="V467" t="s">
        <v>39</v>
      </c>
      <c r="W467" t="s">
        <v>40</v>
      </c>
      <c r="AB467" t="s">
        <v>4828</v>
      </c>
      <c r="AC467" t="s">
        <v>4829</v>
      </c>
    </row>
    <row r="468" spans="1:31" x14ac:dyDescent="0.2">
      <c r="A468">
        <v>42367281</v>
      </c>
      <c r="B468" t="s">
        <v>4830</v>
      </c>
      <c r="C468" t="s">
        <v>4831</v>
      </c>
      <c r="D468" t="s">
        <v>3505</v>
      </c>
      <c r="E468" s="9">
        <v>45524</v>
      </c>
      <c r="F468" s="9">
        <v>45645</v>
      </c>
      <c r="G468" t="s">
        <v>45</v>
      </c>
      <c r="H468" t="s">
        <v>46</v>
      </c>
      <c r="I468" t="s">
        <v>53</v>
      </c>
      <c r="J468" t="s">
        <v>69</v>
      </c>
      <c r="K468" t="s">
        <v>48</v>
      </c>
      <c r="L468" t="s">
        <v>37</v>
      </c>
      <c r="M468" t="s">
        <v>50</v>
      </c>
      <c r="O468" t="s">
        <v>39</v>
      </c>
      <c r="P468" t="s">
        <v>39</v>
      </c>
      <c r="Q468" t="s">
        <v>39</v>
      </c>
      <c r="R468" t="s">
        <v>41</v>
      </c>
      <c r="S468" t="s">
        <v>40</v>
      </c>
      <c r="T468" t="s">
        <v>41</v>
      </c>
      <c r="U468" t="s">
        <v>39</v>
      </c>
      <c r="V468" t="s">
        <v>39</v>
      </c>
      <c r="W468" t="s">
        <v>40</v>
      </c>
      <c r="AB468" t="s">
        <v>4832</v>
      </c>
      <c r="AC468" t="s">
        <v>4833</v>
      </c>
    </row>
    <row r="469" spans="1:31" x14ac:dyDescent="0.2">
      <c r="A469">
        <v>42368072</v>
      </c>
      <c r="B469" t="s">
        <v>4834</v>
      </c>
      <c r="C469" t="s">
        <v>4835</v>
      </c>
      <c r="D469" t="s">
        <v>3505</v>
      </c>
      <c r="E469" s="9">
        <v>45524</v>
      </c>
      <c r="F469" s="9">
        <v>45630</v>
      </c>
      <c r="G469" t="s">
        <v>45</v>
      </c>
      <c r="H469" t="s">
        <v>46</v>
      </c>
      <c r="I469" t="s">
        <v>53</v>
      </c>
      <c r="J469" t="s">
        <v>54</v>
      </c>
      <c r="K469" t="s">
        <v>36</v>
      </c>
      <c r="L469" t="s">
        <v>49</v>
      </c>
      <c r="M469" t="s">
        <v>50</v>
      </c>
      <c r="O469" t="s">
        <v>39</v>
      </c>
      <c r="P469" t="s">
        <v>39</v>
      </c>
      <c r="Q469" t="s">
        <v>39</v>
      </c>
      <c r="R469" t="s">
        <v>41</v>
      </c>
      <c r="S469" t="s">
        <v>40</v>
      </c>
      <c r="T469" t="s">
        <v>41</v>
      </c>
      <c r="U469" t="s">
        <v>39</v>
      </c>
      <c r="V469" t="s">
        <v>39</v>
      </c>
      <c r="W469" t="s">
        <v>40</v>
      </c>
      <c r="AB469" t="s">
        <v>4836</v>
      </c>
      <c r="AC469" t="s">
        <v>4837</v>
      </c>
      <c r="AD469" t="s">
        <v>4838</v>
      </c>
    </row>
    <row r="470" spans="1:31" x14ac:dyDescent="0.2">
      <c r="A470">
        <v>42500972</v>
      </c>
      <c r="B470" t="s">
        <v>4839</v>
      </c>
      <c r="C470" t="s">
        <v>4578</v>
      </c>
      <c r="D470" t="s">
        <v>3505</v>
      </c>
      <c r="E470" s="9">
        <v>45540</v>
      </c>
      <c r="F470" s="9">
        <v>45553</v>
      </c>
      <c r="G470" t="s">
        <v>45</v>
      </c>
      <c r="H470" t="s">
        <v>53</v>
      </c>
      <c r="I470" t="s">
        <v>46</v>
      </c>
      <c r="J470" t="s">
        <v>123</v>
      </c>
      <c r="K470" t="s">
        <v>48</v>
      </c>
      <c r="L470" t="s">
        <v>49</v>
      </c>
      <c r="M470" t="s">
        <v>50</v>
      </c>
      <c r="O470" t="s">
        <v>39</v>
      </c>
      <c r="P470" t="s">
        <v>39</v>
      </c>
      <c r="Q470" t="s">
        <v>39</v>
      </c>
      <c r="R470" t="s">
        <v>41</v>
      </c>
      <c r="S470" t="s">
        <v>40</v>
      </c>
      <c r="T470" t="s">
        <v>41</v>
      </c>
      <c r="U470" t="s">
        <v>39</v>
      </c>
      <c r="V470" t="s">
        <v>39</v>
      </c>
      <c r="W470" t="s">
        <v>40</v>
      </c>
      <c r="AB470" t="s">
        <v>4840</v>
      </c>
      <c r="AC470" t="s">
        <v>4841</v>
      </c>
      <c r="AD470" t="s">
        <v>4842</v>
      </c>
    </row>
    <row r="471" spans="1:31" x14ac:dyDescent="0.2">
      <c r="A471">
        <v>42500973</v>
      </c>
      <c r="B471" t="s">
        <v>4843</v>
      </c>
      <c r="C471" t="s">
        <v>4844</v>
      </c>
      <c r="D471" t="s">
        <v>3505</v>
      </c>
      <c r="E471" s="9">
        <v>45540</v>
      </c>
      <c r="F471" s="9">
        <v>45724</v>
      </c>
      <c r="G471" t="s">
        <v>45</v>
      </c>
      <c r="H471" t="s">
        <v>46</v>
      </c>
      <c r="I471" t="s">
        <v>53</v>
      </c>
      <c r="J471" t="s">
        <v>154</v>
      </c>
      <c r="K471" t="s">
        <v>48</v>
      </c>
      <c r="L471" t="s">
        <v>37</v>
      </c>
      <c r="M471" t="s">
        <v>50</v>
      </c>
      <c r="O471" t="s">
        <v>39</v>
      </c>
      <c r="P471" t="s">
        <v>39</v>
      </c>
      <c r="Q471" t="s">
        <v>39</v>
      </c>
      <c r="R471" t="s">
        <v>41</v>
      </c>
      <c r="S471" t="s">
        <v>40</v>
      </c>
      <c r="T471" t="s">
        <v>41</v>
      </c>
      <c r="U471" t="s">
        <v>39</v>
      </c>
      <c r="V471" t="s">
        <v>39</v>
      </c>
      <c r="W471" t="s">
        <v>40</v>
      </c>
      <c r="AB471" t="s">
        <v>4845</v>
      </c>
      <c r="AC471" t="s">
        <v>4846</v>
      </c>
      <c r="AD471" t="s">
        <v>4847</v>
      </c>
    </row>
    <row r="472" spans="1:31" x14ac:dyDescent="0.2">
      <c r="A472">
        <v>42618029</v>
      </c>
      <c r="B472" t="s">
        <v>4848</v>
      </c>
      <c r="C472" t="s">
        <v>4849</v>
      </c>
      <c r="D472" t="s">
        <v>3505</v>
      </c>
      <c r="E472" s="9">
        <v>45553</v>
      </c>
      <c r="F472" s="9">
        <v>45826</v>
      </c>
      <c r="G472" t="s">
        <v>45</v>
      </c>
      <c r="H472" t="s">
        <v>90</v>
      </c>
      <c r="J472" t="s">
        <v>47</v>
      </c>
      <c r="K472" t="s">
        <v>48</v>
      </c>
      <c r="L472" t="s">
        <v>49</v>
      </c>
      <c r="M472" t="s">
        <v>50</v>
      </c>
      <c r="O472" t="s">
        <v>39</v>
      </c>
      <c r="P472" t="s">
        <v>39</v>
      </c>
      <c r="Q472" t="s">
        <v>39</v>
      </c>
      <c r="R472" t="s">
        <v>41</v>
      </c>
      <c r="S472" t="s">
        <v>40</v>
      </c>
      <c r="T472" t="s">
        <v>41</v>
      </c>
      <c r="U472" t="s">
        <v>39</v>
      </c>
      <c r="V472" t="s">
        <v>39</v>
      </c>
      <c r="W472" t="s">
        <v>40</v>
      </c>
      <c r="X472" t="s">
        <v>4850</v>
      </c>
      <c r="AB472" t="s">
        <v>4851</v>
      </c>
      <c r="AC472" t="s">
        <v>4852</v>
      </c>
      <c r="AD472" t="s">
        <v>4853</v>
      </c>
    </row>
    <row r="473" spans="1:31" x14ac:dyDescent="0.2">
      <c r="A473">
        <v>42617856</v>
      </c>
      <c r="B473" t="s">
        <v>4854</v>
      </c>
      <c r="C473" t="s">
        <v>4855</v>
      </c>
      <c r="D473" t="s">
        <v>3505</v>
      </c>
      <c r="E473" s="9">
        <v>45553</v>
      </c>
      <c r="F473" s="9">
        <v>45603</v>
      </c>
      <c r="G473" t="s">
        <v>45</v>
      </c>
      <c r="H473" t="s">
        <v>429</v>
      </c>
      <c r="J473" t="s">
        <v>69</v>
      </c>
      <c r="K473" t="s">
        <v>36</v>
      </c>
      <c r="L473" t="s">
        <v>49</v>
      </c>
      <c r="M473" t="s">
        <v>50</v>
      </c>
      <c r="O473" t="s">
        <v>39</v>
      </c>
      <c r="P473" t="s">
        <v>39</v>
      </c>
      <c r="Q473" t="s">
        <v>39</v>
      </c>
      <c r="R473" t="s">
        <v>41</v>
      </c>
      <c r="S473" t="s">
        <v>40</v>
      </c>
      <c r="T473" t="s">
        <v>41</v>
      </c>
      <c r="U473" t="s">
        <v>39</v>
      </c>
      <c r="V473" t="s">
        <v>39</v>
      </c>
      <c r="W473" t="s">
        <v>40</v>
      </c>
      <c r="AB473" t="s">
        <v>4856</v>
      </c>
      <c r="AC473" t="s">
        <v>4857</v>
      </c>
      <c r="AD473" t="s">
        <v>4858</v>
      </c>
    </row>
    <row r="474" spans="1:31" x14ac:dyDescent="0.2">
      <c r="A474">
        <v>42618033</v>
      </c>
      <c r="B474" t="s">
        <v>4859</v>
      </c>
      <c r="C474" t="s">
        <v>4860</v>
      </c>
      <c r="D474" t="s">
        <v>3505</v>
      </c>
      <c r="E474" s="9">
        <v>45553</v>
      </c>
      <c r="F474" s="9">
        <v>45574</v>
      </c>
      <c r="G474" t="s">
        <v>45</v>
      </c>
      <c r="H474" t="s">
        <v>252</v>
      </c>
      <c r="I474" t="s">
        <v>90</v>
      </c>
      <c r="J474" t="s">
        <v>254</v>
      </c>
      <c r="K474" t="s">
        <v>36</v>
      </c>
      <c r="L474" t="s">
        <v>37</v>
      </c>
      <c r="M474" t="s">
        <v>50</v>
      </c>
      <c r="O474" t="s">
        <v>39</v>
      </c>
      <c r="P474" t="s">
        <v>39</v>
      </c>
      <c r="Q474" t="s">
        <v>39</v>
      </c>
      <c r="R474" t="s">
        <v>41</v>
      </c>
      <c r="S474" t="s">
        <v>40</v>
      </c>
      <c r="T474" t="s">
        <v>41</v>
      </c>
      <c r="U474" t="s">
        <v>39</v>
      </c>
      <c r="V474" t="s">
        <v>39</v>
      </c>
      <c r="W474" t="s">
        <v>40</v>
      </c>
      <c r="AB474" t="s">
        <v>4861</v>
      </c>
      <c r="AC474" t="s">
        <v>4862</v>
      </c>
      <c r="AD474" t="s">
        <v>4863</v>
      </c>
    </row>
    <row r="475" spans="1:31" x14ac:dyDescent="0.2">
      <c r="A475">
        <v>42618045</v>
      </c>
      <c r="B475" t="s">
        <v>4864</v>
      </c>
      <c r="C475" t="s">
        <v>4865</v>
      </c>
      <c r="D475" t="s">
        <v>3505</v>
      </c>
      <c r="E475" s="9">
        <v>45553</v>
      </c>
      <c r="F475" s="9">
        <v>45590</v>
      </c>
      <c r="G475" t="s">
        <v>45</v>
      </c>
      <c r="H475" t="s">
        <v>252</v>
      </c>
      <c r="I475" t="s">
        <v>90</v>
      </c>
      <c r="J475" t="s">
        <v>254</v>
      </c>
      <c r="K475" t="s">
        <v>48</v>
      </c>
      <c r="L475" t="s">
        <v>37</v>
      </c>
      <c r="M475" t="s">
        <v>50</v>
      </c>
      <c r="O475" t="s">
        <v>39</v>
      </c>
      <c r="P475" t="s">
        <v>39</v>
      </c>
      <c r="Q475" t="s">
        <v>39</v>
      </c>
      <c r="R475" t="s">
        <v>41</v>
      </c>
      <c r="S475" t="s">
        <v>40</v>
      </c>
      <c r="T475" t="s">
        <v>41</v>
      </c>
      <c r="U475" t="s">
        <v>39</v>
      </c>
      <c r="V475" t="s">
        <v>39</v>
      </c>
      <c r="W475" t="s">
        <v>40</v>
      </c>
      <c r="AB475" t="s">
        <v>4866</v>
      </c>
      <c r="AC475" t="s">
        <v>4867</v>
      </c>
      <c r="AD475" t="s">
        <v>4868</v>
      </c>
      <c r="AE475" t="s">
        <v>4869</v>
      </c>
    </row>
    <row r="476" spans="1:31" x14ac:dyDescent="0.2">
      <c r="A476">
        <v>42617820</v>
      </c>
      <c r="B476" t="s">
        <v>4870</v>
      </c>
      <c r="C476" t="s">
        <v>4871</v>
      </c>
      <c r="D476" t="s">
        <v>3505</v>
      </c>
      <c r="E476" s="9">
        <v>45553</v>
      </c>
      <c r="F476" s="9">
        <v>45590</v>
      </c>
      <c r="G476" t="s">
        <v>45</v>
      </c>
      <c r="H476" t="s">
        <v>59</v>
      </c>
      <c r="I476" t="s">
        <v>53</v>
      </c>
      <c r="J476" t="s">
        <v>2230</v>
      </c>
      <c r="K476" t="s">
        <v>48</v>
      </c>
      <c r="L476" t="s">
        <v>49</v>
      </c>
      <c r="M476" t="s">
        <v>50</v>
      </c>
      <c r="O476" t="s">
        <v>39</v>
      </c>
      <c r="P476" t="s">
        <v>39</v>
      </c>
      <c r="Q476" t="s">
        <v>39</v>
      </c>
      <c r="R476" t="s">
        <v>39</v>
      </c>
      <c r="S476" t="s">
        <v>40</v>
      </c>
      <c r="T476" t="s">
        <v>41</v>
      </c>
      <c r="U476" t="s">
        <v>39</v>
      </c>
      <c r="V476" t="s">
        <v>39</v>
      </c>
      <c r="W476" t="s">
        <v>40</v>
      </c>
      <c r="AB476" t="s">
        <v>4872</v>
      </c>
      <c r="AC476" t="s">
        <v>4873</v>
      </c>
      <c r="AD476" t="s">
        <v>4874</v>
      </c>
    </row>
    <row r="477" spans="1:31" x14ac:dyDescent="0.2">
      <c r="A477">
        <v>42618024</v>
      </c>
      <c r="B477" t="s">
        <v>4875</v>
      </c>
      <c r="C477" t="s">
        <v>4876</v>
      </c>
      <c r="D477" t="s">
        <v>3505</v>
      </c>
      <c r="E477" s="9">
        <v>45553</v>
      </c>
      <c r="F477" s="9">
        <v>45860</v>
      </c>
      <c r="G477" t="s">
        <v>45</v>
      </c>
      <c r="H477" t="s">
        <v>46</v>
      </c>
      <c r="J477" t="s">
        <v>47</v>
      </c>
      <c r="K477" t="s">
        <v>36</v>
      </c>
      <c r="L477" t="s">
        <v>49</v>
      </c>
      <c r="M477" t="s">
        <v>50</v>
      </c>
      <c r="O477" t="s">
        <v>39</v>
      </c>
      <c r="P477" t="s">
        <v>39</v>
      </c>
      <c r="Q477" t="s">
        <v>39</v>
      </c>
      <c r="R477" t="s">
        <v>41</v>
      </c>
      <c r="S477" t="s">
        <v>40</v>
      </c>
      <c r="T477" t="s">
        <v>41</v>
      </c>
      <c r="U477" t="s">
        <v>39</v>
      </c>
      <c r="V477" t="s">
        <v>39</v>
      </c>
      <c r="W477" t="s">
        <v>41</v>
      </c>
      <c r="X477" t="s">
        <v>4877</v>
      </c>
      <c r="AB477" t="s">
        <v>4878</v>
      </c>
      <c r="AC477" t="s">
        <v>4879</v>
      </c>
      <c r="AD477" t="s">
        <v>4880</v>
      </c>
    </row>
    <row r="478" spans="1:31" x14ac:dyDescent="0.2">
      <c r="A478">
        <v>42617807</v>
      </c>
      <c r="B478" t="s">
        <v>4881</v>
      </c>
      <c r="C478" t="s">
        <v>4882</v>
      </c>
      <c r="D478" t="s">
        <v>3505</v>
      </c>
      <c r="E478" s="9">
        <v>45553</v>
      </c>
      <c r="F478" s="9">
        <v>45574</v>
      </c>
      <c r="G478" t="s">
        <v>45</v>
      </c>
      <c r="H478" t="s">
        <v>89</v>
      </c>
      <c r="I478" t="s">
        <v>90</v>
      </c>
      <c r="J478" t="s">
        <v>54</v>
      </c>
      <c r="K478" t="s">
        <v>36</v>
      </c>
      <c r="L478" t="s">
        <v>49</v>
      </c>
      <c r="M478" t="s">
        <v>50</v>
      </c>
      <c r="O478" t="s">
        <v>39</v>
      </c>
      <c r="P478" t="s">
        <v>39</v>
      </c>
      <c r="Q478" t="s">
        <v>39</v>
      </c>
      <c r="R478" t="s">
        <v>41</v>
      </c>
      <c r="S478" t="s">
        <v>40</v>
      </c>
      <c r="T478" t="s">
        <v>41</v>
      </c>
      <c r="U478" t="s">
        <v>39</v>
      </c>
      <c r="V478" t="s">
        <v>39</v>
      </c>
      <c r="W478" t="s">
        <v>40</v>
      </c>
      <c r="AB478" t="s">
        <v>4883</v>
      </c>
      <c r="AC478" t="s">
        <v>4884</v>
      </c>
      <c r="AD478" t="s">
        <v>4885</v>
      </c>
    </row>
    <row r="479" spans="1:31" x14ac:dyDescent="0.2">
      <c r="A479">
        <v>42622740</v>
      </c>
      <c r="B479" t="s">
        <v>4886</v>
      </c>
      <c r="C479" t="s">
        <v>4887</v>
      </c>
      <c r="D479" t="s">
        <v>3505</v>
      </c>
      <c r="E479" s="9">
        <v>45554</v>
      </c>
      <c r="F479" s="9">
        <v>45566</v>
      </c>
      <c r="G479" t="s">
        <v>45</v>
      </c>
      <c r="H479" t="s">
        <v>59</v>
      </c>
      <c r="J479" t="s">
        <v>112</v>
      </c>
      <c r="K479" t="s">
        <v>48</v>
      </c>
      <c r="L479" t="s">
        <v>49</v>
      </c>
      <c r="M479" t="s">
        <v>50</v>
      </c>
      <c r="O479" t="s">
        <v>39</v>
      </c>
      <c r="P479" t="s">
        <v>39</v>
      </c>
      <c r="Q479" t="s">
        <v>39</v>
      </c>
      <c r="R479" t="s">
        <v>41</v>
      </c>
      <c r="S479" t="s">
        <v>40</v>
      </c>
      <c r="T479" t="s">
        <v>41</v>
      </c>
      <c r="U479" t="s">
        <v>39</v>
      </c>
      <c r="V479" t="s">
        <v>39</v>
      </c>
      <c r="W479" t="s">
        <v>40</v>
      </c>
      <c r="AB479" t="s">
        <v>4888</v>
      </c>
      <c r="AC479" t="s">
        <v>4889</v>
      </c>
      <c r="AD479" t="s">
        <v>4890</v>
      </c>
    </row>
    <row r="480" spans="1:31" x14ac:dyDescent="0.2">
      <c r="A480">
        <v>42622745</v>
      </c>
      <c r="B480" t="s">
        <v>4891</v>
      </c>
      <c r="C480" t="s">
        <v>4892</v>
      </c>
      <c r="D480" t="s">
        <v>3505</v>
      </c>
      <c r="E480" s="9">
        <v>45554</v>
      </c>
      <c r="F480" s="9">
        <v>45678</v>
      </c>
      <c r="G480" t="s">
        <v>45</v>
      </c>
      <c r="H480" t="s">
        <v>105</v>
      </c>
      <c r="J480" t="s">
        <v>112</v>
      </c>
      <c r="K480" t="s">
        <v>48</v>
      </c>
      <c r="L480" t="s">
        <v>49</v>
      </c>
      <c r="M480" t="s">
        <v>50</v>
      </c>
      <c r="O480" t="s">
        <v>39</v>
      </c>
      <c r="P480" t="s">
        <v>39</v>
      </c>
      <c r="Q480" t="s">
        <v>39</v>
      </c>
      <c r="R480" t="s">
        <v>41</v>
      </c>
      <c r="S480" t="s">
        <v>40</v>
      </c>
      <c r="T480" t="s">
        <v>41</v>
      </c>
      <c r="U480" t="s">
        <v>39</v>
      </c>
      <c r="V480" t="s">
        <v>39</v>
      </c>
      <c r="W480" t="s">
        <v>40</v>
      </c>
      <c r="AB480" t="s">
        <v>4893</v>
      </c>
      <c r="AC480" t="s">
        <v>4894</v>
      </c>
      <c r="AD480" t="s">
        <v>4895</v>
      </c>
    </row>
    <row r="481" spans="1:31" x14ac:dyDescent="0.2">
      <c r="A481">
        <v>42622748</v>
      </c>
      <c r="B481" t="s">
        <v>4896</v>
      </c>
      <c r="C481" t="s">
        <v>4897</v>
      </c>
      <c r="D481" t="s">
        <v>3505</v>
      </c>
      <c r="E481" s="9">
        <v>45554</v>
      </c>
      <c r="F481" s="9">
        <v>45615</v>
      </c>
      <c r="G481" t="s">
        <v>45</v>
      </c>
      <c r="H481" t="s">
        <v>46</v>
      </c>
      <c r="J481" t="s">
        <v>307</v>
      </c>
      <c r="K481" t="s">
        <v>36</v>
      </c>
      <c r="L481" t="s">
        <v>49</v>
      </c>
      <c r="M481" t="s">
        <v>50</v>
      </c>
      <c r="O481" t="s">
        <v>39</v>
      </c>
      <c r="P481" t="s">
        <v>39</v>
      </c>
      <c r="Q481" t="s">
        <v>39</v>
      </c>
      <c r="R481" t="s">
        <v>41</v>
      </c>
      <c r="S481" t="s">
        <v>40</v>
      </c>
      <c r="T481" t="s">
        <v>41</v>
      </c>
      <c r="U481" t="s">
        <v>39</v>
      </c>
      <c r="V481" t="s">
        <v>39</v>
      </c>
      <c r="W481" t="s">
        <v>40</v>
      </c>
      <c r="AB481" t="s">
        <v>4898</v>
      </c>
      <c r="AC481" t="s">
        <v>4899</v>
      </c>
      <c r="AD481" t="s">
        <v>4900</v>
      </c>
    </row>
    <row r="482" spans="1:31" x14ac:dyDescent="0.2">
      <c r="A482">
        <v>42622790</v>
      </c>
      <c r="B482" t="s">
        <v>4901</v>
      </c>
      <c r="C482" t="s">
        <v>4902</v>
      </c>
      <c r="D482" t="s">
        <v>3505</v>
      </c>
      <c r="E482" s="9">
        <v>45554</v>
      </c>
      <c r="F482" s="9">
        <v>45761</v>
      </c>
      <c r="G482" t="s">
        <v>45</v>
      </c>
      <c r="H482" t="s">
        <v>53</v>
      </c>
      <c r="I482" t="s">
        <v>46</v>
      </c>
      <c r="J482" t="s">
        <v>154</v>
      </c>
      <c r="K482" t="s">
        <v>36</v>
      </c>
      <c r="L482" t="s">
        <v>49</v>
      </c>
      <c r="M482" t="s">
        <v>50</v>
      </c>
      <c r="O482" t="s">
        <v>39</v>
      </c>
      <c r="P482" t="s">
        <v>39</v>
      </c>
      <c r="Q482" t="s">
        <v>39</v>
      </c>
      <c r="R482" t="s">
        <v>41</v>
      </c>
      <c r="S482" t="s">
        <v>40</v>
      </c>
      <c r="T482" t="s">
        <v>41</v>
      </c>
      <c r="U482" t="s">
        <v>39</v>
      </c>
      <c r="V482" t="s">
        <v>39</v>
      </c>
      <c r="W482" t="s">
        <v>40</v>
      </c>
      <c r="AB482" t="s">
        <v>4903</v>
      </c>
      <c r="AC482" t="s">
        <v>4904</v>
      </c>
      <c r="AD482" t="s">
        <v>4905</v>
      </c>
    </row>
    <row r="483" spans="1:31" x14ac:dyDescent="0.2">
      <c r="A483">
        <v>42622798</v>
      </c>
      <c r="B483" t="s">
        <v>4906</v>
      </c>
      <c r="C483" t="s">
        <v>3934</v>
      </c>
      <c r="D483" t="s">
        <v>3505</v>
      </c>
      <c r="E483" s="9">
        <v>45554</v>
      </c>
      <c r="F483" s="9">
        <v>45566</v>
      </c>
      <c r="G483" t="s">
        <v>45</v>
      </c>
      <c r="H483" t="s">
        <v>46</v>
      </c>
      <c r="I483" t="s">
        <v>53</v>
      </c>
      <c r="J483" t="s">
        <v>154</v>
      </c>
      <c r="K483" t="s">
        <v>36</v>
      </c>
      <c r="L483" t="s">
        <v>49</v>
      </c>
      <c r="M483" t="s">
        <v>50</v>
      </c>
      <c r="O483" t="s">
        <v>39</v>
      </c>
      <c r="P483" t="s">
        <v>39</v>
      </c>
      <c r="Q483" t="s">
        <v>39</v>
      </c>
      <c r="R483" t="s">
        <v>41</v>
      </c>
      <c r="S483" t="s">
        <v>40</v>
      </c>
      <c r="T483" t="s">
        <v>41</v>
      </c>
      <c r="U483" t="s">
        <v>39</v>
      </c>
      <c r="V483" t="s">
        <v>39</v>
      </c>
      <c r="W483" t="s">
        <v>40</v>
      </c>
      <c r="AB483" t="s">
        <v>4907</v>
      </c>
      <c r="AC483" t="s">
        <v>4908</v>
      </c>
      <c r="AD483" t="s">
        <v>4909</v>
      </c>
    </row>
    <row r="484" spans="1:31" x14ac:dyDescent="0.2">
      <c r="A484">
        <v>42622771</v>
      </c>
      <c r="B484" t="s">
        <v>4910</v>
      </c>
      <c r="C484" t="s">
        <v>4911</v>
      </c>
      <c r="D484" t="s">
        <v>3505</v>
      </c>
      <c r="E484" s="9">
        <v>45554</v>
      </c>
      <c r="F484" s="9">
        <v>45678</v>
      </c>
      <c r="G484" t="s">
        <v>45</v>
      </c>
      <c r="H484" t="s">
        <v>46</v>
      </c>
      <c r="I484" t="s">
        <v>53</v>
      </c>
      <c r="J484" t="s">
        <v>60</v>
      </c>
      <c r="K484" t="s">
        <v>36</v>
      </c>
      <c r="L484" t="s">
        <v>49</v>
      </c>
      <c r="M484" t="s">
        <v>50</v>
      </c>
      <c r="O484" t="s">
        <v>39</v>
      </c>
      <c r="P484" t="s">
        <v>39</v>
      </c>
      <c r="Q484" t="s">
        <v>39</v>
      </c>
      <c r="R484" t="s">
        <v>41</v>
      </c>
      <c r="S484" t="s">
        <v>40</v>
      </c>
      <c r="T484" t="s">
        <v>41</v>
      </c>
      <c r="U484" t="s">
        <v>39</v>
      </c>
      <c r="V484" t="s">
        <v>39</v>
      </c>
      <c r="W484" t="s">
        <v>40</v>
      </c>
      <c r="AB484" t="s">
        <v>4912</v>
      </c>
      <c r="AC484" t="s">
        <v>4913</v>
      </c>
      <c r="AD484" t="s">
        <v>4914</v>
      </c>
    </row>
    <row r="485" spans="1:31" x14ac:dyDescent="0.2">
      <c r="A485">
        <v>42622813</v>
      </c>
      <c r="B485" t="s">
        <v>4915</v>
      </c>
      <c r="C485" t="s">
        <v>4916</v>
      </c>
      <c r="D485" t="s">
        <v>3505</v>
      </c>
      <c r="E485" s="9">
        <v>45554</v>
      </c>
      <c r="F485" s="9">
        <v>45678</v>
      </c>
      <c r="G485" t="s">
        <v>45</v>
      </c>
      <c r="H485" t="s">
        <v>53</v>
      </c>
      <c r="I485" t="s">
        <v>59</v>
      </c>
      <c r="J485" t="s">
        <v>54</v>
      </c>
      <c r="K485" t="s">
        <v>48</v>
      </c>
      <c r="L485" t="s">
        <v>49</v>
      </c>
      <c r="M485" t="s">
        <v>50</v>
      </c>
      <c r="O485" t="s">
        <v>39</v>
      </c>
      <c r="P485" t="s">
        <v>39</v>
      </c>
      <c r="Q485" t="s">
        <v>39</v>
      </c>
      <c r="R485" t="s">
        <v>41</v>
      </c>
      <c r="S485" t="s">
        <v>40</v>
      </c>
      <c r="T485" t="s">
        <v>41</v>
      </c>
      <c r="U485" t="s">
        <v>39</v>
      </c>
      <c r="V485" t="s">
        <v>39</v>
      </c>
      <c r="W485" t="s">
        <v>40</v>
      </c>
      <c r="AB485" t="s">
        <v>4917</v>
      </c>
      <c r="AC485" t="s">
        <v>4918</v>
      </c>
      <c r="AD485" t="s">
        <v>4919</v>
      </c>
    </row>
    <row r="486" spans="1:31" x14ac:dyDescent="0.2">
      <c r="A486">
        <v>42798731</v>
      </c>
      <c r="B486" t="s">
        <v>4920</v>
      </c>
      <c r="C486" t="s">
        <v>4921</v>
      </c>
      <c r="D486" t="s">
        <v>3505</v>
      </c>
      <c r="E486" s="9">
        <v>45574</v>
      </c>
      <c r="F486" s="9">
        <v>45769</v>
      </c>
      <c r="G486" t="s">
        <v>45</v>
      </c>
      <c r="H486" t="s">
        <v>80</v>
      </c>
      <c r="J486" t="s">
        <v>203</v>
      </c>
      <c r="K486" t="s">
        <v>48</v>
      </c>
      <c r="L486" t="s">
        <v>49</v>
      </c>
      <c r="M486" t="s">
        <v>74</v>
      </c>
      <c r="O486" t="s">
        <v>39</v>
      </c>
      <c r="P486" t="s">
        <v>39</v>
      </c>
      <c r="Q486" t="s">
        <v>39</v>
      </c>
      <c r="R486" t="s">
        <v>41</v>
      </c>
      <c r="S486" t="s">
        <v>40</v>
      </c>
      <c r="T486" t="s">
        <v>41</v>
      </c>
      <c r="U486" t="s">
        <v>39</v>
      </c>
      <c r="V486" t="s">
        <v>39</v>
      </c>
      <c r="W486" t="s">
        <v>40</v>
      </c>
      <c r="AB486" t="s">
        <v>4922</v>
      </c>
      <c r="AC486" t="s">
        <v>4923</v>
      </c>
      <c r="AD486" t="s">
        <v>4924</v>
      </c>
    </row>
    <row r="487" spans="1:31" x14ac:dyDescent="0.2">
      <c r="A487">
        <v>42799087</v>
      </c>
      <c r="B487" t="s">
        <v>4925</v>
      </c>
      <c r="C487" t="s">
        <v>4926</v>
      </c>
      <c r="D487" t="s">
        <v>3505</v>
      </c>
      <c r="E487" s="9">
        <v>45574</v>
      </c>
      <c r="F487" s="9">
        <v>45590</v>
      </c>
      <c r="G487" t="s">
        <v>45</v>
      </c>
      <c r="H487" t="s">
        <v>2312</v>
      </c>
      <c r="I487" t="s">
        <v>90</v>
      </c>
      <c r="J487" t="s">
        <v>203</v>
      </c>
      <c r="K487" t="s">
        <v>36</v>
      </c>
      <c r="L487" t="s">
        <v>49</v>
      </c>
      <c r="M487" t="s">
        <v>50</v>
      </c>
      <c r="O487" t="s">
        <v>39</v>
      </c>
      <c r="P487" t="s">
        <v>41</v>
      </c>
      <c r="Q487" t="s">
        <v>39</v>
      </c>
      <c r="R487" t="s">
        <v>41</v>
      </c>
      <c r="S487" t="s">
        <v>40</v>
      </c>
      <c r="T487" t="s">
        <v>41</v>
      </c>
      <c r="U487" t="s">
        <v>39</v>
      </c>
      <c r="V487" t="s">
        <v>39</v>
      </c>
      <c r="W487" t="s">
        <v>40</v>
      </c>
      <c r="AB487" t="s">
        <v>4927</v>
      </c>
      <c r="AC487" t="s">
        <v>4928</v>
      </c>
      <c r="AD487" t="s">
        <v>4929</v>
      </c>
    </row>
    <row r="488" spans="1:31" x14ac:dyDescent="0.2">
      <c r="A488">
        <v>42798650</v>
      </c>
      <c r="B488" t="s">
        <v>4930</v>
      </c>
      <c r="C488" t="s">
        <v>4931</v>
      </c>
      <c r="D488" t="s">
        <v>3505</v>
      </c>
      <c r="E488" s="9">
        <v>45574</v>
      </c>
      <c r="F488" s="9">
        <v>45645</v>
      </c>
      <c r="G488" t="s">
        <v>45</v>
      </c>
      <c r="H488" t="s">
        <v>68</v>
      </c>
      <c r="I488" t="s">
        <v>53</v>
      </c>
      <c r="J488" t="s">
        <v>112</v>
      </c>
      <c r="K488" t="s">
        <v>48</v>
      </c>
      <c r="L488" t="s">
        <v>49</v>
      </c>
      <c r="M488" t="s">
        <v>50</v>
      </c>
      <c r="O488" t="s">
        <v>39</v>
      </c>
      <c r="P488" t="s">
        <v>39</v>
      </c>
      <c r="Q488" t="s">
        <v>39</v>
      </c>
      <c r="R488" t="s">
        <v>41</v>
      </c>
      <c r="S488" t="s">
        <v>40</v>
      </c>
      <c r="T488" t="s">
        <v>41</v>
      </c>
      <c r="U488" t="s">
        <v>39</v>
      </c>
      <c r="V488" t="s">
        <v>39</v>
      </c>
      <c r="W488" t="s">
        <v>40</v>
      </c>
      <c r="AB488" t="s">
        <v>4932</v>
      </c>
      <c r="AC488" t="s">
        <v>4933</v>
      </c>
      <c r="AD488" t="s">
        <v>4934</v>
      </c>
    </row>
    <row r="489" spans="1:31" x14ac:dyDescent="0.2">
      <c r="A489">
        <v>42799032</v>
      </c>
      <c r="B489" t="s">
        <v>4935</v>
      </c>
      <c r="C489" t="s">
        <v>4936</v>
      </c>
      <c r="D489" t="s">
        <v>3505</v>
      </c>
      <c r="E489" s="9">
        <v>45574</v>
      </c>
      <c r="F489" s="9">
        <v>45645</v>
      </c>
      <c r="G489" t="s">
        <v>45</v>
      </c>
      <c r="H489" t="s">
        <v>46</v>
      </c>
      <c r="I489" t="s">
        <v>53</v>
      </c>
      <c r="J489" t="s">
        <v>138</v>
      </c>
      <c r="K489" t="s">
        <v>48</v>
      </c>
      <c r="L489" t="s">
        <v>37</v>
      </c>
      <c r="M489" t="s">
        <v>50</v>
      </c>
      <c r="O489" t="s">
        <v>39</v>
      </c>
      <c r="P489" t="s">
        <v>39</v>
      </c>
      <c r="Q489" t="s">
        <v>39</v>
      </c>
      <c r="R489" t="s">
        <v>41</v>
      </c>
      <c r="S489" t="s">
        <v>40</v>
      </c>
      <c r="T489" t="s">
        <v>41</v>
      </c>
      <c r="U489" t="s">
        <v>39</v>
      </c>
      <c r="V489" t="s">
        <v>39</v>
      </c>
      <c r="W489" t="s">
        <v>40</v>
      </c>
      <c r="AB489" t="s">
        <v>4937</v>
      </c>
      <c r="AC489" t="s">
        <v>4938</v>
      </c>
      <c r="AD489" t="s">
        <v>4939</v>
      </c>
    </row>
    <row r="490" spans="1:31" x14ac:dyDescent="0.2">
      <c r="A490">
        <v>42798152</v>
      </c>
      <c r="B490" t="s">
        <v>4940</v>
      </c>
      <c r="C490" t="s">
        <v>4941</v>
      </c>
      <c r="D490" t="s">
        <v>3505</v>
      </c>
      <c r="E490" s="9">
        <v>45574</v>
      </c>
      <c r="F490" s="9">
        <v>45590</v>
      </c>
      <c r="G490" t="s">
        <v>45</v>
      </c>
      <c r="H490" t="s">
        <v>96</v>
      </c>
      <c r="I490" t="s">
        <v>200</v>
      </c>
      <c r="J490" t="s">
        <v>254</v>
      </c>
      <c r="K490" t="s">
        <v>36</v>
      </c>
      <c r="L490" t="s">
        <v>386</v>
      </c>
      <c r="M490" t="s">
        <v>50</v>
      </c>
      <c r="O490" t="s">
        <v>39</v>
      </c>
      <c r="P490" t="s">
        <v>39</v>
      </c>
      <c r="Q490" t="s">
        <v>39</v>
      </c>
      <c r="R490" t="s">
        <v>41</v>
      </c>
      <c r="S490" t="s">
        <v>40</v>
      </c>
      <c r="T490" t="s">
        <v>41</v>
      </c>
      <c r="U490" t="s">
        <v>39</v>
      </c>
      <c r="V490" t="s">
        <v>39</v>
      </c>
      <c r="W490" t="s">
        <v>39</v>
      </c>
      <c r="AB490" t="s">
        <v>4942</v>
      </c>
      <c r="AC490" t="s">
        <v>4943</v>
      </c>
      <c r="AD490" t="s">
        <v>4944</v>
      </c>
    </row>
    <row r="491" spans="1:31" x14ac:dyDescent="0.2">
      <c r="A491">
        <v>42798415</v>
      </c>
      <c r="B491" t="s">
        <v>4945</v>
      </c>
      <c r="C491" t="s">
        <v>4946</v>
      </c>
      <c r="D491" t="s">
        <v>3505</v>
      </c>
      <c r="E491" s="9">
        <v>45574</v>
      </c>
      <c r="F491" s="9">
        <v>45590</v>
      </c>
      <c r="G491" t="s">
        <v>45</v>
      </c>
      <c r="H491" t="s">
        <v>96</v>
      </c>
      <c r="I491" t="s">
        <v>200</v>
      </c>
      <c r="J491" t="s">
        <v>254</v>
      </c>
      <c r="K491" t="s">
        <v>48</v>
      </c>
      <c r="L491" t="s">
        <v>386</v>
      </c>
      <c r="M491" t="s">
        <v>50</v>
      </c>
      <c r="O491" t="s">
        <v>39</v>
      </c>
      <c r="P491" t="s">
        <v>39</v>
      </c>
      <c r="Q491" t="s">
        <v>39</v>
      </c>
      <c r="R491" t="s">
        <v>41</v>
      </c>
      <c r="S491" t="s">
        <v>40</v>
      </c>
      <c r="T491" t="s">
        <v>41</v>
      </c>
      <c r="U491" t="s">
        <v>39</v>
      </c>
      <c r="V491" t="s">
        <v>39</v>
      </c>
      <c r="W491" t="s">
        <v>39</v>
      </c>
      <c r="AB491" t="s">
        <v>4947</v>
      </c>
      <c r="AC491" t="s">
        <v>4948</v>
      </c>
      <c r="AD491" t="s">
        <v>4949</v>
      </c>
    </row>
    <row r="492" spans="1:31" x14ac:dyDescent="0.2">
      <c r="A492">
        <v>42798783</v>
      </c>
      <c r="B492" t="s">
        <v>4950</v>
      </c>
      <c r="C492" t="s">
        <v>4170</v>
      </c>
      <c r="D492" t="s">
        <v>3505</v>
      </c>
      <c r="E492" s="9">
        <v>45574</v>
      </c>
      <c r="F492" s="9">
        <v>45603</v>
      </c>
      <c r="G492" t="s">
        <v>45</v>
      </c>
      <c r="H492" t="s">
        <v>80</v>
      </c>
      <c r="I492" t="s">
        <v>96</v>
      </c>
      <c r="J492" t="s">
        <v>112</v>
      </c>
      <c r="K492" t="s">
        <v>36</v>
      </c>
      <c r="L492" t="s">
        <v>49</v>
      </c>
      <c r="M492" t="s">
        <v>50</v>
      </c>
      <c r="O492" t="s">
        <v>39</v>
      </c>
      <c r="P492" t="s">
        <v>41</v>
      </c>
      <c r="Q492" t="s">
        <v>39</v>
      </c>
      <c r="R492" t="s">
        <v>41</v>
      </c>
      <c r="S492" t="s">
        <v>40</v>
      </c>
      <c r="T492" t="s">
        <v>41</v>
      </c>
      <c r="U492" t="s">
        <v>39</v>
      </c>
      <c r="V492" t="s">
        <v>39</v>
      </c>
      <c r="W492" t="s">
        <v>40</v>
      </c>
      <c r="AB492" t="s">
        <v>4951</v>
      </c>
      <c r="AC492" t="s">
        <v>4952</v>
      </c>
      <c r="AD492" t="s">
        <v>4953</v>
      </c>
    </row>
    <row r="493" spans="1:31" x14ac:dyDescent="0.2">
      <c r="A493">
        <v>42799061</v>
      </c>
      <c r="B493" t="s">
        <v>4954</v>
      </c>
      <c r="C493" t="s">
        <v>2476</v>
      </c>
      <c r="D493" t="s">
        <v>3505</v>
      </c>
      <c r="E493" s="9">
        <v>45574</v>
      </c>
      <c r="F493" s="9">
        <v>45761</v>
      </c>
      <c r="G493" t="s">
        <v>45</v>
      </c>
      <c r="H493" t="s">
        <v>253</v>
      </c>
      <c r="I493" t="s">
        <v>252</v>
      </c>
      <c r="J493" t="s">
        <v>254</v>
      </c>
      <c r="K493" t="s">
        <v>48</v>
      </c>
      <c r="L493" t="s">
        <v>37</v>
      </c>
      <c r="M493" t="s">
        <v>50</v>
      </c>
      <c r="O493" t="s">
        <v>39</v>
      </c>
      <c r="P493" t="s">
        <v>39</v>
      </c>
      <c r="Q493" t="s">
        <v>39</v>
      </c>
      <c r="R493" t="s">
        <v>41</v>
      </c>
      <c r="S493" t="s">
        <v>40</v>
      </c>
      <c r="T493" t="s">
        <v>41</v>
      </c>
      <c r="U493" t="s">
        <v>39</v>
      </c>
      <c r="V493" t="s">
        <v>39</v>
      </c>
      <c r="W493" t="s">
        <v>40</v>
      </c>
      <c r="AB493" t="s">
        <v>4955</v>
      </c>
      <c r="AC493" t="s">
        <v>4956</v>
      </c>
      <c r="AD493" t="s">
        <v>4957</v>
      </c>
    </row>
    <row r="494" spans="1:31" x14ac:dyDescent="0.2">
      <c r="A494">
        <v>42798475</v>
      </c>
      <c r="B494" t="s">
        <v>4958</v>
      </c>
      <c r="C494" t="s">
        <v>407</v>
      </c>
      <c r="D494" t="s">
        <v>3505</v>
      </c>
      <c r="E494" s="9">
        <v>45574</v>
      </c>
      <c r="F494" s="9">
        <v>45608</v>
      </c>
      <c r="G494" t="s">
        <v>45</v>
      </c>
      <c r="H494" t="s">
        <v>4959</v>
      </c>
      <c r="J494" t="s">
        <v>69</v>
      </c>
      <c r="K494" t="s">
        <v>48</v>
      </c>
      <c r="L494" t="s">
        <v>230</v>
      </c>
      <c r="M494" t="s">
        <v>74</v>
      </c>
      <c r="O494" t="s">
        <v>39</v>
      </c>
      <c r="P494" t="s">
        <v>39</v>
      </c>
      <c r="Q494" t="s">
        <v>39</v>
      </c>
      <c r="R494" t="s">
        <v>41</v>
      </c>
      <c r="S494" t="s">
        <v>40</v>
      </c>
      <c r="T494" t="s">
        <v>41</v>
      </c>
      <c r="U494" t="s">
        <v>39</v>
      </c>
      <c r="V494" t="s">
        <v>39</v>
      </c>
      <c r="W494" t="s">
        <v>40</v>
      </c>
      <c r="AB494" t="s">
        <v>4960</v>
      </c>
      <c r="AC494" t="s">
        <v>4961</v>
      </c>
      <c r="AD494" t="s">
        <v>4962</v>
      </c>
    </row>
    <row r="495" spans="1:31" x14ac:dyDescent="0.2">
      <c r="A495">
        <v>42798435</v>
      </c>
      <c r="B495" t="s">
        <v>51</v>
      </c>
      <c r="C495" t="s">
        <v>1953</v>
      </c>
      <c r="D495" t="s">
        <v>32</v>
      </c>
      <c r="E495" s="9">
        <v>45574</v>
      </c>
      <c r="F495" s="9">
        <v>45630</v>
      </c>
      <c r="G495" t="s">
        <v>45</v>
      </c>
      <c r="H495" t="s">
        <v>46</v>
      </c>
      <c r="I495" t="s">
        <v>53</v>
      </c>
      <c r="J495" t="s">
        <v>54</v>
      </c>
      <c r="K495" t="s">
        <v>48</v>
      </c>
      <c r="L495" t="s">
        <v>49</v>
      </c>
      <c r="M495" t="s">
        <v>50</v>
      </c>
      <c r="O495" t="s">
        <v>39</v>
      </c>
      <c r="P495" t="s">
        <v>39</v>
      </c>
      <c r="Q495" t="s">
        <v>39</v>
      </c>
      <c r="R495" t="s">
        <v>41</v>
      </c>
      <c r="S495" t="s">
        <v>40</v>
      </c>
      <c r="T495" t="s">
        <v>41</v>
      </c>
      <c r="U495" t="s">
        <v>39</v>
      </c>
      <c r="V495" t="s">
        <v>39</v>
      </c>
      <c r="W495" t="s">
        <v>40</v>
      </c>
      <c r="X495" t="s">
        <v>2178</v>
      </c>
      <c r="AB495" t="s">
        <v>2179</v>
      </c>
      <c r="AC495" t="s">
        <v>55</v>
      </c>
      <c r="AD495" t="s">
        <v>56</v>
      </c>
      <c r="AE495" t="s">
        <v>2180</v>
      </c>
    </row>
    <row r="496" spans="1:31" x14ac:dyDescent="0.2">
      <c r="A496">
        <v>42798482</v>
      </c>
      <c r="B496" t="s">
        <v>4963</v>
      </c>
      <c r="C496" t="s">
        <v>3564</v>
      </c>
      <c r="D496" t="s">
        <v>3505</v>
      </c>
      <c r="E496" s="9">
        <v>45574</v>
      </c>
      <c r="F496" s="9">
        <v>45630</v>
      </c>
      <c r="G496" t="s">
        <v>45</v>
      </c>
      <c r="H496" t="s">
        <v>80</v>
      </c>
      <c r="I496" t="s">
        <v>81</v>
      </c>
      <c r="J496" t="s">
        <v>286</v>
      </c>
      <c r="K496" t="s">
        <v>36</v>
      </c>
      <c r="L496" t="s">
        <v>49</v>
      </c>
      <c r="M496" t="s">
        <v>50</v>
      </c>
      <c r="O496" t="s">
        <v>39</v>
      </c>
      <c r="P496" t="s">
        <v>39</v>
      </c>
      <c r="Q496" t="s">
        <v>39</v>
      </c>
      <c r="R496" t="s">
        <v>41</v>
      </c>
      <c r="S496" t="s">
        <v>40</v>
      </c>
      <c r="T496" t="s">
        <v>41</v>
      </c>
      <c r="U496" t="s">
        <v>39</v>
      </c>
      <c r="V496" t="s">
        <v>39</v>
      </c>
      <c r="W496" t="s">
        <v>40</v>
      </c>
      <c r="AB496" t="s">
        <v>4964</v>
      </c>
      <c r="AC496" t="s">
        <v>4965</v>
      </c>
      <c r="AD496" t="s">
        <v>4966</v>
      </c>
    </row>
    <row r="497" spans="1:31" x14ac:dyDescent="0.2">
      <c r="A497">
        <v>42799034</v>
      </c>
      <c r="B497" t="s">
        <v>4967</v>
      </c>
      <c r="C497" t="s">
        <v>4968</v>
      </c>
      <c r="D497" t="s">
        <v>3505</v>
      </c>
      <c r="E497" s="9">
        <v>45574</v>
      </c>
      <c r="F497" s="9">
        <v>45761</v>
      </c>
      <c r="G497" t="s">
        <v>45</v>
      </c>
      <c r="H497" t="s">
        <v>53</v>
      </c>
      <c r="I497" t="s">
        <v>46</v>
      </c>
      <c r="J497" t="s">
        <v>112</v>
      </c>
      <c r="K497" t="s">
        <v>48</v>
      </c>
      <c r="L497" t="s">
        <v>49</v>
      </c>
      <c r="M497" t="s">
        <v>74</v>
      </c>
      <c r="O497" t="s">
        <v>39</v>
      </c>
      <c r="P497" t="s">
        <v>39</v>
      </c>
      <c r="Q497" t="s">
        <v>39</v>
      </c>
      <c r="R497" t="s">
        <v>41</v>
      </c>
      <c r="S497" t="s">
        <v>40</v>
      </c>
      <c r="T497" t="s">
        <v>41</v>
      </c>
      <c r="U497" t="s">
        <v>39</v>
      </c>
      <c r="V497" t="s">
        <v>39</v>
      </c>
      <c r="W497" t="s">
        <v>40</v>
      </c>
      <c r="AB497" t="s">
        <v>4969</v>
      </c>
      <c r="AC497" t="s">
        <v>4970</v>
      </c>
      <c r="AD497" t="s">
        <v>4971</v>
      </c>
    </row>
    <row r="498" spans="1:31" x14ac:dyDescent="0.2">
      <c r="A498">
        <v>42798642</v>
      </c>
      <c r="B498" t="s">
        <v>4972</v>
      </c>
      <c r="C498" t="s">
        <v>4973</v>
      </c>
      <c r="D498" t="s">
        <v>3505</v>
      </c>
      <c r="E498" s="9">
        <v>45574</v>
      </c>
      <c r="F498" s="9">
        <v>45615</v>
      </c>
      <c r="G498" t="s">
        <v>45</v>
      </c>
      <c r="H498" t="s">
        <v>4974</v>
      </c>
      <c r="I498" t="s">
        <v>4975</v>
      </c>
      <c r="J498" t="s">
        <v>54</v>
      </c>
      <c r="K498" t="s">
        <v>36</v>
      </c>
      <c r="L498" t="s">
        <v>49</v>
      </c>
      <c r="M498" t="s">
        <v>50</v>
      </c>
      <c r="O498" t="s">
        <v>39</v>
      </c>
      <c r="P498" t="s">
        <v>39</v>
      </c>
      <c r="Q498" t="s">
        <v>39</v>
      </c>
      <c r="R498" t="s">
        <v>41</v>
      </c>
      <c r="S498" t="s">
        <v>40</v>
      </c>
      <c r="T498" t="s">
        <v>41</v>
      </c>
      <c r="U498" t="s">
        <v>39</v>
      </c>
      <c r="V498" t="s">
        <v>39</v>
      </c>
      <c r="W498" t="s">
        <v>40</v>
      </c>
      <c r="AB498" t="s">
        <v>4976</v>
      </c>
      <c r="AC498" t="s">
        <v>4977</v>
      </c>
      <c r="AD498" t="s">
        <v>4978</v>
      </c>
    </row>
    <row r="499" spans="1:31" x14ac:dyDescent="0.2">
      <c r="A499">
        <v>42798777</v>
      </c>
      <c r="B499" t="s">
        <v>4979</v>
      </c>
      <c r="C499" t="s">
        <v>4980</v>
      </c>
      <c r="D499" t="s">
        <v>3505</v>
      </c>
      <c r="E499" s="9">
        <v>45574</v>
      </c>
      <c r="F499" s="9">
        <v>45839</v>
      </c>
      <c r="G499" t="s">
        <v>45</v>
      </c>
      <c r="H499" t="s">
        <v>4981</v>
      </c>
      <c r="J499" t="s">
        <v>342</v>
      </c>
      <c r="K499" t="s">
        <v>48</v>
      </c>
      <c r="L499" t="s">
        <v>49</v>
      </c>
      <c r="M499" t="s">
        <v>74</v>
      </c>
      <c r="O499" t="s">
        <v>39</v>
      </c>
      <c r="P499" t="s">
        <v>41</v>
      </c>
      <c r="Q499" t="s">
        <v>39</v>
      </c>
      <c r="R499" t="s">
        <v>41</v>
      </c>
      <c r="S499" t="s">
        <v>40</v>
      </c>
      <c r="T499" t="s">
        <v>41</v>
      </c>
      <c r="U499" t="s">
        <v>39</v>
      </c>
      <c r="V499" t="s">
        <v>39</v>
      </c>
      <c r="W499" t="s">
        <v>40</v>
      </c>
      <c r="AB499" t="s">
        <v>4982</v>
      </c>
      <c r="AC499" t="s">
        <v>4983</v>
      </c>
      <c r="AD499" t="s">
        <v>4984</v>
      </c>
    </row>
    <row r="500" spans="1:31" x14ac:dyDescent="0.2">
      <c r="A500">
        <v>42798849</v>
      </c>
      <c r="B500" t="s">
        <v>4985</v>
      </c>
      <c r="C500" t="s">
        <v>4986</v>
      </c>
      <c r="D500" t="s">
        <v>3505</v>
      </c>
      <c r="E500" s="9">
        <v>45574</v>
      </c>
      <c r="F500" s="9">
        <v>45615</v>
      </c>
      <c r="G500" t="s">
        <v>45</v>
      </c>
      <c r="H500" t="s">
        <v>96</v>
      </c>
      <c r="I500" t="s">
        <v>46</v>
      </c>
      <c r="J500" t="s">
        <v>138</v>
      </c>
      <c r="K500" t="s">
        <v>48</v>
      </c>
      <c r="L500" t="s">
        <v>37</v>
      </c>
      <c r="M500" t="s">
        <v>50</v>
      </c>
      <c r="O500" t="s">
        <v>39</v>
      </c>
      <c r="P500" t="s">
        <v>39</v>
      </c>
      <c r="Q500" t="s">
        <v>39</v>
      </c>
      <c r="R500" t="s">
        <v>41</v>
      </c>
      <c r="S500" t="s">
        <v>40</v>
      </c>
      <c r="T500" t="s">
        <v>41</v>
      </c>
      <c r="U500" t="s">
        <v>39</v>
      </c>
      <c r="V500" t="s">
        <v>39</v>
      </c>
      <c r="W500" t="s">
        <v>40</v>
      </c>
      <c r="AB500" t="s">
        <v>4987</v>
      </c>
      <c r="AC500" t="s">
        <v>4988</v>
      </c>
      <c r="AD500" t="s">
        <v>4989</v>
      </c>
    </row>
    <row r="501" spans="1:31" x14ac:dyDescent="0.2">
      <c r="A501">
        <v>42799059</v>
      </c>
      <c r="B501" t="s">
        <v>4990</v>
      </c>
      <c r="C501" t="s">
        <v>4991</v>
      </c>
      <c r="D501" t="s">
        <v>3505</v>
      </c>
      <c r="E501" s="9">
        <v>45574</v>
      </c>
      <c r="F501" s="9">
        <v>45886</v>
      </c>
      <c r="G501" t="s">
        <v>45</v>
      </c>
      <c r="H501" t="s">
        <v>90</v>
      </c>
      <c r="I501" t="s">
        <v>46</v>
      </c>
      <c r="J501" t="s">
        <v>154</v>
      </c>
      <c r="K501" t="s">
        <v>48</v>
      </c>
      <c r="L501" t="s">
        <v>49</v>
      </c>
      <c r="M501" t="s">
        <v>50</v>
      </c>
      <c r="O501" t="s">
        <v>39</v>
      </c>
      <c r="P501" t="s">
        <v>39</v>
      </c>
      <c r="Q501" t="s">
        <v>39</v>
      </c>
      <c r="R501" t="s">
        <v>41</v>
      </c>
      <c r="S501" t="s">
        <v>40</v>
      </c>
      <c r="T501" t="s">
        <v>41</v>
      </c>
      <c r="U501" t="s">
        <v>39</v>
      </c>
      <c r="V501" t="s">
        <v>39</v>
      </c>
      <c r="W501" t="s">
        <v>40</v>
      </c>
      <c r="AB501" t="s">
        <v>4992</v>
      </c>
      <c r="AC501" t="s">
        <v>4993</v>
      </c>
      <c r="AD501" t="s">
        <v>4994</v>
      </c>
    </row>
    <row r="502" spans="1:31" x14ac:dyDescent="0.2">
      <c r="A502">
        <v>42798417</v>
      </c>
      <c r="B502" t="s">
        <v>4995</v>
      </c>
      <c r="C502" t="s">
        <v>4996</v>
      </c>
      <c r="D502" t="s">
        <v>3505</v>
      </c>
      <c r="E502" s="9">
        <v>45574</v>
      </c>
      <c r="F502" s="9">
        <v>45603</v>
      </c>
      <c r="G502" t="s">
        <v>45</v>
      </c>
      <c r="H502" t="s">
        <v>96</v>
      </c>
      <c r="I502" t="s">
        <v>2312</v>
      </c>
      <c r="J502" t="s">
        <v>286</v>
      </c>
      <c r="K502" t="s">
        <v>36</v>
      </c>
      <c r="L502" t="s">
        <v>37</v>
      </c>
      <c r="M502" t="s">
        <v>50</v>
      </c>
      <c r="O502" t="s">
        <v>39</v>
      </c>
      <c r="P502" t="s">
        <v>39</v>
      </c>
      <c r="Q502" t="s">
        <v>39</v>
      </c>
      <c r="R502" t="s">
        <v>41</v>
      </c>
      <c r="S502" t="s">
        <v>40</v>
      </c>
      <c r="T502" t="s">
        <v>41</v>
      </c>
      <c r="U502" t="s">
        <v>39</v>
      </c>
      <c r="V502" t="s">
        <v>39</v>
      </c>
      <c r="W502" t="s">
        <v>40</v>
      </c>
      <c r="AB502" t="s">
        <v>4997</v>
      </c>
      <c r="AC502" t="s">
        <v>4998</v>
      </c>
      <c r="AD502" t="s">
        <v>4999</v>
      </c>
    </row>
    <row r="503" spans="1:31" x14ac:dyDescent="0.2">
      <c r="A503">
        <v>42799064</v>
      </c>
      <c r="B503" t="s">
        <v>5000</v>
      </c>
      <c r="C503" t="s">
        <v>5001</v>
      </c>
      <c r="D503" t="s">
        <v>3505</v>
      </c>
      <c r="E503" s="9">
        <v>45574</v>
      </c>
      <c r="F503" s="9">
        <v>45724</v>
      </c>
      <c r="G503" t="s">
        <v>45</v>
      </c>
      <c r="H503" t="s">
        <v>59</v>
      </c>
      <c r="I503" t="s">
        <v>53</v>
      </c>
      <c r="J503" t="s">
        <v>2230</v>
      </c>
      <c r="K503" t="s">
        <v>36</v>
      </c>
      <c r="L503" t="s">
        <v>49</v>
      </c>
      <c r="M503" t="s">
        <v>50</v>
      </c>
      <c r="O503" t="s">
        <v>39</v>
      </c>
      <c r="P503" t="s">
        <v>39</v>
      </c>
      <c r="Q503" t="s">
        <v>39</v>
      </c>
      <c r="R503" t="s">
        <v>41</v>
      </c>
      <c r="S503" t="s">
        <v>40</v>
      </c>
      <c r="T503" t="s">
        <v>41</v>
      </c>
      <c r="U503" t="s">
        <v>39</v>
      </c>
      <c r="V503" t="s">
        <v>39</v>
      </c>
      <c r="W503" t="s">
        <v>40</v>
      </c>
      <c r="AB503" t="s">
        <v>5002</v>
      </c>
      <c r="AC503" t="s">
        <v>5003</v>
      </c>
      <c r="AD503" t="s">
        <v>5004</v>
      </c>
      <c r="AE503" t="s">
        <v>5005</v>
      </c>
    </row>
    <row r="504" spans="1:31" x14ac:dyDescent="0.2">
      <c r="A504">
        <v>42938502</v>
      </c>
      <c r="B504" t="s">
        <v>5006</v>
      </c>
      <c r="C504" t="s">
        <v>5007</v>
      </c>
      <c r="D504" t="s">
        <v>3505</v>
      </c>
      <c r="E504" s="9">
        <v>45591</v>
      </c>
      <c r="F504" s="9">
        <v>45657</v>
      </c>
      <c r="G504" t="s">
        <v>45</v>
      </c>
      <c r="H504" t="s">
        <v>90</v>
      </c>
      <c r="I504" t="s">
        <v>1428</v>
      </c>
      <c r="J504" t="s">
        <v>60</v>
      </c>
      <c r="K504" t="s">
        <v>36</v>
      </c>
      <c r="L504" t="s">
        <v>49</v>
      </c>
      <c r="M504" t="s">
        <v>74</v>
      </c>
      <c r="O504" t="s">
        <v>39</v>
      </c>
      <c r="P504" t="s">
        <v>39</v>
      </c>
      <c r="Q504" t="s">
        <v>39</v>
      </c>
      <c r="R504" t="s">
        <v>41</v>
      </c>
      <c r="S504" t="s">
        <v>40</v>
      </c>
      <c r="T504" t="s">
        <v>41</v>
      </c>
      <c r="U504" t="s">
        <v>39</v>
      </c>
      <c r="V504" t="s">
        <v>39</v>
      </c>
      <c r="W504" t="s">
        <v>40</v>
      </c>
      <c r="AB504" t="s">
        <v>5008</v>
      </c>
      <c r="AC504" t="s">
        <v>5009</v>
      </c>
    </row>
    <row r="505" spans="1:31" x14ac:dyDescent="0.2">
      <c r="A505">
        <v>42938376</v>
      </c>
      <c r="B505" t="s">
        <v>5010</v>
      </c>
      <c r="C505" t="s">
        <v>5011</v>
      </c>
      <c r="D505" t="s">
        <v>3505</v>
      </c>
      <c r="E505" s="9">
        <v>45591</v>
      </c>
      <c r="F505" s="9">
        <v>45603</v>
      </c>
      <c r="G505" t="s">
        <v>45</v>
      </c>
      <c r="H505" t="s">
        <v>46</v>
      </c>
      <c r="I505" t="s">
        <v>53</v>
      </c>
      <c r="J505" t="s">
        <v>286</v>
      </c>
      <c r="K505" t="s">
        <v>48</v>
      </c>
      <c r="L505" t="s">
        <v>386</v>
      </c>
      <c r="M505" t="s">
        <v>50</v>
      </c>
      <c r="O505" t="s">
        <v>39</v>
      </c>
      <c r="P505" t="s">
        <v>39</v>
      </c>
      <c r="Q505" t="s">
        <v>39</v>
      </c>
      <c r="R505" t="s">
        <v>41</v>
      </c>
      <c r="S505" t="s">
        <v>40</v>
      </c>
      <c r="T505" t="s">
        <v>41</v>
      </c>
      <c r="U505" t="s">
        <v>39</v>
      </c>
      <c r="V505" t="s">
        <v>39</v>
      </c>
      <c r="W505" t="s">
        <v>39</v>
      </c>
      <c r="AB505" t="s">
        <v>5012</v>
      </c>
    </row>
    <row r="506" spans="1:31" x14ac:dyDescent="0.2">
      <c r="A506">
        <v>42939023</v>
      </c>
      <c r="B506" t="s">
        <v>5013</v>
      </c>
      <c r="C506" t="s">
        <v>5014</v>
      </c>
      <c r="D506" t="s">
        <v>3505</v>
      </c>
      <c r="E506" s="9">
        <v>45591</v>
      </c>
      <c r="F506" s="9">
        <v>45688</v>
      </c>
      <c r="G506" t="s">
        <v>45</v>
      </c>
      <c r="H506" t="s">
        <v>46</v>
      </c>
      <c r="I506" t="s">
        <v>53</v>
      </c>
      <c r="J506" t="s">
        <v>123</v>
      </c>
      <c r="K506" t="s">
        <v>48</v>
      </c>
      <c r="L506" t="s">
        <v>49</v>
      </c>
      <c r="M506" t="s">
        <v>74</v>
      </c>
      <c r="O506" t="s">
        <v>39</v>
      </c>
      <c r="P506" t="s">
        <v>39</v>
      </c>
      <c r="Q506" t="s">
        <v>39</v>
      </c>
      <c r="R506" t="s">
        <v>41</v>
      </c>
      <c r="S506" t="s">
        <v>40</v>
      </c>
      <c r="T506" t="s">
        <v>41</v>
      </c>
      <c r="U506" t="s">
        <v>39</v>
      </c>
      <c r="V506" t="s">
        <v>39</v>
      </c>
      <c r="W506" t="s">
        <v>40</v>
      </c>
      <c r="AB506" t="s">
        <v>5015</v>
      </c>
      <c r="AC506" t="s">
        <v>5016</v>
      </c>
    </row>
    <row r="507" spans="1:31" x14ac:dyDescent="0.2">
      <c r="A507">
        <v>42938493</v>
      </c>
      <c r="B507" t="s">
        <v>5017</v>
      </c>
      <c r="C507" t="s">
        <v>5018</v>
      </c>
      <c r="D507" t="s">
        <v>3505</v>
      </c>
      <c r="E507" s="9">
        <v>45591</v>
      </c>
      <c r="F507" s="9">
        <v>45603</v>
      </c>
      <c r="G507" t="s">
        <v>45</v>
      </c>
      <c r="H507" t="s">
        <v>46</v>
      </c>
      <c r="I507" t="s">
        <v>53</v>
      </c>
      <c r="J507" t="s">
        <v>54</v>
      </c>
      <c r="K507" t="s">
        <v>36</v>
      </c>
      <c r="L507" t="s">
        <v>386</v>
      </c>
      <c r="M507" t="s">
        <v>50</v>
      </c>
      <c r="O507" t="s">
        <v>39</v>
      </c>
      <c r="P507" t="s">
        <v>39</v>
      </c>
      <c r="Q507" t="s">
        <v>39</v>
      </c>
      <c r="R507" t="s">
        <v>41</v>
      </c>
      <c r="S507" t="s">
        <v>40</v>
      </c>
      <c r="T507" t="s">
        <v>41</v>
      </c>
      <c r="U507" t="s">
        <v>39</v>
      </c>
      <c r="V507" t="s">
        <v>39</v>
      </c>
      <c r="W507" t="s">
        <v>39</v>
      </c>
      <c r="AB507" t="s">
        <v>5019</v>
      </c>
    </row>
    <row r="508" spans="1:31" x14ac:dyDescent="0.2">
      <c r="A508">
        <v>42938868</v>
      </c>
      <c r="B508" t="s">
        <v>57</v>
      </c>
      <c r="C508" t="s">
        <v>58</v>
      </c>
      <c r="D508" t="s">
        <v>32</v>
      </c>
      <c r="E508" s="9">
        <v>45591</v>
      </c>
      <c r="G508" t="s">
        <v>45</v>
      </c>
      <c r="H508" t="s">
        <v>46</v>
      </c>
      <c r="I508" t="s">
        <v>59</v>
      </c>
      <c r="J508" t="s">
        <v>60</v>
      </c>
      <c r="K508" t="s">
        <v>48</v>
      </c>
      <c r="L508" t="s">
        <v>49</v>
      </c>
      <c r="M508" t="s">
        <v>50</v>
      </c>
      <c r="O508" t="s">
        <v>39</v>
      </c>
      <c r="P508" t="s">
        <v>39</v>
      </c>
      <c r="Q508" t="s">
        <v>39</v>
      </c>
      <c r="R508" t="s">
        <v>41</v>
      </c>
      <c r="S508" t="s">
        <v>40</v>
      </c>
      <c r="T508" t="s">
        <v>41</v>
      </c>
      <c r="U508" t="s">
        <v>39</v>
      </c>
      <c r="V508" t="s">
        <v>39</v>
      </c>
      <c r="W508" t="s">
        <v>40</v>
      </c>
      <c r="X508" t="s">
        <v>1954</v>
      </c>
      <c r="AB508" t="s">
        <v>61</v>
      </c>
      <c r="AC508" t="s">
        <v>62</v>
      </c>
    </row>
    <row r="509" spans="1:31" x14ac:dyDescent="0.2">
      <c r="A509">
        <v>42938857</v>
      </c>
      <c r="B509" t="s">
        <v>5020</v>
      </c>
      <c r="C509" t="s">
        <v>5021</v>
      </c>
      <c r="D509" t="s">
        <v>3505</v>
      </c>
      <c r="E509" s="9">
        <v>45591</v>
      </c>
      <c r="F509" s="9">
        <v>45630</v>
      </c>
      <c r="G509" t="s">
        <v>45</v>
      </c>
      <c r="H509" t="s">
        <v>3533</v>
      </c>
      <c r="J509" t="s">
        <v>203</v>
      </c>
      <c r="K509" t="s">
        <v>36</v>
      </c>
      <c r="L509" t="s">
        <v>37</v>
      </c>
      <c r="M509" t="s">
        <v>50</v>
      </c>
      <c r="O509" t="s">
        <v>41</v>
      </c>
      <c r="P509" t="s">
        <v>41</v>
      </c>
      <c r="Q509" t="s">
        <v>39</v>
      </c>
      <c r="R509" t="s">
        <v>41</v>
      </c>
      <c r="S509" t="s">
        <v>40</v>
      </c>
      <c r="T509" t="s">
        <v>41</v>
      </c>
      <c r="U509" t="s">
        <v>39</v>
      </c>
      <c r="V509" t="s">
        <v>39</v>
      </c>
      <c r="W509" t="s">
        <v>40</v>
      </c>
      <c r="AB509" t="s">
        <v>5022</v>
      </c>
      <c r="AC509" t="s">
        <v>5023</v>
      </c>
    </row>
    <row r="510" spans="1:31" x14ac:dyDescent="0.2">
      <c r="A510">
        <v>42938378</v>
      </c>
      <c r="B510" t="s">
        <v>5024</v>
      </c>
      <c r="C510" t="s">
        <v>5025</v>
      </c>
      <c r="D510" t="s">
        <v>3505</v>
      </c>
      <c r="E510" s="9">
        <v>45591</v>
      </c>
      <c r="F510" s="9">
        <v>45603</v>
      </c>
      <c r="G510" t="s">
        <v>45</v>
      </c>
      <c r="H510" t="s">
        <v>46</v>
      </c>
      <c r="I510" t="s">
        <v>53</v>
      </c>
      <c r="J510" t="s">
        <v>286</v>
      </c>
      <c r="K510" t="s">
        <v>36</v>
      </c>
      <c r="L510" t="s">
        <v>386</v>
      </c>
      <c r="M510" t="s">
        <v>50</v>
      </c>
      <c r="O510" t="s">
        <v>39</v>
      </c>
      <c r="P510" t="s">
        <v>39</v>
      </c>
      <c r="Q510" t="s">
        <v>39</v>
      </c>
      <c r="R510" t="s">
        <v>41</v>
      </c>
      <c r="S510" t="s">
        <v>40</v>
      </c>
      <c r="T510" t="s">
        <v>41</v>
      </c>
      <c r="U510" t="s">
        <v>39</v>
      </c>
      <c r="V510" t="s">
        <v>39</v>
      </c>
      <c r="W510" t="s">
        <v>39</v>
      </c>
      <c r="AB510" t="s">
        <v>5026</v>
      </c>
      <c r="AC510" t="s">
        <v>5027</v>
      </c>
    </row>
    <row r="511" spans="1:31" x14ac:dyDescent="0.2">
      <c r="A511">
        <v>42938498</v>
      </c>
      <c r="B511" t="s">
        <v>5028</v>
      </c>
      <c r="C511" t="s">
        <v>3493</v>
      </c>
      <c r="D511" t="s">
        <v>3505</v>
      </c>
      <c r="E511" s="9">
        <v>45591</v>
      </c>
      <c r="F511" s="9">
        <v>45603</v>
      </c>
      <c r="G511" t="s">
        <v>45</v>
      </c>
      <c r="H511" t="s">
        <v>46</v>
      </c>
      <c r="I511" t="s">
        <v>53</v>
      </c>
      <c r="J511" t="s">
        <v>307</v>
      </c>
      <c r="K511" t="s">
        <v>48</v>
      </c>
      <c r="L511" t="s">
        <v>386</v>
      </c>
      <c r="M511" t="s">
        <v>50</v>
      </c>
      <c r="O511" t="s">
        <v>39</v>
      </c>
      <c r="P511" t="s">
        <v>39</v>
      </c>
      <c r="Q511" t="s">
        <v>39</v>
      </c>
      <c r="R511" t="s">
        <v>41</v>
      </c>
      <c r="S511" t="s">
        <v>40</v>
      </c>
      <c r="T511" t="s">
        <v>41</v>
      </c>
      <c r="U511" t="s">
        <v>39</v>
      </c>
      <c r="V511" t="s">
        <v>39</v>
      </c>
      <c r="W511" t="s">
        <v>39</v>
      </c>
      <c r="AB511" t="s">
        <v>5029</v>
      </c>
    </row>
    <row r="512" spans="1:31" x14ac:dyDescent="0.2">
      <c r="A512">
        <v>42938872</v>
      </c>
      <c r="B512" t="s">
        <v>5030</v>
      </c>
      <c r="C512" t="s">
        <v>5031</v>
      </c>
      <c r="D512" t="s">
        <v>3505</v>
      </c>
      <c r="E512" s="9">
        <v>45591</v>
      </c>
      <c r="F512" s="9">
        <v>45603</v>
      </c>
      <c r="G512" t="s">
        <v>45</v>
      </c>
      <c r="H512" t="s">
        <v>253</v>
      </c>
      <c r="I512" t="s">
        <v>252</v>
      </c>
      <c r="J512" t="s">
        <v>254</v>
      </c>
      <c r="K512" t="s">
        <v>48</v>
      </c>
      <c r="L512" t="s">
        <v>230</v>
      </c>
      <c r="M512" t="s">
        <v>50</v>
      </c>
      <c r="O512" t="s">
        <v>39</v>
      </c>
      <c r="P512" t="s">
        <v>41</v>
      </c>
      <c r="Q512" t="s">
        <v>39</v>
      </c>
      <c r="R512" t="s">
        <v>39</v>
      </c>
      <c r="S512" t="s">
        <v>40</v>
      </c>
      <c r="T512" t="s">
        <v>41</v>
      </c>
      <c r="U512" t="s">
        <v>39</v>
      </c>
      <c r="V512" t="s">
        <v>39</v>
      </c>
      <c r="W512" t="s">
        <v>40</v>
      </c>
      <c r="AB512" t="s">
        <v>5032</v>
      </c>
      <c r="AC512" t="s">
        <v>5033</v>
      </c>
      <c r="AD512" t="s">
        <v>5034</v>
      </c>
    </row>
    <row r="513" spans="1:31" x14ac:dyDescent="0.2">
      <c r="A513">
        <v>42938488</v>
      </c>
      <c r="B513" t="s">
        <v>5035</v>
      </c>
      <c r="C513" t="s">
        <v>5036</v>
      </c>
      <c r="D513" t="s">
        <v>3505</v>
      </c>
      <c r="E513" s="9">
        <v>45591</v>
      </c>
      <c r="F513" s="9">
        <v>45603</v>
      </c>
      <c r="G513" t="s">
        <v>45</v>
      </c>
      <c r="H513" t="s">
        <v>46</v>
      </c>
      <c r="I513" t="s">
        <v>53</v>
      </c>
      <c r="J513" t="s">
        <v>65</v>
      </c>
      <c r="K513" t="s">
        <v>36</v>
      </c>
      <c r="L513" t="s">
        <v>386</v>
      </c>
      <c r="M513" t="s">
        <v>50</v>
      </c>
      <c r="O513" t="s">
        <v>39</v>
      </c>
      <c r="P513" t="s">
        <v>39</v>
      </c>
      <c r="Q513" t="s">
        <v>39</v>
      </c>
      <c r="R513" t="s">
        <v>41</v>
      </c>
      <c r="S513" t="s">
        <v>40</v>
      </c>
      <c r="T513" t="s">
        <v>41</v>
      </c>
      <c r="U513" t="s">
        <v>39</v>
      </c>
      <c r="V513" t="s">
        <v>39</v>
      </c>
      <c r="W513" t="s">
        <v>39</v>
      </c>
      <c r="AB513" t="s">
        <v>5037</v>
      </c>
    </row>
    <row r="514" spans="1:31" x14ac:dyDescent="0.2">
      <c r="A514">
        <v>42938510</v>
      </c>
      <c r="B514" t="s">
        <v>5038</v>
      </c>
      <c r="C514" t="s">
        <v>5039</v>
      </c>
      <c r="D514" t="s">
        <v>3505</v>
      </c>
      <c r="E514" s="9">
        <v>45591</v>
      </c>
      <c r="F514" s="9">
        <v>45833</v>
      </c>
      <c r="G514" t="s">
        <v>45</v>
      </c>
      <c r="H514" t="s">
        <v>89</v>
      </c>
      <c r="I514" t="s">
        <v>90</v>
      </c>
      <c r="J514" t="s">
        <v>54</v>
      </c>
      <c r="K514" t="s">
        <v>48</v>
      </c>
      <c r="L514" t="s">
        <v>37</v>
      </c>
      <c r="M514" t="s">
        <v>50</v>
      </c>
      <c r="O514" t="s">
        <v>39</v>
      </c>
      <c r="P514" t="s">
        <v>39</v>
      </c>
      <c r="Q514" t="s">
        <v>39</v>
      </c>
      <c r="R514" t="s">
        <v>41</v>
      </c>
      <c r="S514" t="s">
        <v>40</v>
      </c>
      <c r="T514" t="s">
        <v>41</v>
      </c>
      <c r="U514" t="s">
        <v>39</v>
      </c>
      <c r="V514" t="s">
        <v>39</v>
      </c>
      <c r="W514" t="s">
        <v>40</v>
      </c>
      <c r="AB514" t="s">
        <v>5040</v>
      </c>
      <c r="AC514" t="s">
        <v>5041</v>
      </c>
    </row>
    <row r="515" spans="1:31" x14ac:dyDescent="0.2">
      <c r="A515">
        <v>42938480</v>
      </c>
      <c r="B515" t="s">
        <v>5042</v>
      </c>
      <c r="C515" t="s">
        <v>5043</v>
      </c>
      <c r="D515" t="s">
        <v>3505</v>
      </c>
      <c r="E515" s="9">
        <v>45591</v>
      </c>
      <c r="F515" s="9">
        <v>45603</v>
      </c>
      <c r="G515" t="s">
        <v>45</v>
      </c>
      <c r="H515" t="s">
        <v>46</v>
      </c>
      <c r="I515" t="s">
        <v>53</v>
      </c>
      <c r="J515" t="s">
        <v>307</v>
      </c>
      <c r="K515" t="s">
        <v>36</v>
      </c>
      <c r="L515" t="s">
        <v>386</v>
      </c>
      <c r="M515" t="s">
        <v>50</v>
      </c>
      <c r="O515" t="s">
        <v>39</v>
      </c>
      <c r="P515" t="s">
        <v>39</v>
      </c>
      <c r="Q515" t="s">
        <v>39</v>
      </c>
      <c r="R515" t="s">
        <v>41</v>
      </c>
      <c r="S515" t="s">
        <v>40</v>
      </c>
      <c r="T515" t="s">
        <v>41</v>
      </c>
      <c r="U515" t="s">
        <v>39</v>
      </c>
      <c r="V515" t="s">
        <v>39</v>
      </c>
      <c r="W515" t="s">
        <v>39</v>
      </c>
      <c r="AB515" t="s">
        <v>5044</v>
      </c>
    </row>
    <row r="516" spans="1:31" x14ac:dyDescent="0.2">
      <c r="A516">
        <v>42938394</v>
      </c>
      <c r="B516" t="s">
        <v>5045</v>
      </c>
      <c r="C516" t="s">
        <v>5046</v>
      </c>
      <c r="D516" t="s">
        <v>3505</v>
      </c>
      <c r="E516" s="9">
        <v>45591</v>
      </c>
      <c r="F516" s="9">
        <v>45603</v>
      </c>
      <c r="G516" t="s">
        <v>45</v>
      </c>
      <c r="H516" t="s">
        <v>46</v>
      </c>
      <c r="I516" t="s">
        <v>53</v>
      </c>
      <c r="J516" t="s">
        <v>154</v>
      </c>
      <c r="K516" t="s">
        <v>36</v>
      </c>
      <c r="L516" t="s">
        <v>386</v>
      </c>
      <c r="M516" t="s">
        <v>50</v>
      </c>
      <c r="O516" t="s">
        <v>39</v>
      </c>
      <c r="P516" t="s">
        <v>39</v>
      </c>
      <c r="Q516" t="s">
        <v>39</v>
      </c>
      <c r="R516" t="s">
        <v>41</v>
      </c>
      <c r="S516" t="s">
        <v>40</v>
      </c>
      <c r="T516" t="s">
        <v>41</v>
      </c>
      <c r="U516" t="s">
        <v>39</v>
      </c>
      <c r="V516" t="s">
        <v>39</v>
      </c>
      <c r="W516" t="s">
        <v>39</v>
      </c>
      <c r="AB516" t="s">
        <v>5047</v>
      </c>
      <c r="AC516" t="s">
        <v>5048</v>
      </c>
    </row>
    <row r="517" spans="1:31" x14ac:dyDescent="0.2">
      <c r="A517">
        <v>42938520</v>
      </c>
      <c r="B517" t="s">
        <v>5049</v>
      </c>
      <c r="C517" t="s">
        <v>5050</v>
      </c>
      <c r="D517" t="s">
        <v>3505</v>
      </c>
      <c r="E517" s="9">
        <v>45591</v>
      </c>
      <c r="F517" s="9">
        <v>45630</v>
      </c>
      <c r="G517" t="s">
        <v>45</v>
      </c>
      <c r="H517" t="s">
        <v>3533</v>
      </c>
      <c r="I517" t="s">
        <v>4456</v>
      </c>
      <c r="J517" t="s">
        <v>203</v>
      </c>
      <c r="K517" t="s">
        <v>48</v>
      </c>
      <c r="L517" t="s">
        <v>37</v>
      </c>
      <c r="M517" t="s">
        <v>50</v>
      </c>
      <c r="O517" t="s">
        <v>39</v>
      </c>
      <c r="P517" t="s">
        <v>39</v>
      </c>
      <c r="Q517" t="s">
        <v>39</v>
      </c>
      <c r="R517" t="s">
        <v>41</v>
      </c>
      <c r="S517" t="s">
        <v>40</v>
      </c>
      <c r="T517" t="s">
        <v>41</v>
      </c>
      <c r="U517" t="s">
        <v>39</v>
      </c>
      <c r="V517" t="s">
        <v>39</v>
      </c>
      <c r="W517" t="s">
        <v>40</v>
      </c>
      <c r="AB517" t="s">
        <v>5051</v>
      </c>
      <c r="AC517" t="s">
        <v>5052</v>
      </c>
    </row>
    <row r="518" spans="1:31" x14ac:dyDescent="0.2">
      <c r="A518">
        <v>42938663</v>
      </c>
      <c r="B518" t="s">
        <v>5053</v>
      </c>
      <c r="C518" t="s">
        <v>5054</v>
      </c>
      <c r="D518" t="s">
        <v>3505</v>
      </c>
      <c r="E518" s="9">
        <v>45591</v>
      </c>
      <c r="F518" s="9">
        <v>45630</v>
      </c>
      <c r="G518" t="s">
        <v>45</v>
      </c>
      <c r="H518" t="s">
        <v>59</v>
      </c>
      <c r="I518" t="s">
        <v>46</v>
      </c>
      <c r="J518" t="s">
        <v>69</v>
      </c>
      <c r="K518" t="s">
        <v>48</v>
      </c>
      <c r="L518" t="s">
        <v>386</v>
      </c>
      <c r="M518" t="s">
        <v>50</v>
      </c>
      <c r="O518" t="s">
        <v>39</v>
      </c>
      <c r="P518" t="s">
        <v>39</v>
      </c>
      <c r="Q518" t="s">
        <v>39</v>
      </c>
      <c r="R518" t="s">
        <v>41</v>
      </c>
      <c r="S518" t="s">
        <v>40</v>
      </c>
      <c r="T518" t="s">
        <v>41</v>
      </c>
      <c r="U518" t="s">
        <v>39</v>
      </c>
      <c r="V518" t="s">
        <v>39</v>
      </c>
      <c r="W518" t="s">
        <v>40</v>
      </c>
      <c r="AB518" t="s">
        <v>5055</v>
      </c>
      <c r="AC518" t="s">
        <v>5056</v>
      </c>
    </row>
    <row r="519" spans="1:31" x14ac:dyDescent="0.2">
      <c r="A519">
        <v>43045459</v>
      </c>
      <c r="B519" t="s">
        <v>4925</v>
      </c>
      <c r="C519" t="s">
        <v>4926</v>
      </c>
      <c r="D519" t="s">
        <v>3505</v>
      </c>
      <c r="E519" s="9">
        <v>45604</v>
      </c>
      <c r="F519" s="9">
        <v>45826</v>
      </c>
      <c r="G519" t="s">
        <v>45</v>
      </c>
      <c r="H519" t="s">
        <v>2312</v>
      </c>
      <c r="I519" t="s">
        <v>90</v>
      </c>
      <c r="J519" t="s">
        <v>154</v>
      </c>
      <c r="K519" t="s">
        <v>36</v>
      </c>
      <c r="L519" t="s">
        <v>49</v>
      </c>
      <c r="M519" t="s">
        <v>50</v>
      </c>
      <c r="O519" t="s">
        <v>39</v>
      </c>
      <c r="P519" t="s">
        <v>39</v>
      </c>
      <c r="Q519" t="s">
        <v>39</v>
      </c>
      <c r="R519" t="s">
        <v>41</v>
      </c>
      <c r="S519" t="s">
        <v>40</v>
      </c>
      <c r="T519" t="s">
        <v>41</v>
      </c>
      <c r="U519" t="s">
        <v>39</v>
      </c>
      <c r="V519" t="s">
        <v>39</v>
      </c>
      <c r="W519" t="s">
        <v>40</v>
      </c>
      <c r="AB519" t="s">
        <v>5057</v>
      </c>
      <c r="AC519" t="s">
        <v>5058</v>
      </c>
      <c r="AD519" t="s">
        <v>5059</v>
      </c>
    </row>
    <row r="520" spans="1:31" x14ac:dyDescent="0.2">
      <c r="A520">
        <v>43045554</v>
      </c>
      <c r="B520" t="s">
        <v>5060</v>
      </c>
      <c r="C520" t="s">
        <v>5061</v>
      </c>
      <c r="D520" t="s">
        <v>3505</v>
      </c>
      <c r="E520" s="9">
        <v>45604</v>
      </c>
      <c r="F520" s="9">
        <v>45615</v>
      </c>
      <c r="G520" t="s">
        <v>45</v>
      </c>
      <c r="H520" t="s">
        <v>253</v>
      </c>
      <c r="I520" t="s">
        <v>252</v>
      </c>
      <c r="J520" t="s">
        <v>254</v>
      </c>
      <c r="K520" t="s">
        <v>48</v>
      </c>
      <c r="L520" t="s">
        <v>49</v>
      </c>
      <c r="M520" t="s">
        <v>50</v>
      </c>
      <c r="O520" t="s">
        <v>39</v>
      </c>
      <c r="P520" t="s">
        <v>39</v>
      </c>
      <c r="Q520" t="s">
        <v>39</v>
      </c>
      <c r="R520" t="s">
        <v>41</v>
      </c>
      <c r="S520" t="s">
        <v>40</v>
      </c>
      <c r="T520" t="s">
        <v>41</v>
      </c>
      <c r="U520" t="s">
        <v>39</v>
      </c>
      <c r="V520" t="s">
        <v>39</v>
      </c>
      <c r="W520" t="s">
        <v>40</v>
      </c>
      <c r="AB520" t="s">
        <v>5062</v>
      </c>
      <c r="AC520" t="s">
        <v>5063</v>
      </c>
      <c r="AD520" t="s">
        <v>5064</v>
      </c>
      <c r="AE520" t="s">
        <v>5065</v>
      </c>
    </row>
    <row r="521" spans="1:31" x14ac:dyDescent="0.2">
      <c r="A521">
        <v>43045557</v>
      </c>
      <c r="B521" t="s">
        <v>5066</v>
      </c>
      <c r="C521" t="s">
        <v>5067</v>
      </c>
      <c r="D521" t="s">
        <v>3505</v>
      </c>
      <c r="E521" s="9">
        <v>45604</v>
      </c>
      <c r="F521" s="9">
        <v>45678</v>
      </c>
      <c r="G521" t="s">
        <v>45</v>
      </c>
      <c r="H521" t="s">
        <v>3999</v>
      </c>
      <c r="I521" t="s">
        <v>252</v>
      </c>
      <c r="J521" t="s">
        <v>254</v>
      </c>
      <c r="K521" t="s">
        <v>36</v>
      </c>
      <c r="L521" t="s">
        <v>49</v>
      </c>
      <c r="M521" t="s">
        <v>50</v>
      </c>
      <c r="O521" t="s">
        <v>39</v>
      </c>
      <c r="P521" t="s">
        <v>39</v>
      </c>
      <c r="Q521" t="s">
        <v>39</v>
      </c>
      <c r="R521" t="s">
        <v>41</v>
      </c>
      <c r="S521" t="s">
        <v>40</v>
      </c>
      <c r="T521" t="s">
        <v>41</v>
      </c>
      <c r="U521" t="s">
        <v>39</v>
      </c>
      <c r="V521" t="s">
        <v>39</v>
      </c>
      <c r="W521" t="s">
        <v>40</v>
      </c>
      <c r="AB521" t="s">
        <v>5068</v>
      </c>
      <c r="AC521" t="s">
        <v>5069</v>
      </c>
      <c r="AD521" t="s">
        <v>5070</v>
      </c>
    </row>
    <row r="522" spans="1:31" x14ac:dyDescent="0.2">
      <c r="A522">
        <v>43045567</v>
      </c>
      <c r="B522" t="s">
        <v>63</v>
      </c>
      <c r="C522" t="s">
        <v>64</v>
      </c>
      <c r="D522" t="s">
        <v>3505</v>
      </c>
      <c r="E522" s="9">
        <v>45604</v>
      </c>
      <c r="F522" s="9">
        <v>45974</v>
      </c>
      <c r="G522" t="s">
        <v>45</v>
      </c>
      <c r="H522" t="s">
        <v>46</v>
      </c>
      <c r="I522" t="s">
        <v>53</v>
      </c>
      <c r="J522" t="s">
        <v>65</v>
      </c>
      <c r="K522" t="s">
        <v>36</v>
      </c>
      <c r="L522" t="s">
        <v>49</v>
      </c>
      <c r="M522" t="s">
        <v>50</v>
      </c>
      <c r="O522" t="s">
        <v>39</v>
      </c>
      <c r="P522" t="s">
        <v>39</v>
      </c>
      <c r="Q522" t="s">
        <v>39</v>
      </c>
      <c r="R522" t="s">
        <v>41</v>
      </c>
      <c r="S522" t="s">
        <v>40</v>
      </c>
      <c r="T522" t="s">
        <v>41</v>
      </c>
      <c r="U522" t="s">
        <v>39</v>
      </c>
      <c r="V522" t="s">
        <v>39</v>
      </c>
      <c r="W522" t="s">
        <v>40</v>
      </c>
      <c r="AB522" t="s">
        <v>5071</v>
      </c>
      <c r="AC522" t="s">
        <v>5072</v>
      </c>
      <c r="AD522" t="s">
        <v>5073</v>
      </c>
      <c r="AE522" t="s">
        <v>5074</v>
      </c>
    </row>
    <row r="523" spans="1:31" x14ac:dyDescent="0.2">
      <c r="A523">
        <v>43045647</v>
      </c>
      <c r="B523" t="s">
        <v>66</v>
      </c>
      <c r="C523" t="s">
        <v>67</v>
      </c>
      <c r="D523" t="s">
        <v>3505</v>
      </c>
      <c r="E523" s="9">
        <v>45604</v>
      </c>
      <c r="F523" s="9">
        <v>45974</v>
      </c>
      <c r="G523" t="s">
        <v>45</v>
      </c>
      <c r="H523" t="s">
        <v>59</v>
      </c>
      <c r="I523" t="s">
        <v>68</v>
      </c>
      <c r="J523" t="s">
        <v>69</v>
      </c>
      <c r="K523" t="s">
        <v>48</v>
      </c>
      <c r="L523" t="s">
        <v>37</v>
      </c>
      <c r="M523" t="s">
        <v>50</v>
      </c>
      <c r="O523" t="s">
        <v>39</v>
      </c>
      <c r="P523" t="s">
        <v>39</v>
      </c>
      <c r="Q523" t="s">
        <v>39</v>
      </c>
      <c r="R523" t="s">
        <v>41</v>
      </c>
      <c r="S523" t="s">
        <v>40</v>
      </c>
      <c r="T523" t="s">
        <v>41</v>
      </c>
      <c r="U523" t="s">
        <v>39</v>
      </c>
      <c r="V523" t="s">
        <v>39</v>
      </c>
      <c r="W523" t="s">
        <v>40</v>
      </c>
      <c r="X523" t="s">
        <v>5075</v>
      </c>
      <c r="AB523" t="s">
        <v>5076</v>
      </c>
      <c r="AC523" t="s">
        <v>5077</v>
      </c>
      <c r="AD523" t="s">
        <v>5078</v>
      </c>
      <c r="AE523" t="s">
        <v>5079</v>
      </c>
    </row>
    <row r="524" spans="1:31" x14ac:dyDescent="0.2">
      <c r="A524">
        <v>43045538</v>
      </c>
      <c r="B524" t="s">
        <v>5080</v>
      </c>
      <c r="C524" t="s">
        <v>3573</v>
      </c>
      <c r="D524" t="s">
        <v>3505</v>
      </c>
      <c r="E524" s="9">
        <v>45604</v>
      </c>
      <c r="F524" s="9">
        <v>45645</v>
      </c>
      <c r="G524" t="s">
        <v>45</v>
      </c>
      <c r="H524" t="s">
        <v>46</v>
      </c>
      <c r="J524" t="s">
        <v>138</v>
      </c>
      <c r="K524" t="s">
        <v>36</v>
      </c>
      <c r="L524" t="s">
        <v>49</v>
      </c>
      <c r="M524" t="s">
        <v>50</v>
      </c>
      <c r="O524" t="s">
        <v>39</v>
      </c>
      <c r="P524" t="s">
        <v>39</v>
      </c>
      <c r="Q524" t="s">
        <v>39</v>
      </c>
      <c r="R524" t="s">
        <v>41</v>
      </c>
      <c r="S524" t="s">
        <v>40</v>
      </c>
      <c r="T524" t="s">
        <v>41</v>
      </c>
      <c r="U524" t="s">
        <v>39</v>
      </c>
      <c r="V524" t="s">
        <v>39</v>
      </c>
      <c r="W524" t="s">
        <v>40</v>
      </c>
      <c r="AB524" t="s">
        <v>5081</v>
      </c>
      <c r="AC524" t="s">
        <v>5082</v>
      </c>
      <c r="AD524" t="s">
        <v>5083</v>
      </c>
      <c r="AE524" t="s">
        <v>5084</v>
      </c>
    </row>
    <row r="525" spans="1:31" x14ac:dyDescent="0.2">
      <c r="A525">
        <v>43045736</v>
      </c>
      <c r="B525" t="s">
        <v>5085</v>
      </c>
      <c r="C525" t="s">
        <v>5086</v>
      </c>
      <c r="D525" t="s">
        <v>3505</v>
      </c>
      <c r="E525" s="9">
        <v>45604</v>
      </c>
      <c r="F525" s="9">
        <v>45615</v>
      </c>
      <c r="G525" t="s">
        <v>45</v>
      </c>
      <c r="H525" t="s">
        <v>132</v>
      </c>
      <c r="I525" t="s">
        <v>80</v>
      </c>
      <c r="J525" t="s">
        <v>138</v>
      </c>
      <c r="K525" t="s">
        <v>48</v>
      </c>
      <c r="L525" t="s">
        <v>386</v>
      </c>
      <c r="M525" t="s">
        <v>50</v>
      </c>
      <c r="O525" t="s">
        <v>39</v>
      </c>
      <c r="P525" t="s">
        <v>39</v>
      </c>
      <c r="Q525" t="s">
        <v>39</v>
      </c>
      <c r="R525" t="s">
        <v>41</v>
      </c>
      <c r="S525" t="s">
        <v>40</v>
      </c>
      <c r="T525" t="s">
        <v>41</v>
      </c>
      <c r="U525" t="s">
        <v>39</v>
      </c>
      <c r="V525" t="s">
        <v>39</v>
      </c>
      <c r="W525" t="s">
        <v>40</v>
      </c>
      <c r="AB525" t="s">
        <v>5087</v>
      </c>
      <c r="AC525" t="s">
        <v>5088</v>
      </c>
      <c r="AD525" t="s">
        <v>5089</v>
      </c>
    </row>
    <row r="526" spans="1:31" x14ac:dyDescent="0.2">
      <c r="A526">
        <v>43045711</v>
      </c>
      <c r="B526" t="s">
        <v>5090</v>
      </c>
      <c r="C526" t="s">
        <v>5091</v>
      </c>
      <c r="D526" t="s">
        <v>3505</v>
      </c>
      <c r="E526" s="9">
        <v>45604</v>
      </c>
      <c r="F526" s="9">
        <v>45621</v>
      </c>
      <c r="G526" t="s">
        <v>45</v>
      </c>
      <c r="H526" t="s">
        <v>132</v>
      </c>
      <c r="I526" t="s">
        <v>80</v>
      </c>
      <c r="J526" t="s">
        <v>138</v>
      </c>
      <c r="K526" t="s">
        <v>36</v>
      </c>
      <c r="L526" t="s">
        <v>386</v>
      </c>
      <c r="M526" t="s">
        <v>50</v>
      </c>
      <c r="O526" t="s">
        <v>39</v>
      </c>
      <c r="P526" t="s">
        <v>39</v>
      </c>
      <c r="Q526" t="s">
        <v>39</v>
      </c>
      <c r="R526" t="s">
        <v>41</v>
      </c>
      <c r="S526" t="s">
        <v>40</v>
      </c>
      <c r="T526" t="s">
        <v>41</v>
      </c>
      <c r="U526" t="s">
        <v>39</v>
      </c>
      <c r="V526" t="s">
        <v>39</v>
      </c>
      <c r="W526" t="s">
        <v>39</v>
      </c>
      <c r="AB526" t="s">
        <v>5092</v>
      </c>
      <c r="AC526" t="s">
        <v>5093</v>
      </c>
      <c r="AD526" t="s">
        <v>5094</v>
      </c>
    </row>
    <row r="527" spans="1:31" x14ac:dyDescent="0.2">
      <c r="A527">
        <v>43045718</v>
      </c>
      <c r="B527" t="s">
        <v>5095</v>
      </c>
      <c r="C527" t="s">
        <v>5096</v>
      </c>
      <c r="D527" t="s">
        <v>3505</v>
      </c>
      <c r="E527" s="9">
        <v>45604</v>
      </c>
      <c r="F527" s="9">
        <v>45621</v>
      </c>
      <c r="G527" t="s">
        <v>45</v>
      </c>
      <c r="H527" t="s">
        <v>132</v>
      </c>
      <c r="I527" t="s">
        <v>80</v>
      </c>
      <c r="J527" t="s">
        <v>138</v>
      </c>
      <c r="K527" t="s">
        <v>48</v>
      </c>
      <c r="L527" t="s">
        <v>386</v>
      </c>
      <c r="M527" t="s">
        <v>50</v>
      </c>
      <c r="O527" t="s">
        <v>39</v>
      </c>
      <c r="P527" t="s">
        <v>39</v>
      </c>
      <c r="Q527" t="s">
        <v>39</v>
      </c>
      <c r="R527" t="s">
        <v>41</v>
      </c>
      <c r="S527" t="s">
        <v>40</v>
      </c>
      <c r="T527" t="s">
        <v>41</v>
      </c>
      <c r="U527" t="s">
        <v>39</v>
      </c>
      <c r="V527" t="s">
        <v>39</v>
      </c>
      <c r="W527" t="s">
        <v>40</v>
      </c>
      <c r="AB527" t="s">
        <v>5097</v>
      </c>
      <c r="AC527" t="s">
        <v>5098</v>
      </c>
      <c r="AD527" t="s">
        <v>5099</v>
      </c>
    </row>
    <row r="528" spans="1:31" x14ac:dyDescent="0.2">
      <c r="A528">
        <v>43045420</v>
      </c>
      <c r="B528" t="s">
        <v>5100</v>
      </c>
      <c r="C528" t="s">
        <v>5101</v>
      </c>
      <c r="D528" t="s">
        <v>3505</v>
      </c>
      <c r="E528" s="9">
        <v>45604</v>
      </c>
      <c r="F528" s="9">
        <v>45833</v>
      </c>
      <c r="G528" t="s">
        <v>45</v>
      </c>
      <c r="H528" t="s">
        <v>80</v>
      </c>
      <c r="I528" t="s">
        <v>97</v>
      </c>
      <c r="J528" t="s">
        <v>47</v>
      </c>
      <c r="K528" t="s">
        <v>36</v>
      </c>
      <c r="L528" t="s">
        <v>49</v>
      </c>
      <c r="M528" t="s">
        <v>50</v>
      </c>
      <c r="O528" t="s">
        <v>39</v>
      </c>
      <c r="P528" t="s">
        <v>39</v>
      </c>
      <c r="Q528" t="s">
        <v>39</v>
      </c>
      <c r="R528" t="s">
        <v>39</v>
      </c>
      <c r="S528" t="s">
        <v>40</v>
      </c>
      <c r="T528" t="s">
        <v>41</v>
      </c>
      <c r="U528" t="s">
        <v>39</v>
      </c>
      <c r="V528" t="s">
        <v>39</v>
      </c>
      <c r="W528" t="s">
        <v>40</v>
      </c>
      <c r="X528" t="s">
        <v>5102</v>
      </c>
      <c r="AB528" t="s">
        <v>5103</v>
      </c>
      <c r="AC528" t="s">
        <v>5104</v>
      </c>
      <c r="AD528" t="s">
        <v>5105</v>
      </c>
    </row>
    <row r="529" spans="1:31" x14ac:dyDescent="0.2">
      <c r="A529">
        <v>43045398</v>
      </c>
      <c r="B529" t="s">
        <v>5106</v>
      </c>
      <c r="C529" t="s">
        <v>5107</v>
      </c>
      <c r="D529" t="s">
        <v>3505</v>
      </c>
      <c r="E529" s="9">
        <v>45604</v>
      </c>
      <c r="F529" s="9">
        <v>45645</v>
      </c>
      <c r="G529" t="s">
        <v>45</v>
      </c>
      <c r="H529" t="s">
        <v>90</v>
      </c>
      <c r="J529" t="s">
        <v>138</v>
      </c>
      <c r="K529" t="s">
        <v>36</v>
      </c>
      <c r="L529" t="s">
        <v>49</v>
      </c>
      <c r="M529" t="s">
        <v>50</v>
      </c>
      <c r="O529" t="s">
        <v>39</v>
      </c>
      <c r="P529" t="s">
        <v>39</v>
      </c>
      <c r="Q529" t="s">
        <v>39</v>
      </c>
      <c r="R529" t="s">
        <v>41</v>
      </c>
      <c r="S529" t="s">
        <v>40</v>
      </c>
      <c r="T529" t="s">
        <v>41</v>
      </c>
      <c r="U529" t="s">
        <v>39</v>
      </c>
      <c r="V529" t="s">
        <v>39</v>
      </c>
      <c r="W529" t="s">
        <v>40</v>
      </c>
      <c r="AB529" t="s">
        <v>5108</v>
      </c>
      <c r="AC529" t="s">
        <v>5109</v>
      </c>
      <c r="AD529" t="s">
        <v>5110</v>
      </c>
    </row>
    <row r="530" spans="1:31" x14ac:dyDescent="0.2">
      <c r="A530">
        <v>43045695</v>
      </c>
      <c r="B530" t="s">
        <v>5111</v>
      </c>
      <c r="C530" t="s">
        <v>5112</v>
      </c>
      <c r="D530" t="s">
        <v>3505</v>
      </c>
      <c r="E530" s="9">
        <v>45604</v>
      </c>
      <c r="F530" s="9">
        <v>45678</v>
      </c>
      <c r="G530" t="s">
        <v>45</v>
      </c>
      <c r="H530" t="s">
        <v>53</v>
      </c>
      <c r="J530" t="s">
        <v>117</v>
      </c>
      <c r="K530" t="s">
        <v>36</v>
      </c>
      <c r="L530" t="s">
        <v>37</v>
      </c>
      <c r="M530" t="s">
        <v>50</v>
      </c>
      <c r="O530" t="s">
        <v>39</v>
      </c>
      <c r="P530" t="s">
        <v>39</v>
      </c>
      <c r="Q530" t="s">
        <v>39</v>
      </c>
      <c r="R530" t="s">
        <v>41</v>
      </c>
      <c r="S530" t="s">
        <v>40</v>
      </c>
      <c r="T530" t="s">
        <v>41</v>
      </c>
      <c r="U530" t="s">
        <v>39</v>
      </c>
      <c r="V530" t="s">
        <v>39</v>
      </c>
      <c r="W530" t="s">
        <v>40</v>
      </c>
      <c r="AB530" t="s">
        <v>5113</v>
      </c>
      <c r="AC530" t="s">
        <v>5114</v>
      </c>
      <c r="AD530" t="s">
        <v>5115</v>
      </c>
    </row>
    <row r="531" spans="1:31" x14ac:dyDescent="0.2">
      <c r="A531">
        <v>43045361</v>
      </c>
      <c r="B531" t="s">
        <v>5116</v>
      </c>
      <c r="C531" t="s">
        <v>210</v>
      </c>
      <c r="D531" t="s">
        <v>3505</v>
      </c>
      <c r="E531" s="9">
        <v>45604</v>
      </c>
      <c r="F531" s="9">
        <v>45645</v>
      </c>
      <c r="G531" t="s">
        <v>45</v>
      </c>
      <c r="H531" t="s">
        <v>90</v>
      </c>
      <c r="I531" t="s">
        <v>96</v>
      </c>
      <c r="J531" t="s">
        <v>154</v>
      </c>
      <c r="K531" t="s">
        <v>36</v>
      </c>
      <c r="L531" t="s">
        <v>49</v>
      </c>
      <c r="M531" t="s">
        <v>50</v>
      </c>
      <c r="O531" t="s">
        <v>39</v>
      </c>
      <c r="P531" t="s">
        <v>39</v>
      </c>
      <c r="Q531" t="s">
        <v>39</v>
      </c>
      <c r="R531" t="s">
        <v>41</v>
      </c>
      <c r="S531" t="s">
        <v>40</v>
      </c>
      <c r="T531" t="s">
        <v>41</v>
      </c>
      <c r="U531" t="s">
        <v>39</v>
      </c>
      <c r="V531" t="s">
        <v>39</v>
      </c>
      <c r="W531" t="s">
        <v>40</v>
      </c>
      <c r="AB531" t="s">
        <v>5117</v>
      </c>
      <c r="AC531" t="s">
        <v>5118</v>
      </c>
      <c r="AD531" t="s">
        <v>5119</v>
      </c>
    </row>
    <row r="532" spans="1:31" x14ac:dyDescent="0.2">
      <c r="A532">
        <v>43045534</v>
      </c>
      <c r="B532" t="s">
        <v>5120</v>
      </c>
      <c r="C532" t="s">
        <v>5121</v>
      </c>
      <c r="D532" t="s">
        <v>3505</v>
      </c>
      <c r="E532" s="9">
        <v>45604</v>
      </c>
      <c r="F532" s="9">
        <v>45645</v>
      </c>
      <c r="G532" t="s">
        <v>45</v>
      </c>
      <c r="H532" t="s">
        <v>90</v>
      </c>
      <c r="I532" t="s">
        <v>96</v>
      </c>
      <c r="J532" t="s">
        <v>154</v>
      </c>
      <c r="K532" t="s">
        <v>36</v>
      </c>
      <c r="L532" t="s">
        <v>49</v>
      </c>
      <c r="M532" t="s">
        <v>50</v>
      </c>
      <c r="O532" t="s">
        <v>39</v>
      </c>
      <c r="P532" t="s">
        <v>39</v>
      </c>
      <c r="Q532" t="s">
        <v>39</v>
      </c>
      <c r="R532" t="s">
        <v>41</v>
      </c>
      <c r="S532" t="s">
        <v>40</v>
      </c>
      <c r="T532" t="s">
        <v>41</v>
      </c>
      <c r="U532" t="s">
        <v>39</v>
      </c>
      <c r="V532" t="s">
        <v>39</v>
      </c>
      <c r="W532" t="s">
        <v>40</v>
      </c>
      <c r="AB532" t="s">
        <v>5122</v>
      </c>
      <c r="AC532" t="s">
        <v>5123</v>
      </c>
      <c r="AD532" t="s">
        <v>5124</v>
      </c>
    </row>
    <row r="533" spans="1:31" x14ac:dyDescent="0.2">
      <c r="A533">
        <v>43182323</v>
      </c>
      <c r="B533" t="s">
        <v>5125</v>
      </c>
      <c r="C533" t="s">
        <v>5126</v>
      </c>
      <c r="D533" t="s">
        <v>3505</v>
      </c>
      <c r="E533" s="9">
        <v>45621</v>
      </c>
      <c r="F533" s="9">
        <v>45630</v>
      </c>
      <c r="G533" t="s">
        <v>45</v>
      </c>
      <c r="H533" t="s">
        <v>372</v>
      </c>
      <c r="I533" t="s">
        <v>4362</v>
      </c>
      <c r="J533" t="s">
        <v>47</v>
      </c>
      <c r="K533" t="s">
        <v>48</v>
      </c>
      <c r="L533" t="s">
        <v>49</v>
      </c>
      <c r="M533" t="s">
        <v>50</v>
      </c>
      <c r="O533" t="s">
        <v>39</v>
      </c>
      <c r="P533" t="s">
        <v>39</v>
      </c>
      <c r="Q533" t="s">
        <v>39</v>
      </c>
      <c r="R533" t="s">
        <v>41</v>
      </c>
      <c r="S533" t="s">
        <v>40</v>
      </c>
      <c r="T533" t="s">
        <v>41</v>
      </c>
      <c r="U533" t="s">
        <v>39</v>
      </c>
      <c r="V533" t="s">
        <v>39</v>
      </c>
      <c r="W533" t="s">
        <v>40</v>
      </c>
      <c r="AB533" t="s">
        <v>5127</v>
      </c>
      <c r="AC533" t="s">
        <v>5128</v>
      </c>
    </row>
    <row r="534" spans="1:31" x14ac:dyDescent="0.2">
      <c r="A534">
        <v>43380670</v>
      </c>
      <c r="B534" t="s">
        <v>5129</v>
      </c>
      <c r="C534" t="s">
        <v>5130</v>
      </c>
      <c r="D534" t="s">
        <v>3505</v>
      </c>
      <c r="E534" s="9">
        <v>45645</v>
      </c>
      <c r="F534" s="9">
        <v>45678</v>
      </c>
      <c r="G534" t="s">
        <v>45</v>
      </c>
      <c r="H534" t="s">
        <v>132</v>
      </c>
      <c r="I534" t="s">
        <v>96</v>
      </c>
      <c r="J534" t="s">
        <v>4521</v>
      </c>
      <c r="K534" t="s">
        <v>36</v>
      </c>
      <c r="L534" t="s">
        <v>37</v>
      </c>
      <c r="M534" t="s">
        <v>50</v>
      </c>
      <c r="O534" t="s">
        <v>39</v>
      </c>
      <c r="P534" t="s">
        <v>39</v>
      </c>
      <c r="Q534" t="s">
        <v>39</v>
      </c>
      <c r="R534" t="s">
        <v>41</v>
      </c>
      <c r="S534" t="s">
        <v>40</v>
      </c>
      <c r="T534" t="s">
        <v>41</v>
      </c>
      <c r="U534" t="s">
        <v>39</v>
      </c>
      <c r="V534" t="s">
        <v>39</v>
      </c>
      <c r="W534" t="s">
        <v>40</v>
      </c>
      <c r="AB534" t="s">
        <v>5131</v>
      </c>
      <c r="AC534" t="s">
        <v>5132</v>
      </c>
      <c r="AD534" t="s">
        <v>5133</v>
      </c>
      <c r="AE534" t="s">
        <v>5134</v>
      </c>
    </row>
    <row r="535" spans="1:31" x14ac:dyDescent="0.2">
      <c r="A535">
        <v>43380268</v>
      </c>
      <c r="B535" t="s">
        <v>5135</v>
      </c>
      <c r="C535" t="s">
        <v>5136</v>
      </c>
      <c r="D535" t="s">
        <v>3505</v>
      </c>
      <c r="E535" s="9">
        <v>45645</v>
      </c>
      <c r="F535" s="9">
        <v>45647</v>
      </c>
      <c r="G535" t="s">
        <v>45</v>
      </c>
      <c r="H535" t="s">
        <v>46</v>
      </c>
      <c r="I535" t="s">
        <v>53</v>
      </c>
      <c r="J535" t="s">
        <v>112</v>
      </c>
      <c r="K535" t="s">
        <v>36</v>
      </c>
      <c r="L535" t="s">
        <v>37</v>
      </c>
      <c r="M535" t="s">
        <v>50</v>
      </c>
      <c r="O535" t="s">
        <v>39</v>
      </c>
      <c r="P535" t="s">
        <v>39</v>
      </c>
      <c r="Q535" t="s">
        <v>39</v>
      </c>
      <c r="R535" t="s">
        <v>41</v>
      </c>
      <c r="S535" t="s">
        <v>40</v>
      </c>
      <c r="T535" t="s">
        <v>41</v>
      </c>
      <c r="U535" t="s">
        <v>39</v>
      </c>
      <c r="V535" t="s">
        <v>39</v>
      </c>
      <c r="W535" t="s">
        <v>40</v>
      </c>
      <c r="AB535" t="s">
        <v>5137</v>
      </c>
      <c r="AC535" t="s">
        <v>5138</v>
      </c>
      <c r="AD535" t="s">
        <v>5139</v>
      </c>
    </row>
    <row r="536" spans="1:31" x14ac:dyDescent="0.2">
      <c r="A536">
        <v>43380619</v>
      </c>
      <c r="B536" t="s">
        <v>5140</v>
      </c>
      <c r="C536" t="s">
        <v>209</v>
      </c>
      <c r="D536" t="s">
        <v>3505</v>
      </c>
      <c r="E536" s="9">
        <v>45645</v>
      </c>
      <c r="F536" s="9">
        <v>45678</v>
      </c>
      <c r="G536" t="s">
        <v>45</v>
      </c>
      <c r="H536" t="s">
        <v>68</v>
      </c>
      <c r="I536" t="s">
        <v>1444</v>
      </c>
      <c r="J536" t="s">
        <v>47</v>
      </c>
      <c r="K536" t="s">
        <v>48</v>
      </c>
      <c r="L536" t="s">
        <v>49</v>
      </c>
      <c r="M536" t="s">
        <v>50</v>
      </c>
      <c r="O536" t="s">
        <v>39</v>
      </c>
      <c r="P536" t="s">
        <v>39</v>
      </c>
      <c r="Q536" t="s">
        <v>39</v>
      </c>
      <c r="R536" t="s">
        <v>41</v>
      </c>
      <c r="S536" t="s">
        <v>40</v>
      </c>
      <c r="T536" t="s">
        <v>41</v>
      </c>
      <c r="U536" t="s">
        <v>39</v>
      </c>
      <c r="V536" t="s">
        <v>39</v>
      </c>
      <c r="W536" t="s">
        <v>40</v>
      </c>
      <c r="AB536" t="s">
        <v>5141</v>
      </c>
      <c r="AC536" t="s">
        <v>5142</v>
      </c>
    </row>
    <row r="537" spans="1:31" x14ac:dyDescent="0.2">
      <c r="A537">
        <v>43380633</v>
      </c>
      <c r="B537" t="s">
        <v>5143</v>
      </c>
      <c r="C537" t="s">
        <v>5144</v>
      </c>
      <c r="D537" t="s">
        <v>3505</v>
      </c>
      <c r="E537" s="9">
        <v>45645</v>
      </c>
      <c r="F537" s="9">
        <v>45678</v>
      </c>
      <c r="G537" t="s">
        <v>45</v>
      </c>
      <c r="H537" t="s">
        <v>46</v>
      </c>
      <c r="I537" t="s">
        <v>53</v>
      </c>
      <c r="J537" t="s">
        <v>133</v>
      </c>
      <c r="K537" t="s">
        <v>36</v>
      </c>
      <c r="L537" t="s">
        <v>49</v>
      </c>
      <c r="M537" t="s">
        <v>50</v>
      </c>
      <c r="O537" t="s">
        <v>39</v>
      </c>
      <c r="P537" t="s">
        <v>39</v>
      </c>
      <c r="Q537" t="s">
        <v>39</v>
      </c>
      <c r="R537" t="s">
        <v>41</v>
      </c>
      <c r="S537" t="s">
        <v>40</v>
      </c>
      <c r="T537" t="s">
        <v>41</v>
      </c>
      <c r="U537" t="s">
        <v>39</v>
      </c>
      <c r="V537" t="s">
        <v>39</v>
      </c>
      <c r="W537" t="s">
        <v>40</v>
      </c>
      <c r="AB537" t="s">
        <v>5145</v>
      </c>
      <c r="AC537" t="s">
        <v>5146</v>
      </c>
      <c r="AD537" t="s">
        <v>5147</v>
      </c>
    </row>
    <row r="538" spans="1:31" x14ac:dyDescent="0.2">
      <c r="A538">
        <v>43380238</v>
      </c>
      <c r="B538" t="s">
        <v>5148</v>
      </c>
      <c r="C538" t="s">
        <v>5149</v>
      </c>
      <c r="D538" t="s">
        <v>3505</v>
      </c>
      <c r="E538" s="9">
        <v>45645</v>
      </c>
      <c r="F538" s="9">
        <v>45931</v>
      </c>
      <c r="G538" t="s">
        <v>45</v>
      </c>
      <c r="H538" t="s">
        <v>4362</v>
      </c>
      <c r="I538" t="s">
        <v>80</v>
      </c>
      <c r="J538" t="s">
        <v>73</v>
      </c>
      <c r="K538" t="s">
        <v>48</v>
      </c>
      <c r="L538" t="s">
        <v>49</v>
      </c>
      <c r="M538" t="s">
        <v>50</v>
      </c>
      <c r="O538" t="s">
        <v>39</v>
      </c>
      <c r="P538" t="s">
        <v>39</v>
      </c>
      <c r="Q538" t="s">
        <v>39</v>
      </c>
      <c r="R538" t="s">
        <v>41</v>
      </c>
      <c r="S538" t="s">
        <v>40</v>
      </c>
      <c r="T538" t="s">
        <v>41</v>
      </c>
      <c r="U538" t="s">
        <v>39</v>
      </c>
      <c r="V538" t="s">
        <v>39</v>
      </c>
      <c r="W538" t="s">
        <v>39</v>
      </c>
      <c r="X538" t="s">
        <v>5150</v>
      </c>
      <c r="AB538" t="s">
        <v>5151</v>
      </c>
      <c r="AC538" t="s">
        <v>5152</v>
      </c>
      <c r="AD538" t="s">
        <v>5153</v>
      </c>
    </row>
    <row r="539" spans="1:31" x14ac:dyDescent="0.2">
      <c r="A539">
        <v>43380749</v>
      </c>
      <c r="B539" t="s">
        <v>5154</v>
      </c>
      <c r="C539" t="s">
        <v>5155</v>
      </c>
      <c r="D539" t="s">
        <v>3505</v>
      </c>
      <c r="E539" s="9">
        <v>45645</v>
      </c>
      <c r="F539" s="9">
        <v>45657</v>
      </c>
      <c r="G539" t="s">
        <v>45</v>
      </c>
      <c r="H539" t="s">
        <v>68</v>
      </c>
      <c r="I539" t="s">
        <v>59</v>
      </c>
      <c r="J539" t="s">
        <v>60</v>
      </c>
      <c r="K539" t="s">
        <v>36</v>
      </c>
      <c r="L539" t="s">
        <v>49</v>
      </c>
      <c r="M539" t="s">
        <v>50</v>
      </c>
      <c r="O539" t="s">
        <v>39</v>
      </c>
      <c r="P539" t="s">
        <v>39</v>
      </c>
      <c r="Q539" t="s">
        <v>39</v>
      </c>
      <c r="R539" t="s">
        <v>41</v>
      </c>
      <c r="S539" t="s">
        <v>40</v>
      </c>
      <c r="T539" t="s">
        <v>41</v>
      </c>
      <c r="U539" t="s">
        <v>39</v>
      </c>
      <c r="V539" t="s">
        <v>39</v>
      </c>
      <c r="W539" t="s">
        <v>40</v>
      </c>
    </row>
    <row r="540" spans="1:31" x14ac:dyDescent="0.2">
      <c r="A540">
        <v>43380263</v>
      </c>
      <c r="B540" t="s">
        <v>5156</v>
      </c>
      <c r="C540" t="s">
        <v>5157</v>
      </c>
      <c r="D540" t="s">
        <v>3505</v>
      </c>
      <c r="E540" s="9">
        <v>45645</v>
      </c>
      <c r="F540" s="9">
        <v>45678</v>
      </c>
      <c r="G540" t="s">
        <v>45</v>
      </c>
      <c r="H540" t="s">
        <v>252</v>
      </c>
      <c r="J540" t="s">
        <v>254</v>
      </c>
      <c r="K540" t="s">
        <v>48</v>
      </c>
      <c r="L540" t="s">
        <v>49</v>
      </c>
      <c r="M540" t="s">
        <v>50</v>
      </c>
      <c r="O540" t="s">
        <v>39</v>
      </c>
      <c r="P540" t="s">
        <v>39</v>
      </c>
      <c r="Q540" t="s">
        <v>39</v>
      </c>
      <c r="R540" t="s">
        <v>41</v>
      </c>
      <c r="S540" t="s">
        <v>40</v>
      </c>
      <c r="T540" t="s">
        <v>41</v>
      </c>
      <c r="U540" t="s">
        <v>39</v>
      </c>
      <c r="V540" t="s">
        <v>39</v>
      </c>
      <c r="W540" t="s">
        <v>40</v>
      </c>
      <c r="AB540" t="s">
        <v>5158</v>
      </c>
      <c r="AC540" t="s">
        <v>5159</v>
      </c>
      <c r="AD540" t="s">
        <v>5160</v>
      </c>
      <c r="AE540" t="s">
        <v>5161</v>
      </c>
    </row>
    <row r="541" spans="1:31" x14ac:dyDescent="0.2">
      <c r="A541">
        <v>43380339</v>
      </c>
      <c r="B541" t="s">
        <v>5162</v>
      </c>
      <c r="C541" t="s">
        <v>5163</v>
      </c>
      <c r="D541" t="s">
        <v>3505</v>
      </c>
      <c r="E541" s="9">
        <v>45645</v>
      </c>
      <c r="F541" s="9">
        <v>45647</v>
      </c>
      <c r="G541" t="s">
        <v>45</v>
      </c>
      <c r="H541" t="s">
        <v>96</v>
      </c>
      <c r="I541" t="s">
        <v>4433</v>
      </c>
      <c r="J541" t="s">
        <v>342</v>
      </c>
      <c r="K541" t="s">
        <v>48</v>
      </c>
      <c r="L541" t="s">
        <v>37</v>
      </c>
      <c r="M541" t="s">
        <v>50</v>
      </c>
      <c r="O541" t="s">
        <v>39</v>
      </c>
      <c r="P541" t="s">
        <v>39</v>
      </c>
      <c r="Q541" t="s">
        <v>39</v>
      </c>
      <c r="R541" t="s">
        <v>41</v>
      </c>
      <c r="S541" t="s">
        <v>40</v>
      </c>
      <c r="T541" t="s">
        <v>41</v>
      </c>
      <c r="U541" t="s">
        <v>39</v>
      </c>
      <c r="V541" t="s">
        <v>39</v>
      </c>
      <c r="W541" t="s">
        <v>40</v>
      </c>
      <c r="AB541" t="s">
        <v>5164</v>
      </c>
      <c r="AC541" t="s">
        <v>5165</v>
      </c>
      <c r="AD541" t="s">
        <v>5166</v>
      </c>
    </row>
    <row r="542" spans="1:31" x14ac:dyDescent="0.2">
      <c r="A542">
        <v>43380232</v>
      </c>
      <c r="B542" t="s">
        <v>5167</v>
      </c>
      <c r="C542" t="s">
        <v>5168</v>
      </c>
      <c r="D542" t="s">
        <v>3505</v>
      </c>
      <c r="E542" s="9">
        <v>45645</v>
      </c>
      <c r="F542" s="9">
        <v>45657</v>
      </c>
      <c r="G542" t="s">
        <v>45</v>
      </c>
      <c r="H542" t="s">
        <v>80</v>
      </c>
      <c r="I542" t="s">
        <v>1439</v>
      </c>
      <c r="J542" t="s">
        <v>342</v>
      </c>
      <c r="K542" t="s">
        <v>48</v>
      </c>
      <c r="L542" t="s">
        <v>49</v>
      </c>
      <c r="M542" t="s">
        <v>50</v>
      </c>
      <c r="O542" t="s">
        <v>39</v>
      </c>
      <c r="P542" t="s">
        <v>39</v>
      </c>
      <c r="Q542" t="s">
        <v>39</v>
      </c>
      <c r="R542" t="s">
        <v>41</v>
      </c>
      <c r="S542" t="s">
        <v>40</v>
      </c>
      <c r="T542" t="s">
        <v>41</v>
      </c>
      <c r="U542" t="s">
        <v>39</v>
      </c>
      <c r="V542" t="s">
        <v>39</v>
      </c>
      <c r="W542" t="s">
        <v>40</v>
      </c>
      <c r="AB542" t="s">
        <v>5169</v>
      </c>
      <c r="AC542" t="s">
        <v>5170</v>
      </c>
      <c r="AD542" t="s">
        <v>5171</v>
      </c>
    </row>
    <row r="543" spans="1:31" x14ac:dyDescent="0.2">
      <c r="A543">
        <v>43635049</v>
      </c>
      <c r="B543" t="s">
        <v>5172</v>
      </c>
      <c r="C543" t="s">
        <v>5173</v>
      </c>
      <c r="D543" t="s">
        <v>3505</v>
      </c>
      <c r="E543" s="9">
        <v>45678</v>
      </c>
      <c r="F543" s="9">
        <v>45701</v>
      </c>
      <c r="G543" t="s">
        <v>45</v>
      </c>
      <c r="H543" t="s">
        <v>46</v>
      </c>
      <c r="I543" t="s">
        <v>53</v>
      </c>
      <c r="J543" t="s">
        <v>47</v>
      </c>
      <c r="K543" t="s">
        <v>36</v>
      </c>
      <c r="L543" t="s">
        <v>49</v>
      </c>
      <c r="M543" t="s">
        <v>50</v>
      </c>
      <c r="O543" t="s">
        <v>39</v>
      </c>
      <c r="P543" t="s">
        <v>39</v>
      </c>
      <c r="Q543" t="s">
        <v>39</v>
      </c>
      <c r="R543" t="s">
        <v>41</v>
      </c>
      <c r="S543" t="s">
        <v>40</v>
      </c>
      <c r="T543" t="s">
        <v>41</v>
      </c>
      <c r="U543" t="s">
        <v>39</v>
      </c>
      <c r="V543" t="s">
        <v>39</v>
      </c>
      <c r="W543" t="s">
        <v>40</v>
      </c>
      <c r="AB543" t="s">
        <v>5174</v>
      </c>
      <c r="AC543" t="s">
        <v>5175</v>
      </c>
      <c r="AD543" t="s">
        <v>5176</v>
      </c>
    </row>
    <row r="544" spans="1:31" x14ac:dyDescent="0.2">
      <c r="A544">
        <v>43635027</v>
      </c>
      <c r="B544" t="s">
        <v>5177</v>
      </c>
      <c r="C544" t="s">
        <v>5178</v>
      </c>
      <c r="D544" t="s">
        <v>3505</v>
      </c>
      <c r="E544" s="9">
        <v>45678</v>
      </c>
      <c r="F544" s="9">
        <v>45761</v>
      </c>
      <c r="G544" t="s">
        <v>45</v>
      </c>
      <c r="H544" t="s">
        <v>80</v>
      </c>
      <c r="I544" t="s">
        <v>1439</v>
      </c>
      <c r="J544" t="s">
        <v>342</v>
      </c>
      <c r="K544" t="s">
        <v>36</v>
      </c>
      <c r="L544" t="s">
        <v>37</v>
      </c>
      <c r="M544" t="s">
        <v>50</v>
      </c>
      <c r="O544" t="s">
        <v>39</v>
      </c>
      <c r="P544" t="s">
        <v>39</v>
      </c>
      <c r="Q544" t="s">
        <v>39</v>
      </c>
      <c r="R544" t="s">
        <v>41</v>
      </c>
      <c r="S544" t="s">
        <v>40</v>
      </c>
      <c r="T544" t="s">
        <v>41</v>
      </c>
      <c r="U544" t="s">
        <v>39</v>
      </c>
      <c r="V544" t="s">
        <v>39</v>
      </c>
      <c r="W544" t="s">
        <v>40</v>
      </c>
      <c r="AB544" t="s">
        <v>5179</v>
      </c>
      <c r="AC544" t="s">
        <v>5180</v>
      </c>
      <c r="AD544" t="s">
        <v>5181</v>
      </c>
    </row>
    <row r="545" spans="1:31" x14ac:dyDescent="0.2">
      <c r="A545">
        <v>43634767</v>
      </c>
      <c r="B545" t="s">
        <v>5182</v>
      </c>
      <c r="C545" t="s">
        <v>5183</v>
      </c>
      <c r="D545" t="s">
        <v>3505</v>
      </c>
      <c r="E545" s="9">
        <v>45678</v>
      </c>
      <c r="F545" s="9">
        <v>45833</v>
      </c>
      <c r="G545" t="s">
        <v>45</v>
      </c>
      <c r="H545" t="s">
        <v>46</v>
      </c>
      <c r="J545" t="s">
        <v>54</v>
      </c>
      <c r="K545" t="s">
        <v>48</v>
      </c>
      <c r="L545" t="s">
        <v>49</v>
      </c>
      <c r="M545" t="s">
        <v>50</v>
      </c>
      <c r="O545" t="s">
        <v>39</v>
      </c>
      <c r="P545" t="s">
        <v>39</v>
      </c>
      <c r="Q545" t="s">
        <v>39</v>
      </c>
      <c r="R545" t="s">
        <v>41</v>
      </c>
      <c r="S545" t="s">
        <v>40</v>
      </c>
      <c r="T545" t="s">
        <v>41</v>
      </c>
      <c r="U545" t="s">
        <v>39</v>
      </c>
      <c r="V545" t="s">
        <v>39</v>
      </c>
      <c r="W545" t="s">
        <v>40</v>
      </c>
      <c r="X545" t="s">
        <v>5184</v>
      </c>
      <c r="AB545" t="s">
        <v>5185</v>
      </c>
      <c r="AC545" t="s">
        <v>5186</v>
      </c>
      <c r="AD545" t="s">
        <v>5187</v>
      </c>
    </row>
    <row r="546" spans="1:31" x14ac:dyDescent="0.2">
      <c r="A546">
        <v>43634986</v>
      </c>
      <c r="B546" t="s">
        <v>5188</v>
      </c>
      <c r="C546" t="s">
        <v>5189</v>
      </c>
      <c r="D546" t="s">
        <v>3505</v>
      </c>
      <c r="E546" s="9">
        <v>45678</v>
      </c>
      <c r="F546" s="9">
        <v>45688</v>
      </c>
      <c r="G546" t="s">
        <v>45</v>
      </c>
      <c r="H546" t="s">
        <v>90</v>
      </c>
      <c r="J546" t="s">
        <v>123</v>
      </c>
      <c r="K546" t="s">
        <v>48</v>
      </c>
      <c r="L546" t="s">
        <v>49</v>
      </c>
      <c r="M546" t="s">
        <v>50</v>
      </c>
      <c r="O546" t="s">
        <v>39</v>
      </c>
      <c r="P546" t="s">
        <v>39</v>
      </c>
      <c r="Q546" t="s">
        <v>39</v>
      </c>
      <c r="R546" t="s">
        <v>41</v>
      </c>
      <c r="S546" t="s">
        <v>40</v>
      </c>
      <c r="T546" t="s">
        <v>41</v>
      </c>
      <c r="U546" t="s">
        <v>39</v>
      </c>
      <c r="V546" t="s">
        <v>39</v>
      </c>
      <c r="W546" t="s">
        <v>40</v>
      </c>
      <c r="AB546" t="s">
        <v>5190</v>
      </c>
      <c r="AC546" t="s">
        <v>5191</v>
      </c>
      <c r="AD546" t="s">
        <v>5192</v>
      </c>
    </row>
    <row r="547" spans="1:31" x14ac:dyDescent="0.2">
      <c r="A547">
        <v>43635040</v>
      </c>
      <c r="B547" t="s">
        <v>70</v>
      </c>
      <c r="C547" t="s">
        <v>2181</v>
      </c>
      <c r="D547" t="s">
        <v>32</v>
      </c>
      <c r="E547" s="9">
        <v>45678</v>
      </c>
      <c r="G547" t="s">
        <v>45</v>
      </c>
      <c r="H547" t="s">
        <v>72</v>
      </c>
      <c r="J547" t="s">
        <v>73</v>
      </c>
      <c r="K547" t="s">
        <v>48</v>
      </c>
      <c r="L547" t="s">
        <v>49</v>
      </c>
      <c r="M547" t="s">
        <v>74</v>
      </c>
      <c r="O547" t="s">
        <v>41</v>
      </c>
      <c r="P547" t="s">
        <v>39</v>
      </c>
      <c r="Q547" t="s">
        <v>39</v>
      </c>
      <c r="R547" t="s">
        <v>41</v>
      </c>
      <c r="S547" t="s">
        <v>40</v>
      </c>
      <c r="T547" t="s">
        <v>41</v>
      </c>
      <c r="U547" t="s">
        <v>39</v>
      </c>
      <c r="V547" t="s">
        <v>39</v>
      </c>
      <c r="W547" t="s">
        <v>40</v>
      </c>
      <c r="AB547" t="s">
        <v>75</v>
      </c>
      <c r="AC547" t="s">
        <v>76</v>
      </c>
      <c r="AD547" t="s">
        <v>77</v>
      </c>
      <c r="AE547" t="s">
        <v>2182</v>
      </c>
    </row>
    <row r="548" spans="1:31" x14ac:dyDescent="0.2">
      <c r="A548">
        <v>43634760</v>
      </c>
      <c r="B548" t="s">
        <v>5193</v>
      </c>
      <c r="C548" t="s">
        <v>5194</v>
      </c>
      <c r="D548" t="s">
        <v>3505</v>
      </c>
      <c r="E548" s="9">
        <v>45678</v>
      </c>
      <c r="F548" s="9">
        <v>45701</v>
      </c>
      <c r="G548" t="s">
        <v>45</v>
      </c>
      <c r="H548" t="s">
        <v>53</v>
      </c>
      <c r="J548" t="s">
        <v>4038</v>
      </c>
      <c r="K548" t="s">
        <v>48</v>
      </c>
      <c r="L548" t="s">
        <v>49</v>
      </c>
      <c r="M548" t="s">
        <v>74</v>
      </c>
      <c r="O548" t="s">
        <v>39</v>
      </c>
      <c r="P548" t="s">
        <v>39</v>
      </c>
      <c r="Q548" t="s">
        <v>39</v>
      </c>
      <c r="R548" t="s">
        <v>41</v>
      </c>
      <c r="S548" t="s">
        <v>40</v>
      </c>
      <c r="T548" t="s">
        <v>41</v>
      </c>
      <c r="U548" t="s">
        <v>39</v>
      </c>
      <c r="V548" t="s">
        <v>39</v>
      </c>
      <c r="W548" t="s">
        <v>40</v>
      </c>
      <c r="AB548" t="s">
        <v>5195</v>
      </c>
      <c r="AC548" t="s">
        <v>5196</v>
      </c>
      <c r="AD548" t="s">
        <v>5197</v>
      </c>
    </row>
    <row r="549" spans="1:31" x14ac:dyDescent="0.2">
      <c r="A549">
        <v>43635030</v>
      </c>
      <c r="B549" t="s">
        <v>5198</v>
      </c>
      <c r="C549" t="s">
        <v>4556</v>
      </c>
      <c r="D549" t="s">
        <v>3505</v>
      </c>
      <c r="E549" s="9">
        <v>45678</v>
      </c>
      <c r="F549" s="9">
        <v>45761</v>
      </c>
      <c r="G549" t="s">
        <v>45</v>
      </c>
      <c r="H549" t="s">
        <v>80</v>
      </c>
      <c r="J549" t="s">
        <v>138</v>
      </c>
      <c r="K549" t="s">
        <v>48</v>
      </c>
      <c r="L549" t="s">
        <v>37</v>
      </c>
      <c r="M549" t="s">
        <v>74</v>
      </c>
      <c r="O549" t="s">
        <v>39</v>
      </c>
      <c r="P549" t="s">
        <v>39</v>
      </c>
      <c r="Q549" t="s">
        <v>39</v>
      </c>
      <c r="R549" t="s">
        <v>41</v>
      </c>
      <c r="S549" t="s">
        <v>40</v>
      </c>
      <c r="T549" t="s">
        <v>41</v>
      </c>
      <c r="U549" t="s">
        <v>39</v>
      </c>
      <c r="V549" t="s">
        <v>39</v>
      </c>
      <c r="W549" t="s">
        <v>40</v>
      </c>
      <c r="X549" t="s">
        <v>5199</v>
      </c>
      <c r="AB549" t="s">
        <v>5200</v>
      </c>
      <c r="AC549" t="s">
        <v>5201</v>
      </c>
      <c r="AD549" t="s">
        <v>5202</v>
      </c>
    </row>
    <row r="550" spans="1:31" x14ac:dyDescent="0.2">
      <c r="A550">
        <v>43830905</v>
      </c>
      <c r="B550" t="s">
        <v>5203</v>
      </c>
      <c r="C550" t="s">
        <v>5204</v>
      </c>
      <c r="D550" t="s">
        <v>3505</v>
      </c>
      <c r="E550" s="9">
        <v>45701</v>
      </c>
      <c r="F550" s="9">
        <v>45810</v>
      </c>
      <c r="G550" t="s">
        <v>45</v>
      </c>
      <c r="H550" t="s">
        <v>68</v>
      </c>
      <c r="I550" t="s">
        <v>46</v>
      </c>
      <c r="J550" t="s">
        <v>60</v>
      </c>
      <c r="K550" t="s">
        <v>48</v>
      </c>
      <c r="L550" t="s">
        <v>49</v>
      </c>
      <c r="M550" t="s">
        <v>50</v>
      </c>
      <c r="O550" t="s">
        <v>39</v>
      </c>
      <c r="P550" t="s">
        <v>39</v>
      </c>
      <c r="Q550" t="s">
        <v>39</v>
      </c>
      <c r="R550" t="s">
        <v>41</v>
      </c>
      <c r="S550" t="s">
        <v>40</v>
      </c>
      <c r="T550" t="s">
        <v>41</v>
      </c>
      <c r="U550" t="s">
        <v>39</v>
      </c>
      <c r="V550" t="s">
        <v>39</v>
      </c>
      <c r="W550" t="s">
        <v>40</v>
      </c>
      <c r="AB550" t="s">
        <v>5205</v>
      </c>
      <c r="AC550" t="s">
        <v>5206</v>
      </c>
      <c r="AD550" t="s">
        <v>5207</v>
      </c>
    </row>
    <row r="551" spans="1:31" x14ac:dyDescent="0.2">
      <c r="A551">
        <v>43830497</v>
      </c>
      <c r="B551" t="s">
        <v>5208</v>
      </c>
      <c r="C551" t="s">
        <v>5209</v>
      </c>
      <c r="D551" t="s">
        <v>3505</v>
      </c>
      <c r="E551" s="9">
        <v>45701</v>
      </c>
      <c r="F551" s="9">
        <v>45761</v>
      </c>
      <c r="G551" t="s">
        <v>45</v>
      </c>
      <c r="H551" t="s">
        <v>46</v>
      </c>
      <c r="I551" t="s">
        <v>53</v>
      </c>
      <c r="J551" t="s">
        <v>73</v>
      </c>
      <c r="K551" t="s">
        <v>36</v>
      </c>
      <c r="L551" t="s">
        <v>49</v>
      </c>
      <c r="M551" t="s">
        <v>50</v>
      </c>
      <c r="O551" t="s">
        <v>39</v>
      </c>
      <c r="P551" t="s">
        <v>39</v>
      </c>
      <c r="Q551" t="s">
        <v>39</v>
      </c>
      <c r="R551" t="s">
        <v>41</v>
      </c>
      <c r="S551" t="s">
        <v>40</v>
      </c>
      <c r="T551" t="s">
        <v>41</v>
      </c>
      <c r="U551" t="s">
        <v>39</v>
      </c>
      <c r="V551" t="s">
        <v>39</v>
      </c>
      <c r="W551" t="s">
        <v>40</v>
      </c>
      <c r="X551" t="s">
        <v>5210</v>
      </c>
      <c r="AB551" t="s">
        <v>5211</v>
      </c>
      <c r="AC551" t="s">
        <v>5212</v>
      </c>
      <c r="AD551" t="s">
        <v>5213</v>
      </c>
    </row>
    <row r="552" spans="1:31" x14ac:dyDescent="0.2">
      <c r="A552">
        <v>43830517</v>
      </c>
      <c r="B552" t="s">
        <v>5214</v>
      </c>
      <c r="C552" t="s">
        <v>5215</v>
      </c>
      <c r="D552" t="s">
        <v>3505</v>
      </c>
      <c r="E552" s="9">
        <v>45701</v>
      </c>
      <c r="F552" s="9">
        <v>45905</v>
      </c>
      <c r="G552" t="s">
        <v>45</v>
      </c>
      <c r="H552" t="s">
        <v>46</v>
      </c>
      <c r="I552" t="s">
        <v>90</v>
      </c>
      <c r="J552" t="s">
        <v>123</v>
      </c>
      <c r="K552" t="s">
        <v>48</v>
      </c>
      <c r="L552" t="s">
        <v>49</v>
      </c>
      <c r="M552" t="s">
        <v>50</v>
      </c>
      <c r="O552" t="s">
        <v>39</v>
      </c>
      <c r="P552" t="s">
        <v>39</v>
      </c>
      <c r="Q552" t="s">
        <v>39</v>
      </c>
      <c r="R552" t="s">
        <v>41</v>
      </c>
      <c r="S552" t="s">
        <v>40</v>
      </c>
      <c r="T552" t="s">
        <v>41</v>
      </c>
      <c r="U552" t="s">
        <v>39</v>
      </c>
      <c r="V552" t="s">
        <v>39</v>
      </c>
      <c r="W552" t="s">
        <v>39</v>
      </c>
      <c r="AB552" t="s">
        <v>5216</v>
      </c>
      <c r="AC552" t="s">
        <v>5217</v>
      </c>
      <c r="AD552" t="s">
        <v>5218</v>
      </c>
    </row>
    <row r="553" spans="1:31" x14ac:dyDescent="0.2">
      <c r="A553">
        <v>43831571</v>
      </c>
      <c r="B553" t="s">
        <v>5219</v>
      </c>
      <c r="C553" t="s">
        <v>5220</v>
      </c>
      <c r="D553" t="s">
        <v>3505</v>
      </c>
      <c r="E553" s="9">
        <v>45701</v>
      </c>
      <c r="F553" s="9">
        <v>45761</v>
      </c>
      <c r="G553" t="s">
        <v>45</v>
      </c>
      <c r="H553" t="s">
        <v>90</v>
      </c>
      <c r="J553" t="s">
        <v>123</v>
      </c>
      <c r="K553" t="s">
        <v>48</v>
      </c>
      <c r="L553" t="s">
        <v>49</v>
      </c>
      <c r="M553" t="s">
        <v>50</v>
      </c>
      <c r="O553" t="s">
        <v>39</v>
      </c>
      <c r="P553" t="s">
        <v>39</v>
      </c>
      <c r="Q553" t="s">
        <v>39</v>
      </c>
      <c r="R553" t="s">
        <v>39</v>
      </c>
      <c r="S553" t="s">
        <v>40</v>
      </c>
      <c r="T553" t="s">
        <v>41</v>
      </c>
      <c r="U553" t="s">
        <v>39</v>
      </c>
      <c r="V553" t="s">
        <v>39</v>
      </c>
      <c r="W553" t="s">
        <v>40</v>
      </c>
      <c r="AB553" t="s">
        <v>5221</v>
      </c>
      <c r="AC553" t="s">
        <v>5222</v>
      </c>
      <c r="AD553" t="s">
        <v>5223</v>
      </c>
    </row>
    <row r="554" spans="1:31" x14ac:dyDescent="0.2">
      <c r="A554">
        <v>43830766</v>
      </c>
      <c r="B554" t="s">
        <v>5224</v>
      </c>
      <c r="C554" t="s">
        <v>5225</v>
      </c>
      <c r="D554" t="s">
        <v>3505</v>
      </c>
      <c r="E554" s="9">
        <v>45701</v>
      </c>
      <c r="F554" s="9">
        <v>45810</v>
      </c>
      <c r="G554" t="s">
        <v>45</v>
      </c>
      <c r="H554" t="s">
        <v>46</v>
      </c>
      <c r="I554" t="s">
        <v>90</v>
      </c>
      <c r="J554" t="s">
        <v>54</v>
      </c>
      <c r="K554" t="s">
        <v>48</v>
      </c>
      <c r="L554" t="s">
        <v>37</v>
      </c>
      <c r="M554" t="s">
        <v>50</v>
      </c>
      <c r="O554" t="s">
        <v>39</v>
      </c>
      <c r="P554" t="s">
        <v>39</v>
      </c>
      <c r="Q554" t="s">
        <v>39</v>
      </c>
      <c r="R554" t="s">
        <v>41</v>
      </c>
      <c r="S554" t="s">
        <v>40</v>
      </c>
      <c r="T554" t="s">
        <v>41</v>
      </c>
      <c r="U554" t="s">
        <v>39</v>
      </c>
      <c r="V554" t="s">
        <v>39</v>
      </c>
      <c r="W554" t="s">
        <v>40</v>
      </c>
      <c r="X554" t="s">
        <v>5226</v>
      </c>
      <c r="AB554" t="s">
        <v>5227</v>
      </c>
      <c r="AC554" t="s">
        <v>5228</v>
      </c>
      <c r="AD554" t="s">
        <v>5229</v>
      </c>
    </row>
    <row r="555" spans="1:31" x14ac:dyDescent="0.2">
      <c r="A555">
        <v>43830871</v>
      </c>
      <c r="B555" t="s">
        <v>5230</v>
      </c>
      <c r="C555" t="s">
        <v>5231</v>
      </c>
      <c r="D555" t="s">
        <v>3505</v>
      </c>
      <c r="E555" s="9">
        <v>45701</v>
      </c>
      <c r="F555" s="9">
        <v>45761</v>
      </c>
      <c r="G555" t="s">
        <v>45</v>
      </c>
      <c r="H555" t="s">
        <v>5232</v>
      </c>
      <c r="I555" t="s">
        <v>80</v>
      </c>
      <c r="J555" t="s">
        <v>138</v>
      </c>
      <c r="K555" t="s">
        <v>48</v>
      </c>
      <c r="L555" t="s">
        <v>49</v>
      </c>
      <c r="M555" t="s">
        <v>50</v>
      </c>
      <c r="O555" t="s">
        <v>39</v>
      </c>
      <c r="P555" t="s">
        <v>39</v>
      </c>
      <c r="Q555" t="s">
        <v>39</v>
      </c>
      <c r="R555" t="s">
        <v>41</v>
      </c>
      <c r="S555" t="s">
        <v>40</v>
      </c>
      <c r="T555" t="s">
        <v>41</v>
      </c>
      <c r="U555" t="s">
        <v>39</v>
      </c>
      <c r="V555" t="s">
        <v>39</v>
      </c>
      <c r="W555" t="s">
        <v>40</v>
      </c>
      <c r="X555" t="s">
        <v>5233</v>
      </c>
      <c r="AB555" t="s">
        <v>5234</v>
      </c>
      <c r="AC555" t="s">
        <v>5235</v>
      </c>
      <c r="AD555" t="s">
        <v>5236</v>
      </c>
    </row>
    <row r="556" spans="1:31" x14ac:dyDescent="0.2">
      <c r="A556">
        <v>43831597</v>
      </c>
      <c r="B556" t="s">
        <v>5237</v>
      </c>
      <c r="C556" t="s">
        <v>5238</v>
      </c>
      <c r="D556" t="s">
        <v>3505</v>
      </c>
      <c r="E556" s="9">
        <v>45701</v>
      </c>
      <c r="F556" s="9">
        <v>45724</v>
      </c>
      <c r="G556" t="s">
        <v>45</v>
      </c>
      <c r="H556" t="s">
        <v>90</v>
      </c>
      <c r="I556" t="s">
        <v>96</v>
      </c>
      <c r="J556" t="s">
        <v>154</v>
      </c>
      <c r="K556" t="s">
        <v>36</v>
      </c>
      <c r="L556" t="s">
        <v>49</v>
      </c>
      <c r="M556" t="s">
        <v>50</v>
      </c>
      <c r="O556" t="s">
        <v>39</v>
      </c>
      <c r="P556" t="s">
        <v>39</v>
      </c>
      <c r="Q556" t="s">
        <v>39</v>
      </c>
      <c r="R556" t="s">
        <v>41</v>
      </c>
      <c r="S556" t="s">
        <v>40</v>
      </c>
      <c r="T556" t="s">
        <v>41</v>
      </c>
      <c r="U556" t="s">
        <v>39</v>
      </c>
      <c r="V556" t="s">
        <v>39</v>
      </c>
      <c r="W556" t="s">
        <v>40</v>
      </c>
      <c r="AB556" t="s">
        <v>5239</v>
      </c>
      <c r="AC556" t="s">
        <v>5240</v>
      </c>
    </row>
    <row r="557" spans="1:31" x14ac:dyDescent="0.2">
      <c r="A557">
        <v>43831053</v>
      </c>
      <c r="B557" t="s">
        <v>5241</v>
      </c>
      <c r="C557" t="s">
        <v>5242</v>
      </c>
      <c r="D557" t="s">
        <v>3505</v>
      </c>
      <c r="E557" s="9">
        <v>45701</v>
      </c>
      <c r="F557" s="9">
        <v>45810</v>
      </c>
      <c r="G557" t="s">
        <v>45</v>
      </c>
      <c r="H557" t="s">
        <v>253</v>
      </c>
      <c r="I557" t="s">
        <v>1158</v>
      </c>
      <c r="J557" t="s">
        <v>3954</v>
      </c>
      <c r="K557" t="s">
        <v>36</v>
      </c>
      <c r="L557" t="s">
        <v>49</v>
      </c>
      <c r="M557" t="s">
        <v>50</v>
      </c>
      <c r="O557" t="s">
        <v>39</v>
      </c>
      <c r="P557" t="s">
        <v>39</v>
      </c>
      <c r="Q557" t="s">
        <v>41</v>
      </c>
      <c r="R557" t="s">
        <v>39</v>
      </c>
      <c r="S557" t="s">
        <v>40</v>
      </c>
      <c r="T557" t="s">
        <v>41</v>
      </c>
      <c r="U557" t="s">
        <v>39</v>
      </c>
      <c r="V557" t="s">
        <v>39</v>
      </c>
      <c r="W557" t="s">
        <v>40</v>
      </c>
      <c r="AB557" t="s">
        <v>5243</v>
      </c>
      <c r="AC557" t="s">
        <v>5244</v>
      </c>
      <c r="AD557" t="s">
        <v>5245</v>
      </c>
    </row>
    <row r="558" spans="1:31" x14ac:dyDescent="0.2">
      <c r="A558">
        <v>43830185</v>
      </c>
      <c r="B558" t="s">
        <v>5246</v>
      </c>
      <c r="C558" t="s">
        <v>5247</v>
      </c>
      <c r="D558" t="s">
        <v>3505</v>
      </c>
      <c r="E558" s="9">
        <v>45701</v>
      </c>
      <c r="F558" s="9">
        <v>45761</v>
      </c>
      <c r="G558" t="s">
        <v>45</v>
      </c>
      <c r="H558" t="s">
        <v>1160</v>
      </c>
      <c r="J558" t="s">
        <v>154</v>
      </c>
      <c r="K558" t="s">
        <v>48</v>
      </c>
      <c r="L558" t="s">
        <v>49</v>
      </c>
      <c r="M558" t="s">
        <v>74</v>
      </c>
      <c r="O558" t="s">
        <v>39</v>
      </c>
      <c r="P558" t="s">
        <v>39</v>
      </c>
      <c r="Q558" t="s">
        <v>39</v>
      </c>
      <c r="R558" t="s">
        <v>41</v>
      </c>
      <c r="S558" t="s">
        <v>40</v>
      </c>
      <c r="T558" t="s">
        <v>41</v>
      </c>
      <c r="U558" t="s">
        <v>39</v>
      </c>
      <c r="V558" t="s">
        <v>39</v>
      </c>
      <c r="W558" t="s">
        <v>40</v>
      </c>
      <c r="AB558" t="s">
        <v>5248</v>
      </c>
      <c r="AC558" t="s">
        <v>5249</v>
      </c>
      <c r="AD558" t="s">
        <v>5250</v>
      </c>
    </row>
    <row r="559" spans="1:31" x14ac:dyDescent="0.2">
      <c r="A559">
        <v>43830852</v>
      </c>
      <c r="B559" t="s">
        <v>5251</v>
      </c>
      <c r="C559" t="s">
        <v>1764</v>
      </c>
      <c r="D559" t="s">
        <v>3505</v>
      </c>
      <c r="E559" s="9">
        <v>45701</v>
      </c>
      <c r="F559" s="9">
        <v>45724</v>
      </c>
      <c r="G559" t="s">
        <v>45</v>
      </c>
      <c r="H559" t="s">
        <v>90</v>
      </c>
      <c r="J559" t="s">
        <v>138</v>
      </c>
      <c r="K559" t="s">
        <v>36</v>
      </c>
      <c r="L559" t="s">
        <v>49</v>
      </c>
      <c r="M559" t="s">
        <v>50</v>
      </c>
      <c r="O559" t="s">
        <v>39</v>
      </c>
      <c r="P559" t="s">
        <v>39</v>
      </c>
      <c r="Q559" t="s">
        <v>39</v>
      </c>
      <c r="R559" t="s">
        <v>41</v>
      </c>
      <c r="S559" t="s">
        <v>40</v>
      </c>
      <c r="T559" t="s">
        <v>41</v>
      </c>
      <c r="U559" t="s">
        <v>39</v>
      </c>
      <c r="V559" t="s">
        <v>39</v>
      </c>
      <c r="W559" t="s">
        <v>40</v>
      </c>
      <c r="AB559" t="s">
        <v>5252</v>
      </c>
      <c r="AC559" t="s">
        <v>5253</v>
      </c>
      <c r="AD559" t="s">
        <v>5254</v>
      </c>
    </row>
    <row r="560" spans="1:31" x14ac:dyDescent="0.2">
      <c r="A560">
        <v>43830509</v>
      </c>
      <c r="B560" t="s">
        <v>5255</v>
      </c>
      <c r="C560" t="s">
        <v>5256</v>
      </c>
      <c r="D560" t="s">
        <v>3505</v>
      </c>
      <c r="E560" s="9">
        <v>45701</v>
      </c>
      <c r="F560" s="9">
        <v>45761</v>
      </c>
      <c r="G560" t="s">
        <v>45</v>
      </c>
      <c r="H560" t="s">
        <v>253</v>
      </c>
      <c r="J560" t="s">
        <v>254</v>
      </c>
      <c r="K560" t="s">
        <v>36</v>
      </c>
      <c r="L560" t="s">
        <v>49</v>
      </c>
      <c r="M560" t="s">
        <v>50</v>
      </c>
      <c r="O560" t="s">
        <v>39</v>
      </c>
      <c r="P560" t="s">
        <v>39</v>
      </c>
      <c r="Q560" t="s">
        <v>39</v>
      </c>
      <c r="R560" t="s">
        <v>41</v>
      </c>
      <c r="S560" t="s">
        <v>40</v>
      </c>
      <c r="T560" t="s">
        <v>41</v>
      </c>
      <c r="U560" t="s">
        <v>39</v>
      </c>
      <c r="V560" t="s">
        <v>39</v>
      </c>
      <c r="W560" t="s">
        <v>40</v>
      </c>
      <c r="AB560" t="s">
        <v>5257</v>
      </c>
      <c r="AC560" t="s">
        <v>5258</v>
      </c>
      <c r="AD560" t="s">
        <v>5259</v>
      </c>
    </row>
    <row r="561" spans="1:31" x14ac:dyDescent="0.2">
      <c r="A561">
        <v>43830374</v>
      </c>
      <c r="B561" t="s">
        <v>78</v>
      </c>
      <c r="C561" t="s">
        <v>79</v>
      </c>
      <c r="D561" t="s">
        <v>32</v>
      </c>
      <c r="E561" s="9">
        <v>45701</v>
      </c>
      <c r="G561" t="s">
        <v>45</v>
      </c>
      <c r="H561" t="s">
        <v>80</v>
      </c>
      <c r="I561" t="s">
        <v>81</v>
      </c>
      <c r="J561" t="s">
        <v>82</v>
      </c>
      <c r="K561" t="s">
        <v>48</v>
      </c>
      <c r="L561" t="s">
        <v>49</v>
      </c>
      <c r="M561" t="s">
        <v>50</v>
      </c>
      <c r="O561" t="s">
        <v>39</v>
      </c>
      <c r="P561" t="s">
        <v>39</v>
      </c>
      <c r="Q561" t="s">
        <v>39</v>
      </c>
      <c r="R561" t="s">
        <v>41</v>
      </c>
      <c r="S561" t="s">
        <v>40</v>
      </c>
      <c r="T561" t="s">
        <v>41</v>
      </c>
      <c r="U561" t="s">
        <v>39</v>
      </c>
      <c r="V561" t="s">
        <v>39</v>
      </c>
      <c r="W561" t="s">
        <v>40</v>
      </c>
      <c r="X561" t="s">
        <v>1411</v>
      </c>
      <c r="AB561" t="s">
        <v>83</v>
      </c>
      <c r="AC561" t="s">
        <v>84</v>
      </c>
      <c r="AD561" t="s">
        <v>85</v>
      </c>
      <c r="AE561" t="s">
        <v>86</v>
      </c>
    </row>
    <row r="562" spans="1:31" x14ac:dyDescent="0.2">
      <c r="A562">
        <v>43830858</v>
      </c>
      <c r="B562" t="s">
        <v>5260</v>
      </c>
      <c r="C562" t="s">
        <v>5261</v>
      </c>
      <c r="D562" t="s">
        <v>3505</v>
      </c>
      <c r="E562" s="9">
        <v>45701</v>
      </c>
      <c r="F562" s="9">
        <v>45886</v>
      </c>
      <c r="G562" t="s">
        <v>45</v>
      </c>
      <c r="H562" t="s">
        <v>5262</v>
      </c>
      <c r="I562" t="s">
        <v>46</v>
      </c>
      <c r="J562" t="s">
        <v>4521</v>
      </c>
      <c r="K562" t="s">
        <v>48</v>
      </c>
      <c r="L562" t="s">
        <v>49</v>
      </c>
      <c r="M562" t="s">
        <v>50</v>
      </c>
      <c r="O562" t="s">
        <v>39</v>
      </c>
      <c r="P562" t="s">
        <v>39</v>
      </c>
      <c r="Q562" t="s">
        <v>39</v>
      </c>
      <c r="R562" t="s">
        <v>41</v>
      </c>
      <c r="S562" t="s">
        <v>40</v>
      </c>
      <c r="T562" t="s">
        <v>41</v>
      </c>
      <c r="U562" t="s">
        <v>39</v>
      </c>
      <c r="V562" t="s">
        <v>39</v>
      </c>
      <c r="W562" t="s">
        <v>40</v>
      </c>
      <c r="AB562" t="s">
        <v>5263</v>
      </c>
      <c r="AC562" t="s">
        <v>5264</v>
      </c>
      <c r="AD562" t="s">
        <v>5265</v>
      </c>
    </row>
    <row r="563" spans="1:31" x14ac:dyDescent="0.2">
      <c r="A563">
        <v>43830798</v>
      </c>
      <c r="B563" t="s">
        <v>5266</v>
      </c>
      <c r="C563" t="s">
        <v>5267</v>
      </c>
      <c r="D563" t="s">
        <v>3505</v>
      </c>
      <c r="E563" s="9">
        <v>45701</v>
      </c>
      <c r="F563" s="9">
        <v>45761</v>
      </c>
      <c r="G563" t="s">
        <v>45</v>
      </c>
      <c r="H563" t="s">
        <v>46</v>
      </c>
      <c r="I563" t="s">
        <v>53</v>
      </c>
      <c r="J563" t="s">
        <v>47</v>
      </c>
      <c r="K563" t="s">
        <v>36</v>
      </c>
      <c r="L563" t="s">
        <v>49</v>
      </c>
      <c r="M563" t="s">
        <v>50</v>
      </c>
      <c r="O563" t="s">
        <v>39</v>
      </c>
      <c r="P563" t="s">
        <v>39</v>
      </c>
      <c r="Q563" t="s">
        <v>39</v>
      </c>
      <c r="R563" t="s">
        <v>41</v>
      </c>
      <c r="S563" t="s">
        <v>40</v>
      </c>
      <c r="T563" t="s">
        <v>41</v>
      </c>
      <c r="U563" t="s">
        <v>39</v>
      </c>
      <c r="V563" t="s">
        <v>39</v>
      </c>
      <c r="W563" t="s">
        <v>40</v>
      </c>
      <c r="X563" t="s">
        <v>5268</v>
      </c>
      <c r="AB563" t="s">
        <v>5269</v>
      </c>
      <c r="AC563" t="s">
        <v>5270</v>
      </c>
      <c r="AD563" t="s">
        <v>5271</v>
      </c>
    </row>
    <row r="564" spans="1:31" x14ac:dyDescent="0.2">
      <c r="A564">
        <v>43831095</v>
      </c>
      <c r="B564" t="s">
        <v>3952</v>
      </c>
      <c r="C564" t="s">
        <v>3953</v>
      </c>
      <c r="D564" t="s">
        <v>3505</v>
      </c>
      <c r="E564" s="9">
        <v>45701</v>
      </c>
      <c r="F564" s="9">
        <v>45724</v>
      </c>
      <c r="G564" t="s">
        <v>45</v>
      </c>
      <c r="H564" t="s">
        <v>385</v>
      </c>
      <c r="I564" t="s">
        <v>132</v>
      </c>
      <c r="J564" t="s">
        <v>342</v>
      </c>
      <c r="K564" t="s">
        <v>48</v>
      </c>
      <c r="L564" t="s">
        <v>49</v>
      </c>
      <c r="M564" t="s">
        <v>74</v>
      </c>
      <c r="O564" t="s">
        <v>39</v>
      </c>
      <c r="P564" t="s">
        <v>39</v>
      </c>
      <c r="Q564" t="s">
        <v>39</v>
      </c>
      <c r="R564" t="s">
        <v>41</v>
      </c>
      <c r="S564" t="s">
        <v>40</v>
      </c>
      <c r="T564" t="s">
        <v>41</v>
      </c>
      <c r="U564" t="s">
        <v>39</v>
      </c>
      <c r="V564" t="s">
        <v>39</v>
      </c>
      <c r="W564" t="s">
        <v>40</v>
      </c>
      <c r="AB564" t="s">
        <v>5272</v>
      </c>
      <c r="AC564" t="s">
        <v>5273</v>
      </c>
      <c r="AD564" t="s">
        <v>5274</v>
      </c>
    </row>
    <row r="565" spans="1:31" x14ac:dyDescent="0.2">
      <c r="A565">
        <v>43830823</v>
      </c>
      <c r="B565" t="s">
        <v>5275</v>
      </c>
      <c r="C565" t="s">
        <v>5276</v>
      </c>
      <c r="D565" t="s">
        <v>3505</v>
      </c>
      <c r="E565" s="9">
        <v>45701</v>
      </c>
      <c r="F565" s="9">
        <v>45724</v>
      </c>
      <c r="G565" t="s">
        <v>45</v>
      </c>
      <c r="H565" t="s">
        <v>3533</v>
      </c>
      <c r="I565" t="s">
        <v>80</v>
      </c>
      <c r="J565" t="s">
        <v>98</v>
      </c>
      <c r="K565" t="s">
        <v>36</v>
      </c>
      <c r="L565" t="s">
        <v>49</v>
      </c>
      <c r="M565" t="s">
        <v>50</v>
      </c>
      <c r="O565" t="s">
        <v>39</v>
      </c>
      <c r="P565" t="s">
        <v>39</v>
      </c>
      <c r="Q565" t="s">
        <v>39</v>
      </c>
      <c r="R565" t="s">
        <v>41</v>
      </c>
      <c r="S565" t="s">
        <v>40</v>
      </c>
      <c r="T565" t="s">
        <v>41</v>
      </c>
      <c r="U565" t="s">
        <v>39</v>
      </c>
      <c r="V565" t="s">
        <v>39</v>
      </c>
      <c r="W565" t="s">
        <v>40</v>
      </c>
      <c r="AB565" t="s">
        <v>5277</v>
      </c>
      <c r="AC565" t="s">
        <v>5278</v>
      </c>
      <c r="AD565" t="s">
        <v>5279</v>
      </c>
    </row>
    <row r="566" spans="1:31" x14ac:dyDescent="0.2">
      <c r="A566">
        <v>43831099</v>
      </c>
      <c r="B566" t="s">
        <v>5045</v>
      </c>
      <c r="C566" t="s">
        <v>5046</v>
      </c>
      <c r="D566" t="s">
        <v>3505</v>
      </c>
      <c r="E566" s="9">
        <v>45701</v>
      </c>
      <c r="F566" s="9">
        <v>45761</v>
      </c>
      <c r="G566" t="s">
        <v>45</v>
      </c>
      <c r="H566" t="s">
        <v>46</v>
      </c>
      <c r="I566" t="s">
        <v>90</v>
      </c>
      <c r="J566" t="s">
        <v>154</v>
      </c>
      <c r="K566" t="s">
        <v>36</v>
      </c>
      <c r="L566" t="s">
        <v>37</v>
      </c>
      <c r="M566" t="s">
        <v>50</v>
      </c>
      <c r="O566" t="s">
        <v>39</v>
      </c>
      <c r="P566" t="s">
        <v>39</v>
      </c>
      <c r="Q566" t="s">
        <v>39</v>
      </c>
      <c r="R566" t="s">
        <v>41</v>
      </c>
      <c r="S566" t="s">
        <v>40</v>
      </c>
      <c r="T566" t="s">
        <v>41</v>
      </c>
      <c r="U566" t="s">
        <v>39</v>
      </c>
      <c r="V566" t="s">
        <v>39</v>
      </c>
      <c r="W566" t="s">
        <v>40</v>
      </c>
      <c r="AB566" t="s">
        <v>5280</v>
      </c>
      <c r="AC566" t="s">
        <v>5281</v>
      </c>
      <c r="AD566" t="s">
        <v>5282</v>
      </c>
    </row>
    <row r="567" spans="1:31" x14ac:dyDescent="0.2">
      <c r="A567">
        <v>43830890</v>
      </c>
      <c r="B567" t="s">
        <v>5283</v>
      </c>
      <c r="C567" t="s">
        <v>3885</v>
      </c>
      <c r="D567" t="s">
        <v>3505</v>
      </c>
      <c r="E567" s="9">
        <v>45701</v>
      </c>
      <c r="F567" s="9">
        <v>45761</v>
      </c>
      <c r="G567" t="s">
        <v>45</v>
      </c>
      <c r="H567" t="s">
        <v>97</v>
      </c>
      <c r="I567" t="s">
        <v>80</v>
      </c>
      <c r="J567" t="s">
        <v>123</v>
      </c>
      <c r="K567" t="s">
        <v>48</v>
      </c>
      <c r="L567" t="s">
        <v>49</v>
      </c>
      <c r="M567" t="s">
        <v>50</v>
      </c>
      <c r="O567" t="s">
        <v>39</v>
      </c>
      <c r="P567" t="s">
        <v>39</v>
      </c>
      <c r="Q567" t="s">
        <v>39</v>
      </c>
      <c r="R567" t="s">
        <v>41</v>
      </c>
      <c r="S567" t="s">
        <v>40</v>
      </c>
      <c r="T567" t="s">
        <v>41</v>
      </c>
      <c r="U567" t="s">
        <v>39</v>
      </c>
      <c r="V567" t="s">
        <v>39</v>
      </c>
      <c r="W567" t="s">
        <v>40</v>
      </c>
      <c r="AB567" t="s">
        <v>5284</v>
      </c>
      <c r="AC567" t="s">
        <v>5285</v>
      </c>
      <c r="AD567" t="s">
        <v>5286</v>
      </c>
    </row>
    <row r="568" spans="1:31" x14ac:dyDescent="0.2">
      <c r="A568">
        <v>43831559</v>
      </c>
      <c r="B568" t="s">
        <v>5287</v>
      </c>
      <c r="C568" t="s">
        <v>5288</v>
      </c>
      <c r="D568" t="s">
        <v>3505</v>
      </c>
      <c r="E568" s="9">
        <v>45701</v>
      </c>
      <c r="F568" s="9">
        <v>45761</v>
      </c>
      <c r="G568" t="s">
        <v>45</v>
      </c>
      <c r="H568" t="s">
        <v>90</v>
      </c>
      <c r="J568" t="s">
        <v>286</v>
      </c>
      <c r="K568" t="s">
        <v>48</v>
      </c>
      <c r="L568" t="s">
        <v>49</v>
      </c>
      <c r="M568" t="s">
        <v>50</v>
      </c>
      <c r="O568" t="s">
        <v>39</v>
      </c>
      <c r="P568" t="s">
        <v>39</v>
      </c>
      <c r="Q568" t="s">
        <v>39</v>
      </c>
      <c r="R568" t="s">
        <v>39</v>
      </c>
      <c r="S568" t="s">
        <v>40</v>
      </c>
      <c r="T568" t="s">
        <v>41</v>
      </c>
      <c r="U568" t="s">
        <v>39</v>
      </c>
      <c r="V568" t="s">
        <v>39</v>
      </c>
      <c r="W568" t="s">
        <v>40</v>
      </c>
      <c r="X568" t="s">
        <v>5289</v>
      </c>
      <c r="AB568" t="s">
        <v>5290</v>
      </c>
      <c r="AC568" t="s">
        <v>5291</v>
      </c>
      <c r="AD568" t="s">
        <v>5292</v>
      </c>
    </row>
    <row r="569" spans="1:31" x14ac:dyDescent="0.2">
      <c r="A569">
        <v>43830926</v>
      </c>
      <c r="B569" t="s">
        <v>5293</v>
      </c>
      <c r="C569" t="s">
        <v>5294</v>
      </c>
      <c r="D569" t="s">
        <v>3505</v>
      </c>
      <c r="E569" s="9">
        <v>45701</v>
      </c>
      <c r="F569" s="9">
        <v>45733</v>
      </c>
      <c r="G569" t="s">
        <v>45</v>
      </c>
      <c r="H569" t="s">
        <v>90</v>
      </c>
      <c r="I569" t="s">
        <v>46</v>
      </c>
      <c r="J569" t="s">
        <v>123</v>
      </c>
      <c r="K569" t="s">
        <v>36</v>
      </c>
      <c r="L569" t="s">
        <v>37</v>
      </c>
      <c r="M569" t="s">
        <v>50</v>
      </c>
      <c r="O569" t="s">
        <v>39</v>
      </c>
      <c r="P569" t="s">
        <v>39</v>
      </c>
      <c r="Q569" t="s">
        <v>39</v>
      </c>
      <c r="R569" t="s">
        <v>41</v>
      </c>
      <c r="S569" t="s">
        <v>40</v>
      </c>
      <c r="T569" t="s">
        <v>41</v>
      </c>
      <c r="U569" t="s">
        <v>39</v>
      </c>
      <c r="V569" t="s">
        <v>39</v>
      </c>
      <c r="W569" t="s">
        <v>40</v>
      </c>
      <c r="AB569" t="s">
        <v>5295</v>
      </c>
      <c r="AC569" t="s">
        <v>5296</v>
      </c>
      <c r="AD569" t="s">
        <v>5297</v>
      </c>
    </row>
    <row r="570" spans="1:31" x14ac:dyDescent="0.2">
      <c r="A570">
        <v>43830880</v>
      </c>
      <c r="B570" t="s">
        <v>5298</v>
      </c>
      <c r="C570" t="s">
        <v>5299</v>
      </c>
      <c r="D570" t="s">
        <v>3505</v>
      </c>
      <c r="E570" s="9">
        <v>45701</v>
      </c>
      <c r="F570" s="9">
        <v>45724</v>
      </c>
      <c r="G570" t="s">
        <v>45</v>
      </c>
      <c r="H570" t="s">
        <v>5232</v>
      </c>
      <c r="I570" t="s">
        <v>80</v>
      </c>
      <c r="J570" t="s">
        <v>65</v>
      </c>
      <c r="K570" t="s">
        <v>48</v>
      </c>
      <c r="L570" t="s">
        <v>49</v>
      </c>
      <c r="M570" t="s">
        <v>50</v>
      </c>
      <c r="O570" t="s">
        <v>39</v>
      </c>
      <c r="P570" t="s">
        <v>39</v>
      </c>
      <c r="Q570" t="s">
        <v>39</v>
      </c>
      <c r="R570" t="s">
        <v>41</v>
      </c>
      <c r="S570" t="s">
        <v>40</v>
      </c>
      <c r="T570" t="s">
        <v>41</v>
      </c>
      <c r="U570" t="s">
        <v>39</v>
      </c>
      <c r="V570" t="s">
        <v>39</v>
      </c>
      <c r="W570" t="s">
        <v>40</v>
      </c>
      <c r="AB570" t="s">
        <v>5300</v>
      </c>
      <c r="AC570" t="s">
        <v>5301</v>
      </c>
      <c r="AD570" t="s">
        <v>5302</v>
      </c>
    </row>
    <row r="571" spans="1:31" x14ac:dyDescent="0.2">
      <c r="A571">
        <v>44018230</v>
      </c>
      <c r="B571" t="s">
        <v>5303</v>
      </c>
      <c r="C571" t="s">
        <v>5304</v>
      </c>
      <c r="D571" t="s">
        <v>3505</v>
      </c>
      <c r="E571" s="9">
        <v>45724</v>
      </c>
      <c r="F571" s="9">
        <v>45810</v>
      </c>
      <c r="G571" t="s">
        <v>45</v>
      </c>
      <c r="H571" t="s">
        <v>90</v>
      </c>
      <c r="J571" t="s">
        <v>138</v>
      </c>
      <c r="K571" t="s">
        <v>36</v>
      </c>
      <c r="L571" t="s">
        <v>386</v>
      </c>
      <c r="M571" t="s">
        <v>50</v>
      </c>
      <c r="O571" t="s">
        <v>39</v>
      </c>
      <c r="P571" t="s">
        <v>39</v>
      </c>
      <c r="Q571" t="s">
        <v>39</v>
      </c>
      <c r="R571" t="s">
        <v>41</v>
      </c>
      <c r="S571" t="s">
        <v>40</v>
      </c>
      <c r="T571" t="s">
        <v>41</v>
      </c>
      <c r="U571" t="s">
        <v>39</v>
      </c>
      <c r="V571" t="s">
        <v>39</v>
      </c>
      <c r="W571" t="s">
        <v>40</v>
      </c>
      <c r="AB571" t="s">
        <v>5305</v>
      </c>
      <c r="AC571" t="s">
        <v>5306</v>
      </c>
      <c r="AD571" t="s">
        <v>5307</v>
      </c>
    </row>
    <row r="572" spans="1:31" x14ac:dyDescent="0.2">
      <c r="A572">
        <v>44018463</v>
      </c>
      <c r="B572" t="s">
        <v>5308</v>
      </c>
      <c r="C572" t="s">
        <v>5309</v>
      </c>
      <c r="D572" t="s">
        <v>3505</v>
      </c>
      <c r="E572" s="9">
        <v>45724</v>
      </c>
      <c r="F572" s="9">
        <v>45779</v>
      </c>
      <c r="G572" t="s">
        <v>45</v>
      </c>
      <c r="H572" t="s">
        <v>253</v>
      </c>
      <c r="I572" t="s">
        <v>252</v>
      </c>
      <c r="J572" t="s">
        <v>254</v>
      </c>
      <c r="K572" t="s">
        <v>48</v>
      </c>
      <c r="L572" t="s">
        <v>37</v>
      </c>
      <c r="M572" t="s">
        <v>50</v>
      </c>
      <c r="O572" t="s">
        <v>39</v>
      </c>
      <c r="P572" t="s">
        <v>39</v>
      </c>
      <c r="Q572" t="s">
        <v>39</v>
      </c>
      <c r="R572" t="s">
        <v>41</v>
      </c>
      <c r="S572" t="s">
        <v>40</v>
      </c>
      <c r="T572" t="s">
        <v>41</v>
      </c>
      <c r="U572" t="s">
        <v>39</v>
      </c>
      <c r="V572" t="s">
        <v>39</v>
      </c>
      <c r="W572" t="s">
        <v>40</v>
      </c>
      <c r="AB572" t="s">
        <v>5310</v>
      </c>
      <c r="AC572" t="s">
        <v>5311</v>
      </c>
      <c r="AD572" t="s">
        <v>5312</v>
      </c>
    </row>
    <row r="573" spans="1:31" x14ac:dyDescent="0.2">
      <c r="A573">
        <v>44018495</v>
      </c>
      <c r="B573" t="s">
        <v>5313</v>
      </c>
      <c r="C573" t="s">
        <v>4274</v>
      </c>
      <c r="D573" t="s">
        <v>3505</v>
      </c>
      <c r="E573" s="9">
        <v>45724</v>
      </c>
      <c r="F573" s="9">
        <v>45733</v>
      </c>
      <c r="G573" t="s">
        <v>45</v>
      </c>
      <c r="H573" t="s">
        <v>90</v>
      </c>
      <c r="I573" t="s">
        <v>97</v>
      </c>
      <c r="J573" t="s">
        <v>123</v>
      </c>
      <c r="K573" t="s">
        <v>36</v>
      </c>
      <c r="L573" t="s">
        <v>386</v>
      </c>
      <c r="M573" t="s">
        <v>50</v>
      </c>
      <c r="O573" t="s">
        <v>39</v>
      </c>
      <c r="P573" t="s">
        <v>39</v>
      </c>
      <c r="Q573" t="s">
        <v>39</v>
      </c>
      <c r="R573" t="s">
        <v>41</v>
      </c>
      <c r="S573" t="s">
        <v>40</v>
      </c>
      <c r="T573" t="s">
        <v>41</v>
      </c>
      <c r="U573" t="s">
        <v>39</v>
      </c>
      <c r="V573" t="s">
        <v>39</v>
      </c>
      <c r="W573" t="s">
        <v>39</v>
      </c>
      <c r="AB573" t="s">
        <v>5314</v>
      </c>
    </row>
    <row r="574" spans="1:31" x14ac:dyDescent="0.2">
      <c r="A574">
        <v>44018240</v>
      </c>
      <c r="B574" t="s">
        <v>5315</v>
      </c>
      <c r="C574" t="s">
        <v>5316</v>
      </c>
      <c r="D574" t="s">
        <v>3505</v>
      </c>
      <c r="E574" s="9">
        <v>45724</v>
      </c>
      <c r="F574" s="9">
        <v>45761</v>
      </c>
      <c r="G574" t="s">
        <v>45</v>
      </c>
      <c r="H574" t="s">
        <v>90</v>
      </c>
      <c r="J574" t="s">
        <v>138</v>
      </c>
      <c r="K574" t="s">
        <v>48</v>
      </c>
      <c r="L574" t="s">
        <v>37</v>
      </c>
      <c r="M574" t="s">
        <v>50</v>
      </c>
      <c r="O574" t="s">
        <v>39</v>
      </c>
      <c r="P574" t="s">
        <v>39</v>
      </c>
      <c r="Q574" t="s">
        <v>39</v>
      </c>
      <c r="R574" t="s">
        <v>41</v>
      </c>
      <c r="S574" t="s">
        <v>40</v>
      </c>
      <c r="T574" t="s">
        <v>41</v>
      </c>
      <c r="U574" t="s">
        <v>39</v>
      </c>
      <c r="V574" t="s">
        <v>39</v>
      </c>
      <c r="W574" t="s">
        <v>40</v>
      </c>
      <c r="X574" t="s">
        <v>5317</v>
      </c>
      <c r="AB574" t="s">
        <v>5318</v>
      </c>
      <c r="AC574" t="s">
        <v>5319</v>
      </c>
      <c r="AD574" t="s">
        <v>5320</v>
      </c>
    </row>
    <row r="575" spans="1:31" x14ac:dyDescent="0.2">
      <c r="A575">
        <v>44018237</v>
      </c>
      <c r="B575" t="s">
        <v>5321</v>
      </c>
      <c r="C575" t="s">
        <v>5322</v>
      </c>
      <c r="D575" t="s">
        <v>3505</v>
      </c>
      <c r="E575" s="9">
        <v>45724</v>
      </c>
      <c r="F575" s="9">
        <v>45761</v>
      </c>
      <c r="G575" t="s">
        <v>45</v>
      </c>
      <c r="H575" t="s">
        <v>90</v>
      </c>
      <c r="J575" t="s">
        <v>138</v>
      </c>
      <c r="K575" t="s">
        <v>36</v>
      </c>
      <c r="L575" t="s">
        <v>386</v>
      </c>
      <c r="M575" t="s">
        <v>50</v>
      </c>
      <c r="O575" t="s">
        <v>39</v>
      </c>
      <c r="P575" t="s">
        <v>39</v>
      </c>
      <c r="Q575" t="s">
        <v>39</v>
      </c>
      <c r="R575" t="s">
        <v>41</v>
      </c>
      <c r="S575" t="s">
        <v>40</v>
      </c>
      <c r="T575" t="s">
        <v>41</v>
      </c>
      <c r="U575" t="s">
        <v>39</v>
      </c>
      <c r="V575" t="s">
        <v>39</v>
      </c>
      <c r="W575" t="s">
        <v>40</v>
      </c>
      <c r="AB575" t="s">
        <v>5323</v>
      </c>
      <c r="AC575" t="s">
        <v>5324</v>
      </c>
      <c r="AD575" t="s">
        <v>5325</v>
      </c>
    </row>
    <row r="576" spans="1:31" x14ac:dyDescent="0.2">
      <c r="A576">
        <v>44018456</v>
      </c>
      <c r="B576" t="s">
        <v>5326</v>
      </c>
      <c r="C576" t="s">
        <v>5327</v>
      </c>
      <c r="D576" t="s">
        <v>3505</v>
      </c>
      <c r="E576" s="9">
        <v>45724</v>
      </c>
      <c r="F576" s="9">
        <v>45779</v>
      </c>
      <c r="G576" t="s">
        <v>45</v>
      </c>
      <c r="H576" t="s">
        <v>46</v>
      </c>
      <c r="I576" t="s">
        <v>90</v>
      </c>
      <c r="J576" t="s">
        <v>342</v>
      </c>
      <c r="K576" t="s">
        <v>48</v>
      </c>
      <c r="L576" t="s">
        <v>37</v>
      </c>
      <c r="M576" t="s">
        <v>50</v>
      </c>
      <c r="O576" t="s">
        <v>39</v>
      </c>
      <c r="P576" t="s">
        <v>39</v>
      </c>
      <c r="Q576" t="s">
        <v>39</v>
      </c>
      <c r="R576" t="s">
        <v>41</v>
      </c>
      <c r="S576" t="s">
        <v>40</v>
      </c>
      <c r="T576" t="s">
        <v>41</v>
      </c>
      <c r="U576" t="s">
        <v>39</v>
      </c>
      <c r="V576" t="s">
        <v>39</v>
      </c>
      <c r="W576" t="s">
        <v>40</v>
      </c>
      <c r="X576" t="s">
        <v>5328</v>
      </c>
      <c r="AB576" t="s">
        <v>5329</v>
      </c>
      <c r="AC576" t="s">
        <v>5330</v>
      </c>
      <c r="AD576" t="s">
        <v>5331</v>
      </c>
    </row>
    <row r="577" spans="1:31" x14ac:dyDescent="0.2">
      <c r="A577">
        <v>44018482</v>
      </c>
      <c r="B577" t="s">
        <v>5332</v>
      </c>
      <c r="C577" t="s">
        <v>3758</v>
      </c>
      <c r="D577" t="s">
        <v>3505</v>
      </c>
      <c r="E577" s="9">
        <v>45724</v>
      </c>
      <c r="F577" s="9">
        <v>45733</v>
      </c>
      <c r="G577" t="s">
        <v>45</v>
      </c>
      <c r="H577" t="s">
        <v>90</v>
      </c>
      <c r="J577" t="s">
        <v>138</v>
      </c>
      <c r="K577" t="s">
        <v>48</v>
      </c>
      <c r="L577" t="s">
        <v>386</v>
      </c>
      <c r="M577" t="s">
        <v>289</v>
      </c>
      <c r="O577" t="s">
        <v>39</v>
      </c>
      <c r="P577" t="s">
        <v>39</v>
      </c>
      <c r="Q577" t="s">
        <v>39</v>
      </c>
      <c r="R577" t="s">
        <v>41</v>
      </c>
      <c r="S577" t="s">
        <v>40</v>
      </c>
      <c r="T577" t="s">
        <v>41</v>
      </c>
      <c r="U577" t="s">
        <v>39</v>
      </c>
      <c r="V577" t="s">
        <v>39</v>
      </c>
      <c r="W577" t="s">
        <v>39</v>
      </c>
      <c r="AB577" t="s">
        <v>5333</v>
      </c>
    </row>
    <row r="578" spans="1:31" x14ac:dyDescent="0.2">
      <c r="A578">
        <v>44018684</v>
      </c>
      <c r="B578" t="s">
        <v>5334</v>
      </c>
      <c r="C578" t="s">
        <v>5335</v>
      </c>
      <c r="D578" t="s">
        <v>3505</v>
      </c>
      <c r="E578" s="9">
        <v>45724</v>
      </c>
      <c r="F578" s="9">
        <v>45761</v>
      </c>
      <c r="G578" t="s">
        <v>45</v>
      </c>
      <c r="H578" t="s">
        <v>253</v>
      </c>
      <c r="I578" t="s">
        <v>252</v>
      </c>
      <c r="J578" t="s">
        <v>73</v>
      </c>
      <c r="K578" t="s">
        <v>48</v>
      </c>
      <c r="L578" t="s">
        <v>49</v>
      </c>
      <c r="M578" t="s">
        <v>50</v>
      </c>
      <c r="O578" t="s">
        <v>39</v>
      </c>
      <c r="P578" t="s">
        <v>39</v>
      </c>
      <c r="Q578" t="s">
        <v>39</v>
      </c>
      <c r="R578" t="s">
        <v>41</v>
      </c>
      <c r="S578" t="s">
        <v>40</v>
      </c>
      <c r="T578" t="s">
        <v>41</v>
      </c>
      <c r="U578" t="s">
        <v>39</v>
      </c>
      <c r="V578" t="s">
        <v>39</v>
      </c>
      <c r="W578" t="s">
        <v>40</v>
      </c>
      <c r="X578" t="s">
        <v>5336</v>
      </c>
      <c r="AB578" t="s">
        <v>5337</v>
      </c>
      <c r="AC578" t="s">
        <v>5338</v>
      </c>
      <c r="AD578" t="s">
        <v>5339</v>
      </c>
      <c r="AE578" t="s">
        <v>5340</v>
      </c>
    </row>
    <row r="579" spans="1:31" x14ac:dyDescent="0.2">
      <c r="A579">
        <v>44018748</v>
      </c>
      <c r="B579" t="s">
        <v>5341</v>
      </c>
      <c r="C579" t="s">
        <v>5342</v>
      </c>
      <c r="D579" t="s">
        <v>3505</v>
      </c>
      <c r="E579" s="9">
        <v>45724</v>
      </c>
      <c r="F579" s="9">
        <v>45769</v>
      </c>
      <c r="G579" t="s">
        <v>45</v>
      </c>
      <c r="H579" t="s">
        <v>46</v>
      </c>
      <c r="I579" t="s">
        <v>53</v>
      </c>
      <c r="J579" t="s">
        <v>65</v>
      </c>
      <c r="K579" t="s">
        <v>36</v>
      </c>
      <c r="L579" t="s">
        <v>49</v>
      </c>
      <c r="M579" t="s">
        <v>50</v>
      </c>
      <c r="O579" t="s">
        <v>39</v>
      </c>
      <c r="P579" t="s">
        <v>39</v>
      </c>
      <c r="Q579" t="s">
        <v>39</v>
      </c>
      <c r="R579" t="s">
        <v>41</v>
      </c>
      <c r="S579" t="s">
        <v>40</v>
      </c>
      <c r="T579" t="s">
        <v>41</v>
      </c>
      <c r="U579" t="s">
        <v>39</v>
      </c>
      <c r="V579" t="s">
        <v>39</v>
      </c>
      <c r="W579" t="s">
        <v>40</v>
      </c>
      <c r="AB579" t="s">
        <v>5343</v>
      </c>
      <c r="AC579" t="s">
        <v>5344</v>
      </c>
      <c r="AD579" t="s">
        <v>5345</v>
      </c>
    </row>
    <row r="580" spans="1:31" x14ac:dyDescent="0.2">
      <c r="A580">
        <v>44018499</v>
      </c>
      <c r="B580" t="s">
        <v>5346</v>
      </c>
      <c r="C580" t="s">
        <v>5347</v>
      </c>
      <c r="D580" t="s">
        <v>3505</v>
      </c>
      <c r="E580" s="9">
        <v>45724</v>
      </c>
      <c r="F580" s="9">
        <v>45733</v>
      </c>
      <c r="G580" t="s">
        <v>45</v>
      </c>
      <c r="H580" t="s">
        <v>90</v>
      </c>
      <c r="I580" t="s">
        <v>97</v>
      </c>
      <c r="J580" t="s">
        <v>123</v>
      </c>
      <c r="K580" t="s">
        <v>36</v>
      </c>
      <c r="L580" t="s">
        <v>386</v>
      </c>
      <c r="M580" t="s">
        <v>50</v>
      </c>
      <c r="O580" t="s">
        <v>39</v>
      </c>
      <c r="P580" t="s">
        <v>39</v>
      </c>
      <c r="Q580" t="s">
        <v>39</v>
      </c>
      <c r="R580" t="s">
        <v>41</v>
      </c>
      <c r="S580" t="s">
        <v>40</v>
      </c>
      <c r="T580" t="s">
        <v>41</v>
      </c>
      <c r="U580" t="s">
        <v>39</v>
      </c>
      <c r="V580" t="s">
        <v>39</v>
      </c>
      <c r="W580" t="s">
        <v>39</v>
      </c>
      <c r="AB580" t="s">
        <v>5348</v>
      </c>
    </row>
    <row r="581" spans="1:31" x14ac:dyDescent="0.2">
      <c r="A581">
        <v>44018508</v>
      </c>
      <c r="B581" t="s">
        <v>5349</v>
      </c>
      <c r="C581" t="s">
        <v>5350</v>
      </c>
      <c r="D581" t="s">
        <v>3505</v>
      </c>
      <c r="E581" s="9">
        <v>45724</v>
      </c>
      <c r="F581" s="9">
        <v>45733</v>
      </c>
      <c r="G581" t="s">
        <v>45</v>
      </c>
      <c r="H581" t="s">
        <v>90</v>
      </c>
      <c r="I581" t="s">
        <v>97</v>
      </c>
      <c r="J581" t="s">
        <v>65</v>
      </c>
      <c r="K581" t="s">
        <v>36</v>
      </c>
      <c r="L581" t="s">
        <v>386</v>
      </c>
      <c r="M581" t="s">
        <v>50</v>
      </c>
      <c r="O581" t="s">
        <v>39</v>
      </c>
      <c r="P581" t="s">
        <v>39</v>
      </c>
      <c r="Q581" t="s">
        <v>39</v>
      </c>
      <c r="R581" t="s">
        <v>41</v>
      </c>
      <c r="S581" t="s">
        <v>40</v>
      </c>
      <c r="T581" t="s">
        <v>41</v>
      </c>
      <c r="U581" t="s">
        <v>39</v>
      </c>
      <c r="V581" t="s">
        <v>39</v>
      </c>
      <c r="W581" t="s">
        <v>39</v>
      </c>
      <c r="AB581" t="s">
        <v>5351</v>
      </c>
    </row>
    <row r="582" spans="1:31" x14ac:dyDescent="0.2">
      <c r="A582">
        <v>44018493</v>
      </c>
      <c r="B582" t="s">
        <v>5352</v>
      </c>
      <c r="C582" t="s">
        <v>3598</v>
      </c>
      <c r="D582" t="s">
        <v>3505</v>
      </c>
      <c r="E582" s="9">
        <v>45724</v>
      </c>
      <c r="F582" s="9">
        <v>45733</v>
      </c>
      <c r="G582" t="s">
        <v>45</v>
      </c>
      <c r="H582" t="s">
        <v>90</v>
      </c>
      <c r="J582" t="s">
        <v>138</v>
      </c>
      <c r="K582" t="s">
        <v>36</v>
      </c>
      <c r="L582" t="s">
        <v>386</v>
      </c>
      <c r="M582" t="s">
        <v>50</v>
      </c>
      <c r="O582" t="s">
        <v>39</v>
      </c>
      <c r="P582" t="s">
        <v>39</v>
      </c>
      <c r="Q582" t="s">
        <v>39</v>
      </c>
      <c r="R582" t="s">
        <v>41</v>
      </c>
      <c r="S582" t="s">
        <v>40</v>
      </c>
      <c r="T582" t="s">
        <v>41</v>
      </c>
      <c r="U582" t="s">
        <v>39</v>
      </c>
      <c r="V582" t="s">
        <v>39</v>
      </c>
      <c r="W582" t="s">
        <v>39</v>
      </c>
      <c r="AB582" t="s">
        <v>5353</v>
      </c>
    </row>
    <row r="583" spans="1:31" x14ac:dyDescent="0.2">
      <c r="A583">
        <v>44018672</v>
      </c>
      <c r="B583" t="s">
        <v>5354</v>
      </c>
      <c r="C583" t="s">
        <v>3941</v>
      </c>
      <c r="D583" t="s">
        <v>3505</v>
      </c>
      <c r="E583" s="9">
        <v>45724</v>
      </c>
      <c r="F583" s="9">
        <v>45879</v>
      </c>
      <c r="G583" t="s">
        <v>45</v>
      </c>
      <c r="H583" t="s">
        <v>46</v>
      </c>
      <c r="I583" t="s">
        <v>53</v>
      </c>
      <c r="J583" t="s">
        <v>307</v>
      </c>
      <c r="K583" t="s">
        <v>48</v>
      </c>
      <c r="L583" t="s">
        <v>49</v>
      </c>
      <c r="M583" t="s">
        <v>50</v>
      </c>
      <c r="O583" t="s">
        <v>39</v>
      </c>
      <c r="P583" t="s">
        <v>39</v>
      </c>
      <c r="Q583" t="s">
        <v>39</v>
      </c>
      <c r="R583" t="s">
        <v>41</v>
      </c>
      <c r="S583" t="s">
        <v>40</v>
      </c>
      <c r="T583" t="s">
        <v>41</v>
      </c>
      <c r="U583" t="s">
        <v>39</v>
      </c>
      <c r="V583" t="s">
        <v>39</v>
      </c>
      <c r="W583" t="s">
        <v>40</v>
      </c>
      <c r="AB583" t="s">
        <v>5355</v>
      </c>
      <c r="AC583" t="s">
        <v>5356</v>
      </c>
      <c r="AD583" t="s">
        <v>5357</v>
      </c>
    </row>
    <row r="584" spans="1:31" x14ac:dyDescent="0.2">
      <c r="A584">
        <v>44018666</v>
      </c>
      <c r="B584" t="s">
        <v>5358</v>
      </c>
      <c r="C584" t="s">
        <v>5359</v>
      </c>
      <c r="D584" t="s">
        <v>3505</v>
      </c>
      <c r="E584" s="9">
        <v>45724</v>
      </c>
      <c r="F584" s="9">
        <v>45733</v>
      </c>
      <c r="G584" t="s">
        <v>45</v>
      </c>
      <c r="H584" t="s">
        <v>90</v>
      </c>
      <c r="I584" t="s">
        <v>97</v>
      </c>
      <c r="J584" t="s">
        <v>65</v>
      </c>
      <c r="K584" t="s">
        <v>48</v>
      </c>
      <c r="L584" t="s">
        <v>386</v>
      </c>
      <c r="M584" t="s">
        <v>50</v>
      </c>
      <c r="O584" t="s">
        <v>39</v>
      </c>
      <c r="P584" t="s">
        <v>39</v>
      </c>
      <c r="Q584" t="s">
        <v>39</v>
      </c>
      <c r="R584" t="s">
        <v>41</v>
      </c>
      <c r="S584" t="s">
        <v>40</v>
      </c>
      <c r="T584" t="s">
        <v>41</v>
      </c>
      <c r="U584" t="s">
        <v>39</v>
      </c>
      <c r="V584" t="s">
        <v>39</v>
      </c>
      <c r="W584" t="s">
        <v>39</v>
      </c>
      <c r="AB584" t="s">
        <v>5360</v>
      </c>
    </row>
    <row r="585" spans="1:31" x14ac:dyDescent="0.2">
      <c r="A585">
        <v>44018452</v>
      </c>
      <c r="B585" t="s">
        <v>5361</v>
      </c>
      <c r="C585" t="s">
        <v>5362</v>
      </c>
      <c r="D585" t="s">
        <v>3505</v>
      </c>
      <c r="E585" s="9">
        <v>45724</v>
      </c>
      <c r="F585" s="9">
        <v>45761</v>
      </c>
      <c r="G585" t="s">
        <v>45</v>
      </c>
      <c r="H585" t="s">
        <v>90</v>
      </c>
      <c r="I585" t="s">
        <v>46</v>
      </c>
      <c r="J585" t="s">
        <v>138</v>
      </c>
      <c r="K585" t="s">
        <v>48</v>
      </c>
      <c r="L585" t="s">
        <v>37</v>
      </c>
      <c r="M585" t="s">
        <v>50</v>
      </c>
      <c r="O585" t="s">
        <v>39</v>
      </c>
      <c r="P585" t="s">
        <v>39</v>
      </c>
      <c r="Q585" t="s">
        <v>39</v>
      </c>
      <c r="R585" t="s">
        <v>41</v>
      </c>
      <c r="S585" t="s">
        <v>40</v>
      </c>
      <c r="T585" t="s">
        <v>41</v>
      </c>
      <c r="U585" t="s">
        <v>39</v>
      </c>
      <c r="V585" t="s">
        <v>39</v>
      </c>
      <c r="W585" t="s">
        <v>40</v>
      </c>
      <c r="X585" t="s">
        <v>5363</v>
      </c>
      <c r="AB585" t="s">
        <v>5364</v>
      </c>
      <c r="AC585" t="s">
        <v>5365</v>
      </c>
      <c r="AD585" t="s">
        <v>5366</v>
      </c>
    </row>
    <row r="586" spans="1:31" x14ac:dyDescent="0.2">
      <c r="A586">
        <v>44018248</v>
      </c>
      <c r="B586" t="s">
        <v>5367</v>
      </c>
      <c r="C586" t="s">
        <v>4358</v>
      </c>
      <c r="D586" t="s">
        <v>3505</v>
      </c>
      <c r="E586" s="9">
        <v>45724</v>
      </c>
      <c r="F586" s="9">
        <v>45761</v>
      </c>
      <c r="G586" t="s">
        <v>45</v>
      </c>
      <c r="H586" t="s">
        <v>3533</v>
      </c>
      <c r="I586" t="s">
        <v>80</v>
      </c>
      <c r="J586" t="s">
        <v>47</v>
      </c>
      <c r="K586" t="s">
        <v>48</v>
      </c>
      <c r="L586" t="s">
        <v>37</v>
      </c>
      <c r="M586" t="s">
        <v>50</v>
      </c>
      <c r="O586" t="s">
        <v>39</v>
      </c>
      <c r="P586" t="s">
        <v>39</v>
      </c>
      <c r="Q586" t="s">
        <v>39</v>
      </c>
      <c r="R586" t="s">
        <v>41</v>
      </c>
      <c r="S586" t="s">
        <v>40</v>
      </c>
      <c r="T586" t="s">
        <v>41</v>
      </c>
      <c r="U586" t="s">
        <v>39</v>
      </c>
      <c r="V586" t="s">
        <v>39</v>
      </c>
      <c r="W586" t="s">
        <v>40</v>
      </c>
      <c r="AB586" t="s">
        <v>5368</v>
      </c>
      <c r="AC586" t="s">
        <v>5369</v>
      </c>
      <c r="AD586" t="s">
        <v>5370</v>
      </c>
    </row>
    <row r="587" spans="1:31" x14ac:dyDescent="0.2">
      <c r="A587">
        <v>44167175</v>
      </c>
      <c r="B587" t="s">
        <v>5371</v>
      </c>
      <c r="C587" t="s">
        <v>3855</v>
      </c>
      <c r="D587" t="s">
        <v>3505</v>
      </c>
      <c r="E587" s="9">
        <v>45742</v>
      </c>
      <c r="F587" s="9">
        <v>45810</v>
      </c>
      <c r="G587" t="s">
        <v>45</v>
      </c>
      <c r="H587" t="s">
        <v>81</v>
      </c>
      <c r="J587" t="s">
        <v>2230</v>
      </c>
      <c r="K587" t="s">
        <v>36</v>
      </c>
      <c r="L587" t="s">
        <v>49</v>
      </c>
      <c r="M587" t="s">
        <v>50</v>
      </c>
      <c r="O587" t="s">
        <v>39</v>
      </c>
      <c r="P587" t="s">
        <v>39</v>
      </c>
      <c r="Q587" t="s">
        <v>39</v>
      </c>
      <c r="R587" t="s">
        <v>39</v>
      </c>
      <c r="S587" t="s">
        <v>40</v>
      </c>
      <c r="T587" t="s">
        <v>41</v>
      </c>
      <c r="U587" t="s">
        <v>39</v>
      </c>
      <c r="V587" t="s">
        <v>39</v>
      </c>
      <c r="W587" t="s">
        <v>41</v>
      </c>
      <c r="X587" t="s">
        <v>5372</v>
      </c>
      <c r="AB587" t="s">
        <v>5373</v>
      </c>
      <c r="AC587" t="s">
        <v>5374</v>
      </c>
    </row>
    <row r="588" spans="1:31" x14ac:dyDescent="0.2">
      <c r="A588">
        <v>44164979</v>
      </c>
      <c r="B588">
        <v>578550979</v>
      </c>
      <c r="C588" t="s">
        <v>5375</v>
      </c>
      <c r="D588" t="s">
        <v>3505</v>
      </c>
      <c r="E588" s="9">
        <v>45742</v>
      </c>
      <c r="F588" s="9">
        <v>45761</v>
      </c>
      <c r="G588" t="s">
        <v>45</v>
      </c>
      <c r="H588" t="s">
        <v>5376</v>
      </c>
      <c r="J588" t="s">
        <v>60</v>
      </c>
      <c r="K588" t="s">
        <v>48</v>
      </c>
      <c r="L588" t="s">
        <v>49</v>
      </c>
      <c r="M588" t="s">
        <v>289</v>
      </c>
      <c r="O588" t="s">
        <v>39</v>
      </c>
      <c r="P588" t="s">
        <v>39</v>
      </c>
      <c r="Q588" t="s">
        <v>39</v>
      </c>
      <c r="R588" t="s">
        <v>41</v>
      </c>
      <c r="S588" t="s">
        <v>40</v>
      </c>
      <c r="T588" t="s">
        <v>41</v>
      </c>
      <c r="U588" t="s">
        <v>40</v>
      </c>
      <c r="V588" t="s">
        <v>39</v>
      </c>
      <c r="W588" t="s">
        <v>40</v>
      </c>
      <c r="X588" t="s">
        <v>5377</v>
      </c>
      <c r="AB588" t="s">
        <v>5378</v>
      </c>
      <c r="AC588" t="s">
        <v>5379</v>
      </c>
    </row>
    <row r="589" spans="1:31" x14ac:dyDescent="0.2">
      <c r="A589">
        <v>44182121</v>
      </c>
      <c r="B589" t="s">
        <v>5380</v>
      </c>
      <c r="C589" t="s">
        <v>5381</v>
      </c>
      <c r="D589" t="s">
        <v>3505</v>
      </c>
      <c r="E589" s="9">
        <v>45744</v>
      </c>
      <c r="F589" s="9">
        <v>45761</v>
      </c>
      <c r="G589" t="s">
        <v>45</v>
      </c>
      <c r="H589" t="s">
        <v>90</v>
      </c>
      <c r="J589" t="s">
        <v>65</v>
      </c>
      <c r="K589" t="s">
        <v>36</v>
      </c>
      <c r="L589" t="s">
        <v>386</v>
      </c>
      <c r="M589" t="s">
        <v>289</v>
      </c>
      <c r="O589" t="s">
        <v>39</v>
      </c>
      <c r="P589" t="s">
        <v>39</v>
      </c>
      <c r="Q589" t="s">
        <v>39</v>
      </c>
      <c r="R589" t="s">
        <v>41</v>
      </c>
      <c r="S589" t="s">
        <v>40</v>
      </c>
      <c r="T589" t="s">
        <v>41</v>
      </c>
      <c r="U589" t="s">
        <v>40</v>
      </c>
      <c r="V589" t="s">
        <v>39</v>
      </c>
      <c r="W589" t="s">
        <v>40</v>
      </c>
      <c r="X589" t="s">
        <v>5382</v>
      </c>
      <c r="AB589" t="s">
        <v>5383</v>
      </c>
      <c r="AC589" t="s">
        <v>5384</v>
      </c>
      <c r="AD589" t="s">
        <v>5385</v>
      </c>
    </row>
    <row r="590" spans="1:31" x14ac:dyDescent="0.2">
      <c r="A590">
        <v>44324395</v>
      </c>
      <c r="B590" t="s">
        <v>5386</v>
      </c>
      <c r="C590" t="s">
        <v>5387</v>
      </c>
      <c r="D590" t="s">
        <v>3505</v>
      </c>
      <c r="E590" s="9">
        <v>45761</v>
      </c>
      <c r="F590" s="9">
        <v>45846</v>
      </c>
      <c r="G590" t="s">
        <v>45</v>
      </c>
      <c r="H590" t="s">
        <v>253</v>
      </c>
      <c r="I590" t="s">
        <v>1158</v>
      </c>
      <c r="J590" t="s">
        <v>254</v>
      </c>
      <c r="K590" t="s">
        <v>36</v>
      </c>
      <c r="L590" t="s">
        <v>49</v>
      </c>
      <c r="M590" t="s">
        <v>50</v>
      </c>
      <c r="O590" t="s">
        <v>39</v>
      </c>
      <c r="P590" t="s">
        <v>39</v>
      </c>
      <c r="Q590" t="s">
        <v>39</v>
      </c>
      <c r="R590" t="s">
        <v>41</v>
      </c>
      <c r="S590" t="s">
        <v>40</v>
      </c>
      <c r="T590" t="s">
        <v>41</v>
      </c>
      <c r="U590" t="s">
        <v>39</v>
      </c>
      <c r="V590" t="s">
        <v>39</v>
      </c>
      <c r="W590" t="s">
        <v>40</v>
      </c>
      <c r="AB590" t="s">
        <v>5388</v>
      </c>
      <c r="AC590" t="s">
        <v>5389</v>
      </c>
    </row>
    <row r="591" spans="1:31" x14ac:dyDescent="0.2">
      <c r="A591">
        <v>44324751</v>
      </c>
      <c r="B591" t="s">
        <v>5390</v>
      </c>
      <c r="C591" t="s">
        <v>5391</v>
      </c>
      <c r="D591" t="s">
        <v>3505</v>
      </c>
      <c r="E591" s="9">
        <v>45761</v>
      </c>
      <c r="F591" s="9">
        <v>45931</v>
      </c>
      <c r="G591" t="s">
        <v>45</v>
      </c>
      <c r="H591" t="s">
        <v>53</v>
      </c>
      <c r="I591" t="s">
        <v>90</v>
      </c>
      <c r="J591" t="s">
        <v>47</v>
      </c>
      <c r="K591" t="s">
        <v>36</v>
      </c>
      <c r="L591" t="s">
        <v>49</v>
      </c>
      <c r="M591" t="s">
        <v>50</v>
      </c>
      <c r="O591" t="s">
        <v>39</v>
      </c>
      <c r="P591" t="s">
        <v>39</v>
      </c>
      <c r="Q591" t="s">
        <v>39</v>
      </c>
      <c r="R591" t="s">
        <v>41</v>
      </c>
      <c r="S591" t="s">
        <v>40</v>
      </c>
      <c r="T591" t="s">
        <v>41</v>
      </c>
      <c r="U591" t="s">
        <v>39</v>
      </c>
      <c r="V591" t="s">
        <v>39</v>
      </c>
      <c r="W591" t="s">
        <v>40</v>
      </c>
      <c r="AB591" t="s">
        <v>5392</v>
      </c>
      <c r="AC591" t="s">
        <v>5393</v>
      </c>
      <c r="AD591" t="s">
        <v>5394</v>
      </c>
    </row>
    <row r="592" spans="1:31" x14ac:dyDescent="0.2">
      <c r="A592">
        <v>44324761</v>
      </c>
      <c r="B592" t="s">
        <v>5395</v>
      </c>
      <c r="C592" t="s">
        <v>5396</v>
      </c>
      <c r="D592" t="s">
        <v>3505</v>
      </c>
      <c r="E592" s="9">
        <v>45761</v>
      </c>
      <c r="F592" s="9">
        <v>45851</v>
      </c>
      <c r="G592" t="s">
        <v>45</v>
      </c>
      <c r="H592" t="s">
        <v>3999</v>
      </c>
      <c r="I592" t="s">
        <v>96</v>
      </c>
      <c r="J592" t="s">
        <v>203</v>
      </c>
      <c r="K592" t="s">
        <v>48</v>
      </c>
      <c r="L592" t="s">
        <v>49</v>
      </c>
      <c r="M592" t="s">
        <v>50</v>
      </c>
      <c r="O592" t="s">
        <v>39</v>
      </c>
      <c r="P592" t="s">
        <v>39</v>
      </c>
      <c r="Q592" t="s">
        <v>39</v>
      </c>
      <c r="R592" t="s">
        <v>41</v>
      </c>
      <c r="S592" t="s">
        <v>40</v>
      </c>
      <c r="T592" t="s">
        <v>41</v>
      </c>
      <c r="U592" t="s">
        <v>39</v>
      </c>
      <c r="V592" t="s">
        <v>39</v>
      </c>
      <c r="W592" t="s">
        <v>40</v>
      </c>
      <c r="AB592" t="s">
        <v>5397</v>
      </c>
      <c r="AC592" t="s">
        <v>5398</v>
      </c>
      <c r="AD592" t="s">
        <v>5399</v>
      </c>
    </row>
    <row r="593" spans="1:31" x14ac:dyDescent="0.2">
      <c r="A593">
        <v>44324432</v>
      </c>
      <c r="B593" t="s">
        <v>5400</v>
      </c>
      <c r="C593" t="s">
        <v>5401</v>
      </c>
      <c r="D593" t="s">
        <v>3505</v>
      </c>
      <c r="E593" s="9">
        <v>45761</v>
      </c>
      <c r="F593" s="9">
        <v>45856</v>
      </c>
      <c r="G593" t="s">
        <v>45</v>
      </c>
      <c r="H593" t="s">
        <v>46</v>
      </c>
      <c r="I593" t="s">
        <v>90</v>
      </c>
      <c r="J593" t="s">
        <v>123</v>
      </c>
      <c r="K593" t="s">
        <v>36</v>
      </c>
      <c r="L593" t="s">
        <v>49</v>
      </c>
      <c r="M593" t="s">
        <v>50</v>
      </c>
      <c r="O593" t="s">
        <v>39</v>
      </c>
      <c r="P593" t="s">
        <v>39</v>
      </c>
      <c r="Q593" t="s">
        <v>39</v>
      </c>
      <c r="R593" t="s">
        <v>41</v>
      </c>
      <c r="S593" t="s">
        <v>40</v>
      </c>
      <c r="T593" t="s">
        <v>41</v>
      </c>
      <c r="U593" t="s">
        <v>39</v>
      </c>
      <c r="V593" t="s">
        <v>39</v>
      </c>
      <c r="W593" t="s">
        <v>40</v>
      </c>
      <c r="AB593" t="s">
        <v>5402</v>
      </c>
      <c r="AC593" t="s">
        <v>5403</v>
      </c>
      <c r="AD593" t="s">
        <v>5404</v>
      </c>
    </row>
    <row r="594" spans="1:31" x14ac:dyDescent="0.2">
      <c r="A594">
        <v>44324765</v>
      </c>
      <c r="B594" t="s">
        <v>5405</v>
      </c>
      <c r="C594" t="s">
        <v>5406</v>
      </c>
      <c r="D594" t="s">
        <v>3505</v>
      </c>
      <c r="E594" s="9">
        <v>45761</v>
      </c>
      <c r="F594" s="9">
        <v>45913</v>
      </c>
      <c r="G594" t="s">
        <v>45</v>
      </c>
      <c r="H594" t="s">
        <v>46</v>
      </c>
      <c r="I594" t="s">
        <v>53</v>
      </c>
      <c r="J594" t="s">
        <v>54</v>
      </c>
      <c r="K594" t="s">
        <v>48</v>
      </c>
      <c r="L594" t="s">
        <v>49</v>
      </c>
      <c r="M594" t="s">
        <v>50</v>
      </c>
      <c r="O594" t="s">
        <v>39</v>
      </c>
      <c r="P594" t="s">
        <v>39</v>
      </c>
      <c r="Q594" t="s">
        <v>39</v>
      </c>
      <c r="R594" t="s">
        <v>41</v>
      </c>
      <c r="S594" t="s">
        <v>40</v>
      </c>
      <c r="T594" t="s">
        <v>41</v>
      </c>
      <c r="U594" t="s">
        <v>39</v>
      </c>
      <c r="V594" t="s">
        <v>39</v>
      </c>
      <c r="W594" t="s">
        <v>40</v>
      </c>
      <c r="AB594" t="s">
        <v>5407</v>
      </c>
      <c r="AC594" t="s">
        <v>5408</v>
      </c>
      <c r="AD594" t="s">
        <v>5409</v>
      </c>
    </row>
    <row r="595" spans="1:31" x14ac:dyDescent="0.2">
      <c r="A595">
        <v>44324411</v>
      </c>
      <c r="B595" t="s">
        <v>5410</v>
      </c>
      <c r="C595" t="s">
        <v>5411</v>
      </c>
      <c r="D595" t="s">
        <v>3505</v>
      </c>
      <c r="E595" s="9">
        <v>45761</v>
      </c>
      <c r="F595" s="9">
        <v>45810</v>
      </c>
      <c r="G595" t="s">
        <v>45</v>
      </c>
      <c r="H595" t="s">
        <v>253</v>
      </c>
      <c r="I595" t="s">
        <v>1158</v>
      </c>
      <c r="J595" t="s">
        <v>254</v>
      </c>
      <c r="K595" t="s">
        <v>36</v>
      </c>
      <c r="L595" t="s">
        <v>230</v>
      </c>
      <c r="M595" t="s">
        <v>50</v>
      </c>
      <c r="O595" t="s">
        <v>39</v>
      </c>
      <c r="P595" t="s">
        <v>39</v>
      </c>
      <c r="Q595" t="s">
        <v>39</v>
      </c>
      <c r="R595" t="s">
        <v>41</v>
      </c>
      <c r="S595" t="s">
        <v>40</v>
      </c>
      <c r="T595" t="s">
        <v>41</v>
      </c>
      <c r="U595" t="s">
        <v>39</v>
      </c>
      <c r="V595" t="s">
        <v>39</v>
      </c>
      <c r="W595" t="s">
        <v>40</v>
      </c>
      <c r="AB595" t="s">
        <v>5412</v>
      </c>
      <c r="AC595" t="s">
        <v>5413</v>
      </c>
      <c r="AD595" t="s">
        <v>5414</v>
      </c>
    </row>
    <row r="596" spans="1:31" x14ac:dyDescent="0.2">
      <c r="A596">
        <v>44324486</v>
      </c>
      <c r="B596" t="s">
        <v>5415</v>
      </c>
      <c r="C596" t="s">
        <v>5416</v>
      </c>
      <c r="D596" t="s">
        <v>3505</v>
      </c>
      <c r="E596" s="9">
        <v>45761</v>
      </c>
      <c r="F596" s="9">
        <v>45769</v>
      </c>
      <c r="G596" t="s">
        <v>45</v>
      </c>
      <c r="H596" t="s">
        <v>4738</v>
      </c>
      <c r="J596" t="s">
        <v>123</v>
      </c>
      <c r="K596" t="s">
        <v>36</v>
      </c>
      <c r="L596" t="s">
        <v>49</v>
      </c>
      <c r="M596" t="s">
        <v>289</v>
      </c>
      <c r="O596" t="s">
        <v>39</v>
      </c>
      <c r="P596" t="s">
        <v>39</v>
      </c>
      <c r="Q596" t="s">
        <v>39</v>
      </c>
      <c r="R596" t="s">
        <v>41</v>
      </c>
      <c r="S596" t="s">
        <v>40</v>
      </c>
      <c r="T596" t="s">
        <v>41</v>
      </c>
      <c r="U596" t="s">
        <v>39</v>
      </c>
      <c r="V596" t="s">
        <v>39</v>
      </c>
      <c r="W596" t="s">
        <v>40</v>
      </c>
      <c r="AB596" t="s">
        <v>5417</v>
      </c>
      <c r="AC596" t="s">
        <v>5418</v>
      </c>
      <c r="AD596" t="s">
        <v>5419</v>
      </c>
    </row>
    <row r="597" spans="1:31" x14ac:dyDescent="0.2">
      <c r="A597">
        <v>44324541</v>
      </c>
      <c r="B597" t="s">
        <v>5420</v>
      </c>
      <c r="C597" t="s">
        <v>5421</v>
      </c>
      <c r="D597" t="s">
        <v>3505</v>
      </c>
      <c r="E597" s="9">
        <v>45761</v>
      </c>
      <c r="F597" s="9">
        <v>45779</v>
      </c>
      <c r="G597" t="s">
        <v>45</v>
      </c>
      <c r="H597" t="s">
        <v>46</v>
      </c>
      <c r="I597" t="s">
        <v>90</v>
      </c>
      <c r="J597" t="s">
        <v>82</v>
      </c>
      <c r="K597" t="s">
        <v>36</v>
      </c>
      <c r="L597" t="s">
        <v>37</v>
      </c>
      <c r="M597" t="s">
        <v>50</v>
      </c>
      <c r="O597" t="s">
        <v>39</v>
      </c>
      <c r="P597" t="s">
        <v>39</v>
      </c>
      <c r="Q597" t="s">
        <v>39</v>
      </c>
      <c r="R597" t="s">
        <v>41</v>
      </c>
      <c r="S597" t="s">
        <v>40</v>
      </c>
      <c r="T597" t="s">
        <v>41</v>
      </c>
      <c r="U597" t="s">
        <v>39</v>
      </c>
      <c r="V597" t="s">
        <v>39</v>
      </c>
      <c r="W597" t="s">
        <v>40</v>
      </c>
      <c r="AB597" t="s">
        <v>5422</v>
      </c>
      <c r="AC597" t="s">
        <v>5423</v>
      </c>
      <c r="AD597" t="s">
        <v>5424</v>
      </c>
    </row>
    <row r="598" spans="1:31" x14ac:dyDescent="0.2">
      <c r="A598">
        <v>44324593</v>
      </c>
      <c r="B598" t="s">
        <v>5425</v>
      </c>
      <c r="C598" t="s">
        <v>3499</v>
      </c>
      <c r="D598" t="s">
        <v>3505</v>
      </c>
      <c r="E598" s="9">
        <v>45761</v>
      </c>
      <c r="F598" s="9">
        <v>45810</v>
      </c>
      <c r="G598" t="s">
        <v>45</v>
      </c>
      <c r="H598" t="s">
        <v>46</v>
      </c>
      <c r="J598" t="s">
        <v>54</v>
      </c>
      <c r="K598" t="s">
        <v>36</v>
      </c>
      <c r="L598" t="s">
        <v>37</v>
      </c>
      <c r="M598" t="s">
        <v>50</v>
      </c>
      <c r="O598" t="s">
        <v>39</v>
      </c>
      <c r="P598" t="s">
        <v>39</v>
      </c>
      <c r="Q598" t="s">
        <v>39</v>
      </c>
      <c r="R598" t="s">
        <v>41</v>
      </c>
      <c r="S598" t="s">
        <v>40</v>
      </c>
      <c r="T598" t="s">
        <v>41</v>
      </c>
      <c r="U598" t="s">
        <v>39</v>
      </c>
      <c r="V598" t="s">
        <v>39</v>
      </c>
      <c r="W598" t="s">
        <v>40</v>
      </c>
      <c r="AB598" t="s">
        <v>5426</v>
      </c>
      <c r="AC598" t="s">
        <v>5427</v>
      </c>
      <c r="AD598" t="s">
        <v>5428</v>
      </c>
    </row>
    <row r="599" spans="1:31" x14ac:dyDescent="0.2">
      <c r="A599">
        <v>44324509</v>
      </c>
      <c r="B599" t="s">
        <v>87</v>
      </c>
      <c r="C599" t="s">
        <v>88</v>
      </c>
      <c r="D599" t="s">
        <v>32</v>
      </c>
      <c r="E599" s="9">
        <v>45761</v>
      </c>
      <c r="F599" s="9">
        <v>45810</v>
      </c>
      <c r="G599" t="s">
        <v>45</v>
      </c>
      <c r="H599" t="s">
        <v>81</v>
      </c>
      <c r="I599" t="s">
        <v>90</v>
      </c>
      <c r="J599" t="s">
        <v>54</v>
      </c>
      <c r="K599" t="s">
        <v>36</v>
      </c>
      <c r="L599" t="s">
        <v>37</v>
      </c>
      <c r="M599" t="s">
        <v>50</v>
      </c>
      <c r="O599" t="s">
        <v>39</v>
      </c>
      <c r="P599" t="s">
        <v>39</v>
      </c>
      <c r="Q599" t="s">
        <v>39</v>
      </c>
      <c r="R599" t="s">
        <v>41</v>
      </c>
      <c r="S599" t="s">
        <v>40</v>
      </c>
      <c r="T599" t="s">
        <v>41</v>
      </c>
      <c r="U599" t="s">
        <v>39</v>
      </c>
      <c r="V599" t="s">
        <v>39</v>
      </c>
      <c r="W599" t="s">
        <v>40</v>
      </c>
      <c r="X599" t="s">
        <v>3076</v>
      </c>
      <c r="AB599" t="s">
        <v>91</v>
      </c>
      <c r="AC599" t="s">
        <v>92</v>
      </c>
      <c r="AD599" t="s">
        <v>93</v>
      </c>
    </row>
    <row r="600" spans="1:31" x14ac:dyDescent="0.2">
      <c r="A600">
        <v>44324776</v>
      </c>
      <c r="B600" t="s">
        <v>5429</v>
      </c>
      <c r="C600" t="s">
        <v>5430</v>
      </c>
      <c r="D600" t="s">
        <v>3505</v>
      </c>
      <c r="E600" s="9">
        <v>45761</v>
      </c>
      <c r="F600" s="9">
        <v>45779</v>
      </c>
      <c r="G600" t="s">
        <v>45</v>
      </c>
      <c r="H600" t="s">
        <v>90</v>
      </c>
      <c r="I600" t="s">
        <v>46</v>
      </c>
      <c r="J600" t="s">
        <v>154</v>
      </c>
      <c r="K600" t="s">
        <v>36</v>
      </c>
      <c r="L600" t="s">
        <v>49</v>
      </c>
      <c r="M600" t="s">
        <v>50</v>
      </c>
      <c r="O600" t="s">
        <v>39</v>
      </c>
      <c r="P600" t="s">
        <v>39</v>
      </c>
      <c r="Q600" t="s">
        <v>39</v>
      </c>
      <c r="R600" t="s">
        <v>41</v>
      </c>
      <c r="S600" t="s">
        <v>40</v>
      </c>
      <c r="T600" t="s">
        <v>41</v>
      </c>
      <c r="U600" t="s">
        <v>39</v>
      </c>
      <c r="V600" t="s">
        <v>39</v>
      </c>
      <c r="W600" t="s">
        <v>40</v>
      </c>
      <c r="AB600" t="s">
        <v>5431</v>
      </c>
      <c r="AC600" t="s">
        <v>5432</v>
      </c>
      <c r="AD600" t="s">
        <v>5433</v>
      </c>
    </row>
    <row r="601" spans="1:31" x14ac:dyDescent="0.2">
      <c r="A601">
        <v>44324601</v>
      </c>
      <c r="B601" t="s">
        <v>5434</v>
      </c>
      <c r="C601" t="s">
        <v>5435</v>
      </c>
      <c r="D601" t="s">
        <v>3505</v>
      </c>
      <c r="E601" s="9">
        <v>45761</v>
      </c>
      <c r="F601" s="9">
        <v>45866</v>
      </c>
      <c r="G601" t="s">
        <v>45</v>
      </c>
      <c r="H601" t="s">
        <v>90</v>
      </c>
      <c r="I601" t="s">
        <v>1160</v>
      </c>
      <c r="J601" t="s">
        <v>154</v>
      </c>
      <c r="K601" t="s">
        <v>48</v>
      </c>
      <c r="L601" t="s">
        <v>37</v>
      </c>
      <c r="M601" t="s">
        <v>50</v>
      </c>
      <c r="O601" t="s">
        <v>39</v>
      </c>
      <c r="P601" t="s">
        <v>39</v>
      </c>
      <c r="Q601" t="s">
        <v>39</v>
      </c>
      <c r="R601" t="s">
        <v>41</v>
      </c>
      <c r="S601" t="s">
        <v>40</v>
      </c>
      <c r="T601" t="s">
        <v>41</v>
      </c>
      <c r="U601" t="s">
        <v>39</v>
      </c>
      <c r="V601" t="s">
        <v>39</v>
      </c>
      <c r="W601" t="s">
        <v>40</v>
      </c>
      <c r="AB601" t="s">
        <v>5436</v>
      </c>
      <c r="AC601" t="s">
        <v>5437</v>
      </c>
      <c r="AD601" t="s">
        <v>5438</v>
      </c>
      <c r="AE601" t="s">
        <v>5439</v>
      </c>
    </row>
    <row r="602" spans="1:31" x14ac:dyDescent="0.2">
      <c r="A602">
        <v>44324501</v>
      </c>
      <c r="B602" t="s">
        <v>5440</v>
      </c>
      <c r="C602" t="s">
        <v>5441</v>
      </c>
      <c r="D602" t="s">
        <v>3505</v>
      </c>
      <c r="E602" s="9">
        <v>45761</v>
      </c>
      <c r="F602" s="9">
        <v>45779</v>
      </c>
      <c r="G602" t="s">
        <v>45</v>
      </c>
      <c r="H602" t="s">
        <v>46</v>
      </c>
      <c r="I602" t="s">
        <v>53</v>
      </c>
      <c r="J602" t="s">
        <v>286</v>
      </c>
      <c r="K602" t="s">
        <v>36</v>
      </c>
      <c r="L602" t="s">
        <v>49</v>
      </c>
      <c r="M602" t="s">
        <v>50</v>
      </c>
      <c r="O602" t="s">
        <v>39</v>
      </c>
      <c r="P602" t="s">
        <v>39</v>
      </c>
      <c r="Q602" t="s">
        <v>39</v>
      </c>
      <c r="R602" t="s">
        <v>41</v>
      </c>
      <c r="S602" t="s">
        <v>40</v>
      </c>
      <c r="T602" t="s">
        <v>41</v>
      </c>
      <c r="U602" t="s">
        <v>39</v>
      </c>
      <c r="V602" t="s">
        <v>39</v>
      </c>
      <c r="W602" t="s">
        <v>40</v>
      </c>
      <c r="AB602" t="s">
        <v>5442</v>
      </c>
      <c r="AC602" t="s">
        <v>5443</v>
      </c>
      <c r="AD602" t="s">
        <v>5444</v>
      </c>
    </row>
    <row r="603" spans="1:31" x14ac:dyDescent="0.2">
      <c r="A603">
        <v>44476078</v>
      </c>
      <c r="B603" t="s">
        <v>5445</v>
      </c>
      <c r="C603" t="s">
        <v>5446</v>
      </c>
      <c r="D603" t="s">
        <v>3505</v>
      </c>
      <c r="E603" s="9">
        <v>45779</v>
      </c>
      <c r="F603" s="9">
        <v>45826</v>
      </c>
      <c r="G603" t="s">
        <v>45</v>
      </c>
      <c r="H603" t="s">
        <v>46</v>
      </c>
      <c r="J603" t="s">
        <v>54</v>
      </c>
      <c r="K603" t="s">
        <v>36</v>
      </c>
      <c r="L603" t="s">
        <v>49</v>
      </c>
      <c r="M603" t="s">
        <v>50</v>
      </c>
      <c r="O603" t="s">
        <v>39</v>
      </c>
      <c r="P603" t="s">
        <v>39</v>
      </c>
      <c r="Q603" t="s">
        <v>39</v>
      </c>
      <c r="R603" t="s">
        <v>41</v>
      </c>
      <c r="S603" t="s">
        <v>40</v>
      </c>
      <c r="T603" t="s">
        <v>41</v>
      </c>
      <c r="U603" t="s">
        <v>39</v>
      </c>
      <c r="V603" t="s">
        <v>39</v>
      </c>
      <c r="W603" t="s">
        <v>40</v>
      </c>
      <c r="AB603" t="s">
        <v>5447</v>
      </c>
      <c r="AC603" t="s">
        <v>5448</v>
      </c>
      <c r="AD603" t="s">
        <v>5449</v>
      </c>
    </row>
    <row r="604" spans="1:31" x14ac:dyDescent="0.2">
      <c r="A604">
        <v>44476011</v>
      </c>
      <c r="B604" t="s">
        <v>5450</v>
      </c>
      <c r="C604" t="s">
        <v>5451</v>
      </c>
      <c r="D604" t="s">
        <v>3505</v>
      </c>
      <c r="E604" s="9">
        <v>45779</v>
      </c>
      <c r="F604" s="9">
        <v>45877</v>
      </c>
      <c r="G604" t="s">
        <v>45</v>
      </c>
      <c r="H604" t="s">
        <v>89</v>
      </c>
      <c r="I604" t="s">
        <v>46</v>
      </c>
      <c r="J604" t="s">
        <v>54</v>
      </c>
      <c r="K604" t="s">
        <v>36</v>
      </c>
      <c r="L604" t="s">
        <v>37</v>
      </c>
      <c r="M604" t="s">
        <v>289</v>
      </c>
      <c r="O604" t="s">
        <v>39</v>
      </c>
      <c r="P604" t="s">
        <v>39</v>
      </c>
      <c r="Q604" t="s">
        <v>39</v>
      </c>
      <c r="R604" t="s">
        <v>41</v>
      </c>
      <c r="S604" t="s">
        <v>40</v>
      </c>
      <c r="T604" t="s">
        <v>41</v>
      </c>
      <c r="U604" t="s">
        <v>39</v>
      </c>
      <c r="V604" t="s">
        <v>39</v>
      </c>
      <c r="W604" t="s">
        <v>40</v>
      </c>
      <c r="AB604" t="s">
        <v>5452</v>
      </c>
      <c r="AC604" t="s">
        <v>5453</v>
      </c>
      <c r="AD604" t="s">
        <v>5454</v>
      </c>
      <c r="AE604" t="s">
        <v>5455</v>
      </c>
    </row>
    <row r="605" spans="1:31" x14ac:dyDescent="0.2">
      <c r="A605">
        <v>44476044</v>
      </c>
      <c r="B605" t="s">
        <v>5456</v>
      </c>
      <c r="C605" t="s">
        <v>5457</v>
      </c>
      <c r="D605" t="s">
        <v>3505</v>
      </c>
      <c r="E605" s="9">
        <v>45779</v>
      </c>
      <c r="F605" s="9">
        <v>45879</v>
      </c>
      <c r="G605" t="s">
        <v>45</v>
      </c>
      <c r="H605" t="s">
        <v>90</v>
      </c>
      <c r="I605" t="s">
        <v>97</v>
      </c>
      <c r="J605" t="s">
        <v>154</v>
      </c>
      <c r="K605" t="s">
        <v>48</v>
      </c>
      <c r="L605" t="s">
        <v>49</v>
      </c>
      <c r="M605" t="s">
        <v>50</v>
      </c>
      <c r="O605" t="s">
        <v>39</v>
      </c>
      <c r="P605" t="s">
        <v>39</v>
      </c>
      <c r="Q605" t="s">
        <v>39</v>
      </c>
      <c r="R605" t="s">
        <v>39</v>
      </c>
      <c r="S605" t="s">
        <v>40</v>
      </c>
      <c r="T605" t="s">
        <v>41</v>
      </c>
      <c r="U605" t="s">
        <v>39</v>
      </c>
      <c r="V605" t="s">
        <v>39</v>
      </c>
      <c r="W605" t="s">
        <v>40</v>
      </c>
      <c r="X605" t="s">
        <v>5458</v>
      </c>
      <c r="AB605" t="s">
        <v>5459</v>
      </c>
      <c r="AC605" t="s">
        <v>5460</v>
      </c>
      <c r="AD605" t="s">
        <v>5461</v>
      </c>
      <c r="AE605" t="s">
        <v>5462</v>
      </c>
    </row>
    <row r="606" spans="1:31" x14ac:dyDescent="0.2">
      <c r="A606">
        <v>44476058</v>
      </c>
      <c r="B606" t="s">
        <v>5463</v>
      </c>
      <c r="C606" t="s">
        <v>5464</v>
      </c>
      <c r="D606" t="s">
        <v>3505</v>
      </c>
      <c r="E606" s="9">
        <v>45779</v>
      </c>
      <c r="F606" s="9">
        <v>45810</v>
      </c>
      <c r="G606" t="s">
        <v>45</v>
      </c>
      <c r="H606" t="s">
        <v>90</v>
      </c>
      <c r="J606" t="s">
        <v>342</v>
      </c>
      <c r="K606" t="s">
        <v>48</v>
      </c>
      <c r="L606" t="s">
        <v>49</v>
      </c>
      <c r="M606" t="s">
        <v>50</v>
      </c>
      <c r="O606" t="s">
        <v>39</v>
      </c>
      <c r="P606" t="s">
        <v>39</v>
      </c>
      <c r="Q606" t="s">
        <v>39</v>
      </c>
      <c r="R606" t="s">
        <v>41</v>
      </c>
      <c r="S606" t="s">
        <v>40</v>
      </c>
      <c r="T606" t="s">
        <v>41</v>
      </c>
      <c r="U606" t="s">
        <v>39</v>
      </c>
      <c r="V606" t="s">
        <v>39</v>
      </c>
      <c r="W606" t="s">
        <v>40</v>
      </c>
      <c r="AB606" t="s">
        <v>5465</v>
      </c>
      <c r="AC606" t="s">
        <v>5466</v>
      </c>
      <c r="AD606" t="s">
        <v>5467</v>
      </c>
    </row>
    <row r="607" spans="1:31" x14ac:dyDescent="0.2">
      <c r="A607">
        <v>44476176</v>
      </c>
      <c r="B607" t="s">
        <v>5468</v>
      </c>
      <c r="C607" t="s">
        <v>5469</v>
      </c>
      <c r="D607" t="s">
        <v>3505</v>
      </c>
      <c r="E607" s="9">
        <v>45779</v>
      </c>
      <c r="F607" s="9">
        <v>45810</v>
      </c>
      <c r="G607" t="s">
        <v>45</v>
      </c>
      <c r="H607" t="s">
        <v>105</v>
      </c>
      <c r="I607" t="s">
        <v>80</v>
      </c>
      <c r="J607" t="s">
        <v>69</v>
      </c>
      <c r="K607" t="s">
        <v>48</v>
      </c>
      <c r="L607" t="s">
        <v>49</v>
      </c>
      <c r="M607" t="s">
        <v>50</v>
      </c>
      <c r="O607" t="s">
        <v>39</v>
      </c>
      <c r="P607" t="s">
        <v>39</v>
      </c>
      <c r="Q607" t="s">
        <v>39</v>
      </c>
      <c r="R607" t="s">
        <v>41</v>
      </c>
      <c r="S607" t="s">
        <v>40</v>
      </c>
      <c r="T607" t="s">
        <v>41</v>
      </c>
      <c r="U607" t="s">
        <v>39</v>
      </c>
      <c r="V607" t="s">
        <v>39</v>
      </c>
      <c r="W607" t="s">
        <v>40</v>
      </c>
      <c r="AB607" t="s">
        <v>5470</v>
      </c>
      <c r="AC607" t="s">
        <v>5471</v>
      </c>
      <c r="AD607" t="s">
        <v>5472</v>
      </c>
    </row>
    <row r="608" spans="1:31" x14ac:dyDescent="0.2">
      <c r="A608">
        <v>44476162</v>
      </c>
      <c r="B608" t="s">
        <v>94</v>
      </c>
      <c r="C608" t="s">
        <v>95</v>
      </c>
      <c r="D608" t="s">
        <v>3505</v>
      </c>
      <c r="E608" s="9">
        <v>45779</v>
      </c>
      <c r="F608" s="9">
        <v>45941</v>
      </c>
      <c r="G608" t="s">
        <v>45</v>
      </c>
      <c r="H608" t="s">
        <v>96</v>
      </c>
      <c r="I608" t="s">
        <v>97</v>
      </c>
      <c r="J608" t="s">
        <v>98</v>
      </c>
      <c r="K608" t="s">
        <v>36</v>
      </c>
      <c r="L608" t="s">
        <v>49</v>
      </c>
      <c r="M608" t="s">
        <v>50</v>
      </c>
      <c r="O608" t="s">
        <v>39</v>
      </c>
      <c r="P608" t="s">
        <v>39</v>
      </c>
      <c r="Q608" t="s">
        <v>39</v>
      </c>
      <c r="R608" t="s">
        <v>41</v>
      </c>
      <c r="S608" t="s">
        <v>40</v>
      </c>
      <c r="T608" t="s">
        <v>41</v>
      </c>
      <c r="U608" t="s">
        <v>39</v>
      </c>
      <c r="V608" t="s">
        <v>39</v>
      </c>
      <c r="W608" t="s">
        <v>40</v>
      </c>
      <c r="X608" t="s">
        <v>5473</v>
      </c>
      <c r="AB608" t="s">
        <v>5474</v>
      </c>
      <c r="AC608" t="s">
        <v>5475</v>
      </c>
      <c r="AD608" t="s">
        <v>5476</v>
      </c>
    </row>
    <row r="609" spans="1:31" x14ac:dyDescent="0.2">
      <c r="A609">
        <v>44476187</v>
      </c>
      <c r="B609" t="s">
        <v>5477</v>
      </c>
      <c r="C609" t="s">
        <v>4288</v>
      </c>
      <c r="D609" t="s">
        <v>3505</v>
      </c>
      <c r="E609" s="9">
        <v>45779</v>
      </c>
      <c r="F609" s="9">
        <v>45818</v>
      </c>
      <c r="G609" t="s">
        <v>45</v>
      </c>
      <c r="H609" t="s">
        <v>153</v>
      </c>
      <c r="I609" t="s">
        <v>1444</v>
      </c>
      <c r="J609" t="s">
        <v>123</v>
      </c>
      <c r="K609" t="s">
        <v>36</v>
      </c>
      <c r="L609" t="s">
        <v>49</v>
      </c>
      <c r="M609" t="s">
        <v>50</v>
      </c>
      <c r="O609" t="s">
        <v>39</v>
      </c>
      <c r="P609" t="s">
        <v>39</v>
      </c>
      <c r="Q609" t="s">
        <v>39</v>
      </c>
      <c r="R609" t="s">
        <v>41</v>
      </c>
      <c r="S609" t="s">
        <v>40</v>
      </c>
      <c r="T609" t="s">
        <v>41</v>
      </c>
      <c r="U609" t="s">
        <v>39</v>
      </c>
      <c r="V609" t="s">
        <v>39</v>
      </c>
      <c r="W609" t="s">
        <v>40</v>
      </c>
      <c r="AB609" t="s">
        <v>5478</v>
      </c>
      <c r="AC609" t="s">
        <v>5479</v>
      </c>
      <c r="AD609" t="s">
        <v>5480</v>
      </c>
    </row>
    <row r="610" spans="1:31" x14ac:dyDescent="0.2">
      <c r="A610">
        <v>44476034</v>
      </c>
      <c r="B610" t="s">
        <v>5481</v>
      </c>
      <c r="C610" t="s">
        <v>4511</v>
      </c>
      <c r="D610" t="s">
        <v>3505</v>
      </c>
      <c r="E610" s="9">
        <v>45779</v>
      </c>
      <c r="F610" s="9">
        <v>45810</v>
      </c>
      <c r="G610" t="s">
        <v>45</v>
      </c>
      <c r="H610" t="s">
        <v>90</v>
      </c>
      <c r="I610" t="s">
        <v>46</v>
      </c>
      <c r="J610" t="s">
        <v>138</v>
      </c>
      <c r="K610" t="s">
        <v>36</v>
      </c>
      <c r="L610" t="s">
        <v>386</v>
      </c>
      <c r="M610" t="s">
        <v>289</v>
      </c>
      <c r="O610" t="s">
        <v>39</v>
      </c>
      <c r="P610" t="s">
        <v>39</v>
      </c>
      <c r="Q610" t="s">
        <v>39</v>
      </c>
      <c r="R610" t="s">
        <v>41</v>
      </c>
      <c r="S610" t="s">
        <v>40</v>
      </c>
      <c r="T610" t="s">
        <v>41</v>
      </c>
      <c r="U610" t="s">
        <v>39</v>
      </c>
      <c r="V610" t="s">
        <v>39</v>
      </c>
      <c r="W610" t="s">
        <v>40</v>
      </c>
      <c r="AB610" t="s">
        <v>5482</v>
      </c>
      <c r="AC610" t="s">
        <v>5483</v>
      </c>
      <c r="AD610" t="s">
        <v>5484</v>
      </c>
      <c r="AE610" t="s">
        <v>5485</v>
      </c>
    </row>
    <row r="611" spans="1:31" x14ac:dyDescent="0.2">
      <c r="A611">
        <v>44476149</v>
      </c>
      <c r="B611" t="s">
        <v>5486</v>
      </c>
      <c r="C611" t="s">
        <v>5487</v>
      </c>
      <c r="D611" t="s">
        <v>3505</v>
      </c>
      <c r="E611" s="9">
        <v>45779</v>
      </c>
      <c r="F611" s="9">
        <v>45839</v>
      </c>
      <c r="G611" t="s">
        <v>45</v>
      </c>
      <c r="H611" t="s">
        <v>89</v>
      </c>
      <c r="I611" t="s">
        <v>46</v>
      </c>
      <c r="J611" t="s">
        <v>54</v>
      </c>
      <c r="K611" t="s">
        <v>36</v>
      </c>
      <c r="L611" t="s">
        <v>37</v>
      </c>
      <c r="M611" t="s">
        <v>50</v>
      </c>
      <c r="O611" t="s">
        <v>39</v>
      </c>
      <c r="P611" t="s">
        <v>39</v>
      </c>
      <c r="Q611" t="s">
        <v>39</v>
      </c>
      <c r="R611" t="s">
        <v>41</v>
      </c>
      <c r="S611" t="s">
        <v>40</v>
      </c>
      <c r="T611" t="s">
        <v>41</v>
      </c>
      <c r="U611" t="s">
        <v>39</v>
      </c>
      <c r="V611" t="s">
        <v>39</v>
      </c>
      <c r="W611" t="s">
        <v>39</v>
      </c>
      <c r="X611" t="s">
        <v>5488</v>
      </c>
      <c r="AB611" t="s">
        <v>5489</v>
      </c>
      <c r="AC611" t="s">
        <v>5490</v>
      </c>
      <c r="AD611" t="s">
        <v>5491</v>
      </c>
      <c r="AE611" t="s">
        <v>5492</v>
      </c>
    </row>
    <row r="612" spans="1:31" x14ac:dyDescent="0.2">
      <c r="A612">
        <v>44476054</v>
      </c>
      <c r="B612" t="s">
        <v>5493</v>
      </c>
      <c r="C612" t="s">
        <v>5494</v>
      </c>
      <c r="D612" t="s">
        <v>3505</v>
      </c>
      <c r="E612" s="9">
        <v>45779</v>
      </c>
      <c r="F612" s="9">
        <v>45810</v>
      </c>
      <c r="G612" t="s">
        <v>45</v>
      </c>
      <c r="H612" t="s">
        <v>90</v>
      </c>
      <c r="J612" t="s">
        <v>154</v>
      </c>
      <c r="K612" t="s">
        <v>36</v>
      </c>
      <c r="L612" t="s">
        <v>49</v>
      </c>
      <c r="M612" t="s">
        <v>50</v>
      </c>
      <c r="O612" t="s">
        <v>39</v>
      </c>
      <c r="P612" t="s">
        <v>39</v>
      </c>
      <c r="Q612" t="s">
        <v>39</v>
      </c>
      <c r="R612" t="s">
        <v>41</v>
      </c>
      <c r="S612" t="s">
        <v>40</v>
      </c>
      <c r="T612" t="s">
        <v>41</v>
      </c>
      <c r="U612" t="s">
        <v>39</v>
      </c>
      <c r="V612" t="s">
        <v>39</v>
      </c>
      <c r="W612" t="s">
        <v>40</v>
      </c>
      <c r="AB612" t="s">
        <v>5495</v>
      </c>
      <c r="AC612" t="s">
        <v>5496</v>
      </c>
      <c r="AD612" t="s">
        <v>5497</v>
      </c>
      <c r="AE612" t="s">
        <v>5498</v>
      </c>
    </row>
    <row r="613" spans="1:31" x14ac:dyDescent="0.2">
      <c r="A613">
        <v>44476155</v>
      </c>
      <c r="B613" t="s">
        <v>5499</v>
      </c>
      <c r="C613" t="s">
        <v>5500</v>
      </c>
      <c r="D613" t="s">
        <v>3505</v>
      </c>
      <c r="E613" s="9">
        <v>45779</v>
      </c>
      <c r="F613" s="9">
        <v>45810</v>
      </c>
      <c r="G613" t="s">
        <v>45</v>
      </c>
      <c r="H613" t="s">
        <v>437</v>
      </c>
      <c r="J613" t="s">
        <v>254</v>
      </c>
      <c r="K613" t="s">
        <v>36</v>
      </c>
      <c r="L613" t="s">
        <v>37</v>
      </c>
      <c r="M613" t="s">
        <v>50</v>
      </c>
      <c r="O613" t="s">
        <v>39</v>
      </c>
      <c r="P613" t="s">
        <v>39</v>
      </c>
      <c r="Q613" t="s">
        <v>39</v>
      </c>
      <c r="R613" t="s">
        <v>41</v>
      </c>
      <c r="S613" t="s">
        <v>40</v>
      </c>
      <c r="T613" t="s">
        <v>41</v>
      </c>
      <c r="U613" t="s">
        <v>39</v>
      </c>
      <c r="V613" t="s">
        <v>39</v>
      </c>
      <c r="W613" t="s">
        <v>40</v>
      </c>
      <c r="AB613" t="s">
        <v>5501</v>
      </c>
      <c r="AC613" t="s">
        <v>5502</v>
      </c>
      <c r="AD613" t="s">
        <v>5503</v>
      </c>
      <c r="AE613" t="s">
        <v>5504</v>
      </c>
    </row>
    <row r="614" spans="1:31" x14ac:dyDescent="0.2">
      <c r="A614">
        <v>44475829</v>
      </c>
      <c r="B614" t="s">
        <v>5505</v>
      </c>
      <c r="C614" t="s">
        <v>5506</v>
      </c>
      <c r="D614" t="s">
        <v>3505</v>
      </c>
      <c r="E614" s="9">
        <v>45779</v>
      </c>
      <c r="F614" s="9">
        <v>45877</v>
      </c>
      <c r="G614" t="s">
        <v>45</v>
      </c>
      <c r="H614" t="s">
        <v>90</v>
      </c>
      <c r="J614" t="s">
        <v>133</v>
      </c>
      <c r="K614" t="s">
        <v>48</v>
      </c>
      <c r="L614" t="s">
        <v>37</v>
      </c>
      <c r="M614" t="s">
        <v>50</v>
      </c>
      <c r="O614" t="s">
        <v>39</v>
      </c>
      <c r="P614" t="s">
        <v>39</v>
      </c>
      <c r="Q614" t="s">
        <v>39</v>
      </c>
      <c r="R614" t="s">
        <v>41</v>
      </c>
      <c r="S614" t="s">
        <v>40</v>
      </c>
      <c r="T614" t="s">
        <v>41</v>
      </c>
      <c r="U614" t="s">
        <v>39</v>
      </c>
      <c r="V614" t="s">
        <v>39</v>
      </c>
      <c r="W614" t="s">
        <v>40</v>
      </c>
      <c r="AB614" t="s">
        <v>5507</v>
      </c>
      <c r="AC614" t="s">
        <v>5508</v>
      </c>
      <c r="AD614" t="s">
        <v>5509</v>
      </c>
    </row>
    <row r="615" spans="1:31" x14ac:dyDescent="0.2">
      <c r="A615">
        <v>44475808</v>
      </c>
      <c r="B615" t="s">
        <v>5510</v>
      </c>
      <c r="C615" t="s">
        <v>5511</v>
      </c>
      <c r="D615" t="s">
        <v>3505</v>
      </c>
      <c r="E615" s="9">
        <v>45779</v>
      </c>
      <c r="F615" s="9">
        <v>45810</v>
      </c>
      <c r="G615" t="s">
        <v>45</v>
      </c>
      <c r="H615" t="s">
        <v>3533</v>
      </c>
      <c r="J615" t="s">
        <v>98</v>
      </c>
      <c r="K615" t="s">
        <v>48</v>
      </c>
      <c r="L615" t="s">
        <v>37</v>
      </c>
      <c r="M615" t="s">
        <v>50</v>
      </c>
      <c r="O615" t="s">
        <v>39</v>
      </c>
      <c r="P615" t="s">
        <v>39</v>
      </c>
      <c r="Q615" t="s">
        <v>39</v>
      </c>
      <c r="R615" t="s">
        <v>41</v>
      </c>
      <c r="S615" t="s">
        <v>40</v>
      </c>
      <c r="T615" t="s">
        <v>41</v>
      </c>
      <c r="U615" t="s">
        <v>39</v>
      </c>
      <c r="V615" t="s">
        <v>39</v>
      </c>
      <c r="W615" t="s">
        <v>40</v>
      </c>
      <c r="AB615" t="s">
        <v>5512</v>
      </c>
      <c r="AC615" t="s">
        <v>5513</v>
      </c>
      <c r="AD615" t="s">
        <v>5514</v>
      </c>
    </row>
    <row r="616" spans="1:31" x14ac:dyDescent="0.2">
      <c r="A616">
        <v>44476252</v>
      </c>
      <c r="B616" t="s">
        <v>5515</v>
      </c>
      <c r="C616" t="s">
        <v>5516</v>
      </c>
      <c r="D616" t="s">
        <v>3505</v>
      </c>
      <c r="E616" s="9">
        <v>45779</v>
      </c>
      <c r="F616" s="9">
        <v>45810</v>
      </c>
      <c r="G616" t="s">
        <v>45</v>
      </c>
      <c r="H616" t="s">
        <v>90</v>
      </c>
      <c r="J616" t="s">
        <v>138</v>
      </c>
      <c r="K616" t="s">
        <v>48</v>
      </c>
      <c r="L616" t="s">
        <v>49</v>
      </c>
      <c r="M616" t="s">
        <v>74</v>
      </c>
      <c r="O616" t="s">
        <v>39</v>
      </c>
      <c r="P616" t="s">
        <v>39</v>
      </c>
      <c r="Q616" t="s">
        <v>39</v>
      </c>
      <c r="R616" t="s">
        <v>41</v>
      </c>
      <c r="S616" t="s">
        <v>40</v>
      </c>
      <c r="T616" t="s">
        <v>41</v>
      </c>
      <c r="U616" t="s">
        <v>39</v>
      </c>
      <c r="V616" t="s">
        <v>39</v>
      </c>
      <c r="W616" t="s">
        <v>40</v>
      </c>
      <c r="AB616" t="s">
        <v>5517</v>
      </c>
      <c r="AC616" t="s">
        <v>5518</v>
      </c>
      <c r="AD616" t="s">
        <v>5519</v>
      </c>
    </row>
    <row r="617" spans="1:31" x14ac:dyDescent="0.2">
      <c r="A617">
        <v>44476087</v>
      </c>
      <c r="B617" t="s">
        <v>5520</v>
      </c>
      <c r="C617" t="s">
        <v>5521</v>
      </c>
      <c r="D617" t="s">
        <v>3505</v>
      </c>
      <c r="E617" s="9">
        <v>45779</v>
      </c>
      <c r="F617" s="9">
        <v>45826</v>
      </c>
      <c r="G617" t="s">
        <v>45</v>
      </c>
      <c r="H617" t="s">
        <v>1158</v>
      </c>
      <c r="J617" t="s">
        <v>254</v>
      </c>
      <c r="K617" t="s">
        <v>48</v>
      </c>
      <c r="L617" t="s">
        <v>49</v>
      </c>
      <c r="M617" t="s">
        <v>50</v>
      </c>
      <c r="O617" t="s">
        <v>39</v>
      </c>
      <c r="P617" t="s">
        <v>39</v>
      </c>
      <c r="Q617" t="s">
        <v>39</v>
      </c>
      <c r="R617" t="s">
        <v>41</v>
      </c>
      <c r="S617" t="s">
        <v>40</v>
      </c>
      <c r="T617" t="s">
        <v>41</v>
      </c>
      <c r="U617" t="s">
        <v>39</v>
      </c>
      <c r="V617" t="s">
        <v>39</v>
      </c>
      <c r="W617" t="s">
        <v>40</v>
      </c>
      <c r="AB617" t="s">
        <v>5522</v>
      </c>
      <c r="AC617" t="s">
        <v>5523</v>
      </c>
    </row>
    <row r="618" spans="1:31" x14ac:dyDescent="0.2">
      <c r="A618">
        <v>44475813</v>
      </c>
      <c r="B618" t="s">
        <v>99</v>
      </c>
      <c r="C618" t="s">
        <v>100</v>
      </c>
      <c r="D618" t="s">
        <v>32</v>
      </c>
      <c r="E618" s="9">
        <v>45779</v>
      </c>
      <c r="G618" t="s">
        <v>45</v>
      </c>
      <c r="H618" t="s">
        <v>53</v>
      </c>
      <c r="I618" t="s">
        <v>46</v>
      </c>
      <c r="J618" t="s">
        <v>82</v>
      </c>
      <c r="K618" t="s">
        <v>48</v>
      </c>
      <c r="L618" t="s">
        <v>49</v>
      </c>
      <c r="M618" t="s">
        <v>74</v>
      </c>
      <c r="O618" t="s">
        <v>39</v>
      </c>
      <c r="P618" t="s">
        <v>39</v>
      </c>
      <c r="Q618" t="s">
        <v>39</v>
      </c>
      <c r="R618" t="s">
        <v>41</v>
      </c>
      <c r="S618" t="s">
        <v>40</v>
      </c>
      <c r="T618" t="s">
        <v>41</v>
      </c>
      <c r="U618" t="s">
        <v>39</v>
      </c>
      <c r="V618" t="s">
        <v>39</v>
      </c>
      <c r="W618" t="s">
        <v>40</v>
      </c>
      <c r="AB618" t="s">
        <v>101</v>
      </c>
      <c r="AC618" t="s">
        <v>102</v>
      </c>
      <c r="AD618" t="s">
        <v>103</v>
      </c>
    </row>
    <row r="619" spans="1:31" x14ac:dyDescent="0.2">
      <c r="A619">
        <v>44476170</v>
      </c>
      <c r="B619" t="s">
        <v>104</v>
      </c>
      <c r="C619" t="s">
        <v>1085</v>
      </c>
      <c r="D619" t="s">
        <v>32</v>
      </c>
      <c r="E619" s="9">
        <v>45779</v>
      </c>
      <c r="G619" t="s">
        <v>45</v>
      </c>
      <c r="H619" t="s">
        <v>105</v>
      </c>
      <c r="I619" t="s">
        <v>96</v>
      </c>
      <c r="J619" t="s">
        <v>69</v>
      </c>
      <c r="K619" t="s">
        <v>48</v>
      </c>
      <c r="L619" t="s">
        <v>49</v>
      </c>
      <c r="M619" t="s">
        <v>50</v>
      </c>
      <c r="O619" t="s">
        <v>39</v>
      </c>
      <c r="P619" t="s">
        <v>39</v>
      </c>
      <c r="Q619" t="s">
        <v>39</v>
      </c>
      <c r="R619" t="s">
        <v>41</v>
      </c>
      <c r="S619" t="s">
        <v>40</v>
      </c>
      <c r="T619" t="s">
        <v>41</v>
      </c>
      <c r="U619" t="s">
        <v>39</v>
      </c>
      <c r="V619" t="s">
        <v>39</v>
      </c>
      <c r="W619" t="s">
        <v>39</v>
      </c>
      <c r="X619" t="s">
        <v>1413</v>
      </c>
      <c r="AB619" t="s">
        <v>2183</v>
      </c>
      <c r="AC619" t="s">
        <v>106</v>
      </c>
      <c r="AD619" t="s">
        <v>2184</v>
      </c>
      <c r="AE619" t="s">
        <v>2185</v>
      </c>
    </row>
    <row r="620" spans="1:31" x14ac:dyDescent="0.2">
      <c r="A620">
        <v>44523230</v>
      </c>
      <c r="B620">
        <v>58325211</v>
      </c>
      <c r="C620" t="s">
        <v>5524</v>
      </c>
      <c r="D620" t="s">
        <v>3505</v>
      </c>
      <c r="E620" s="9">
        <v>45785</v>
      </c>
      <c r="F620" s="9">
        <v>45833</v>
      </c>
      <c r="G620" t="s">
        <v>33</v>
      </c>
      <c r="H620" t="s">
        <v>34</v>
      </c>
      <c r="J620" t="s">
        <v>107</v>
      </c>
      <c r="K620" t="s">
        <v>36</v>
      </c>
      <c r="L620" t="s">
        <v>49</v>
      </c>
      <c r="N620" t="s">
        <v>38</v>
      </c>
      <c r="O620" t="s">
        <v>40</v>
      </c>
      <c r="P620" t="s">
        <v>39</v>
      </c>
      <c r="Q620" t="s">
        <v>39</v>
      </c>
      <c r="R620" t="s">
        <v>40</v>
      </c>
      <c r="S620" t="s">
        <v>41</v>
      </c>
      <c r="T620" t="s">
        <v>41</v>
      </c>
      <c r="U620" t="s">
        <v>40</v>
      </c>
      <c r="V620" t="s">
        <v>40</v>
      </c>
      <c r="W620" t="s">
        <v>40</v>
      </c>
      <c r="AB620" t="s">
        <v>5525</v>
      </c>
    </row>
    <row r="621" spans="1:31" x14ac:dyDescent="0.2">
      <c r="A621">
        <v>44523252</v>
      </c>
      <c r="B621">
        <v>56304849</v>
      </c>
      <c r="C621" t="s">
        <v>5526</v>
      </c>
      <c r="D621" t="s">
        <v>3505</v>
      </c>
      <c r="E621" s="9">
        <v>45785</v>
      </c>
      <c r="F621" s="9">
        <v>45833</v>
      </c>
      <c r="G621" t="s">
        <v>33</v>
      </c>
      <c r="H621" t="s">
        <v>34</v>
      </c>
      <c r="J621" t="s">
        <v>225</v>
      </c>
      <c r="K621" t="s">
        <v>48</v>
      </c>
      <c r="L621" t="s">
        <v>37</v>
      </c>
      <c r="N621" t="s">
        <v>38</v>
      </c>
      <c r="O621" t="s">
        <v>40</v>
      </c>
      <c r="P621" t="s">
        <v>39</v>
      </c>
      <c r="Q621" t="s">
        <v>39</v>
      </c>
      <c r="R621" t="s">
        <v>40</v>
      </c>
      <c r="S621" t="s">
        <v>41</v>
      </c>
      <c r="T621" t="s">
        <v>41</v>
      </c>
      <c r="U621" t="s">
        <v>40</v>
      </c>
      <c r="V621" t="s">
        <v>40</v>
      </c>
      <c r="W621" t="s">
        <v>40</v>
      </c>
      <c r="AB621" t="s">
        <v>5527</v>
      </c>
    </row>
    <row r="622" spans="1:31" x14ac:dyDescent="0.2">
      <c r="A622">
        <v>44523276</v>
      </c>
      <c r="B622">
        <v>55748966</v>
      </c>
      <c r="C622" t="s">
        <v>5528</v>
      </c>
      <c r="D622" t="s">
        <v>3505</v>
      </c>
      <c r="E622" s="9">
        <v>45785</v>
      </c>
      <c r="F622" s="9">
        <v>45833</v>
      </c>
      <c r="G622" t="s">
        <v>33</v>
      </c>
      <c r="H622" t="s">
        <v>34</v>
      </c>
      <c r="J622" t="s">
        <v>4622</v>
      </c>
      <c r="K622" t="s">
        <v>36</v>
      </c>
      <c r="L622" t="s">
        <v>49</v>
      </c>
      <c r="N622" t="s">
        <v>38</v>
      </c>
      <c r="O622" t="s">
        <v>40</v>
      </c>
      <c r="P622" t="s">
        <v>39</v>
      </c>
      <c r="Q622" t="s">
        <v>39</v>
      </c>
      <c r="R622" t="s">
        <v>40</v>
      </c>
      <c r="S622" t="s">
        <v>41</v>
      </c>
      <c r="T622" t="s">
        <v>41</v>
      </c>
      <c r="U622" t="s">
        <v>40</v>
      </c>
      <c r="V622" t="s">
        <v>40</v>
      </c>
      <c r="W622" t="s">
        <v>40</v>
      </c>
      <c r="AB622" t="s">
        <v>5529</v>
      </c>
    </row>
    <row r="623" spans="1:31" x14ac:dyDescent="0.2">
      <c r="A623">
        <v>44523243</v>
      </c>
      <c r="B623">
        <v>58301068</v>
      </c>
      <c r="C623" t="s">
        <v>5530</v>
      </c>
      <c r="D623" t="s">
        <v>3505</v>
      </c>
      <c r="E623" s="9">
        <v>45785</v>
      </c>
      <c r="F623" s="9">
        <v>45887</v>
      </c>
      <c r="G623" t="s">
        <v>33</v>
      </c>
      <c r="H623" t="s">
        <v>34</v>
      </c>
      <c r="J623" t="s">
        <v>222</v>
      </c>
      <c r="K623" t="s">
        <v>48</v>
      </c>
      <c r="L623" t="s">
        <v>49</v>
      </c>
      <c r="N623" t="s">
        <v>38</v>
      </c>
      <c r="O623" t="s">
        <v>40</v>
      </c>
      <c r="P623" t="s">
        <v>39</v>
      </c>
      <c r="Q623" t="s">
        <v>39</v>
      </c>
      <c r="R623" t="s">
        <v>40</v>
      </c>
      <c r="S623" t="s">
        <v>41</v>
      </c>
      <c r="T623" t="s">
        <v>41</v>
      </c>
      <c r="U623" t="s">
        <v>40</v>
      </c>
      <c r="V623" t="s">
        <v>40</v>
      </c>
      <c r="W623" t="s">
        <v>40</v>
      </c>
      <c r="AB623" t="s">
        <v>5531</v>
      </c>
    </row>
    <row r="624" spans="1:31" x14ac:dyDescent="0.2">
      <c r="A624">
        <v>44523173</v>
      </c>
      <c r="B624">
        <v>58353818</v>
      </c>
      <c r="C624" t="s">
        <v>1221</v>
      </c>
      <c r="D624" t="s">
        <v>32</v>
      </c>
      <c r="E624" s="9">
        <v>45785</v>
      </c>
      <c r="G624" t="s">
        <v>33</v>
      </c>
      <c r="H624" t="s">
        <v>34</v>
      </c>
      <c r="J624" t="s">
        <v>107</v>
      </c>
      <c r="K624" t="s">
        <v>48</v>
      </c>
      <c r="L624" t="s">
        <v>49</v>
      </c>
      <c r="N624" t="s">
        <v>38</v>
      </c>
      <c r="O624" t="s">
        <v>40</v>
      </c>
      <c r="P624" t="s">
        <v>39</v>
      </c>
      <c r="Q624" t="s">
        <v>39</v>
      </c>
      <c r="R624" t="s">
        <v>40</v>
      </c>
      <c r="S624" t="s">
        <v>41</v>
      </c>
      <c r="T624" t="s">
        <v>41</v>
      </c>
      <c r="U624" t="s">
        <v>40</v>
      </c>
      <c r="V624" t="s">
        <v>40</v>
      </c>
      <c r="W624" t="s">
        <v>40</v>
      </c>
      <c r="AB624" t="s">
        <v>108</v>
      </c>
    </row>
    <row r="625" spans="1:31" x14ac:dyDescent="0.2">
      <c r="A625">
        <v>44523270</v>
      </c>
      <c r="B625">
        <v>55771377</v>
      </c>
      <c r="C625" t="s">
        <v>5532</v>
      </c>
      <c r="D625" t="s">
        <v>3505</v>
      </c>
      <c r="E625" s="9">
        <v>45785</v>
      </c>
      <c r="F625" s="9">
        <v>45833</v>
      </c>
      <c r="G625" t="s">
        <v>33</v>
      </c>
      <c r="H625" t="s">
        <v>34</v>
      </c>
      <c r="J625" t="s">
        <v>4173</v>
      </c>
      <c r="K625" t="s">
        <v>48</v>
      </c>
      <c r="L625" t="s">
        <v>49</v>
      </c>
      <c r="N625" t="s">
        <v>38</v>
      </c>
      <c r="O625" t="s">
        <v>40</v>
      </c>
      <c r="P625" t="s">
        <v>39</v>
      </c>
      <c r="Q625" t="s">
        <v>39</v>
      </c>
      <c r="R625" t="s">
        <v>40</v>
      </c>
      <c r="S625" t="s">
        <v>41</v>
      </c>
      <c r="T625" t="s">
        <v>41</v>
      </c>
      <c r="U625" t="s">
        <v>40</v>
      </c>
      <c r="V625" t="s">
        <v>40</v>
      </c>
      <c r="W625" t="s">
        <v>40</v>
      </c>
      <c r="AB625" t="s">
        <v>5533</v>
      </c>
    </row>
    <row r="626" spans="1:31" x14ac:dyDescent="0.2">
      <c r="A626">
        <v>44523229</v>
      </c>
      <c r="B626">
        <v>58325226</v>
      </c>
      <c r="C626" t="s">
        <v>5534</v>
      </c>
      <c r="D626" t="s">
        <v>3505</v>
      </c>
      <c r="E626" s="9">
        <v>45785</v>
      </c>
      <c r="F626" s="9">
        <v>45833</v>
      </c>
      <c r="G626" t="s">
        <v>33</v>
      </c>
      <c r="H626" t="s">
        <v>34</v>
      </c>
      <c r="J626" t="s">
        <v>107</v>
      </c>
      <c r="K626" t="s">
        <v>48</v>
      </c>
      <c r="L626" t="s">
        <v>49</v>
      </c>
      <c r="N626" t="s">
        <v>38</v>
      </c>
      <c r="O626" t="s">
        <v>40</v>
      </c>
      <c r="P626" t="s">
        <v>39</v>
      </c>
      <c r="Q626" t="s">
        <v>39</v>
      </c>
      <c r="R626" t="s">
        <v>40</v>
      </c>
      <c r="S626" t="s">
        <v>41</v>
      </c>
      <c r="T626" t="s">
        <v>41</v>
      </c>
      <c r="U626" t="s">
        <v>40</v>
      </c>
      <c r="V626" t="s">
        <v>40</v>
      </c>
      <c r="W626" t="s">
        <v>40</v>
      </c>
      <c r="AB626" t="s">
        <v>5535</v>
      </c>
    </row>
    <row r="627" spans="1:31" x14ac:dyDescent="0.2">
      <c r="A627">
        <v>44523257</v>
      </c>
      <c r="B627">
        <v>58302640</v>
      </c>
      <c r="C627" t="s">
        <v>5536</v>
      </c>
      <c r="D627" t="s">
        <v>3505</v>
      </c>
      <c r="E627" s="9">
        <v>45785</v>
      </c>
      <c r="F627" s="9">
        <v>45833</v>
      </c>
      <c r="G627" t="s">
        <v>33</v>
      </c>
      <c r="H627" t="s">
        <v>34</v>
      </c>
      <c r="J627" t="s">
        <v>4622</v>
      </c>
      <c r="K627" t="s">
        <v>48</v>
      </c>
      <c r="L627" t="s">
        <v>230</v>
      </c>
      <c r="N627" t="s">
        <v>38</v>
      </c>
      <c r="O627" t="s">
        <v>40</v>
      </c>
      <c r="P627" t="s">
        <v>39</v>
      </c>
      <c r="Q627" t="s">
        <v>39</v>
      </c>
      <c r="R627" t="s">
        <v>40</v>
      </c>
      <c r="S627" t="s">
        <v>41</v>
      </c>
      <c r="T627" t="s">
        <v>41</v>
      </c>
      <c r="U627" t="s">
        <v>40</v>
      </c>
      <c r="V627" t="s">
        <v>40</v>
      </c>
      <c r="W627" t="s">
        <v>40</v>
      </c>
      <c r="AB627" t="s">
        <v>5537</v>
      </c>
    </row>
    <row r="628" spans="1:31" x14ac:dyDescent="0.2">
      <c r="A628">
        <v>44523284</v>
      </c>
      <c r="B628">
        <v>58325209</v>
      </c>
      <c r="C628" t="s">
        <v>5538</v>
      </c>
      <c r="D628" t="s">
        <v>3505</v>
      </c>
      <c r="E628" s="9">
        <v>45785</v>
      </c>
      <c r="F628" s="9">
        <v>45833</v>
      </c>
      <c r="G628" t="s">
        <v>33</v>
      </c>
      <c r="H628" t="s">
        <v>34</v>
      </c>
      <c r="J628" t="s">
        <v>4173</v>
      </c>
      <c r="K628" t="s">
        <v>36</v>
      </c>
      <c r="L628" t="s">
        <v>49</v>
      </c>
      <c r="N628" t="s">
        <v>38</v>
      </c>
      <c r="O628" t="s">
        <v>40</v>
      </c>
      <c r="P628" t="s">
        <v>39</v>
      </c>
      <c r="Q628" t="s">
        <v>39</v>
      </c>
      <c r="R628" t="s">
        <v>40</v>
      </c>
      <c r="S628" t="s">
        <v>41</v>
      </c>
      <c r="T628" t="s">
        <v>41</v>
      </c>
      <c r="U628" t="s">
        <v>40</v>
      </c>
      <c r="V628" t="s">
        <v>40</v>
      </c>
      <c r="W628" t="s">
        <v>40</v>
      </c>
      <c r="AB628" t="s">
        <v>5539</v>
      </c>
    </row>
    <row r="629" spans="1:31" x14ac:dyDescent="0.2">
      <c r="A629">
        <v>44523281</v>
      </c>
      <c r="B629">
        <v>58325207</v>
      </c>
      <c r="C629" t="s">
        <v>5540</v>
      </c>
      <c r="D629" t="s">
        <v>3505</v>
      </c>
      <c r="E629" s="9">
        <v>45785</v>
      </c>
      <c r="F629" s="9">
        <v>45851</v>
      </c>
      <c r="G629" t="s">
        <v>33</v>
      </c>
      <c r="H629" t="s">
        <v>34</v>
      </c>
      <c r="J629" t="s">
        <v>4173</v>
      </c>
      <c r="K629" t="s">
        <v>36</v>
      </c>
      <c r="L629" t="s">
        <v>49</v>
      </c>
      <c r="N629" t="s">
        <v>38</v>
      </c>
      <c r="O629" t="s">
        <v>40</v>
      </c>
      <c r="P629" t="s">
        <v>39</v>
      </c>
      <c r="Q629" t="s">
        <v>39</v>
      </c>
      <c r="R629" t="s">
        <v>40</v>
      </c>
      <c r="S629" t="s">
        <v>41</v>
      </c>
      <c r="T629" t="s">
        <v>41</v>
      </c>
      <c r="U629" t="s">
        <v>40</v>
      </c>
      <c r="V629" t="s">
        <v>40</v>
      </c>
      <c r="W629" t="s">
        <v>40</v>
      </c>
      <c r="AB629" t="s">
        <v>5541</v>
      </c>
    </row>
    <row r="630" spans="1:31" x14ac:dyDescent="0.2">
      <c r="A630">
        <v>44940329</v>
      </c>
      <c r="B630" t="s">
        <v>5542</v>
      </c>
      <c r="C630" t="s">
        <v>5543</v>
      </c>
      <c r="D630" t="s">
        <v>3505</v>
      </c>
      <c r="E630" s="9">
        <v>45827</v>
      </c>
      <c r="F630" s="9">
        <v>45877</v>
      </c>
      <c r="G630" t="s">
        <v>45</v>
      </c>
      <c r="H630" t="s">
        <v>253</v>
      </c>
      <c r="J630" t="s">
        <v>342</v>
      </c>
      <c r="K630" t="s">
        <v>48</v>
      </c>
      <c r="L630" t="s">
        <v>49</v>
      </c>
      <c r="M630" t="s">
        <v>50</v>
      </c>
      <c r="O630" t="s">
        <v>39</v>
      </c>
      <c r="P630" t="s">
        <v>41</v>
      </c>
      <c r="Q630" t="s">
        <v>39</v>
      </c>
      <c r="R630" t="s">
        <v>41</v>
      </c>
      <c r="S630" t="s">
        <v>40</v>
      </c>
      <c r="T630" t="s">
        <v>41</v>
      </c>
      <c r="U630" t="s">
        <v>39</v>
      </c>
      <c r="V630" t="s">
        <v>39</v>
      </c>
      <c r="W630" t="s">
        <v>39</v>
      </c>
      <c r="AB630" t="s">
        <v>5544</v>
      </c>
      <c r="AC630" t="s">
        <v>5545</v>
      </c>
      <c r="AD630" t="s">
        <v>5546</v>
      </c>
    </row>
    <row r="631" spans="1:31" x14ac:dyDescent="0.2">
      <c r="A631">
        <v>44937320</v>
      </c>
      <c r="B631" t="s">
        <v>5547</v>
      </c>
      <c r="C631" t="s">
        <v>5548</v>
      </c>
      <c r="D631" t="s">
        <v>3505</v>
      </c>
      <c r="E631" s="9">
        <v>45827</v>
      </c>
      <c r="F631" s="9">
        <v>45856</v>
      </c>
      <c r="G631" t="s">
        <v>45</v>
      </c>
      <c r="H631" t="s">
        <v>90</v>
      </c>
      <c r="I631" t="s">
        <v>96</v>
      </c>
      <c r="J631" t="s">
        <v>154</v>
      </c>
      <c r="K631" t="s">
        <v>48</v>
      </c>
      <c r="L631" t="s">
        <v>49</v>
      </c>
      <c r="M631" t="s">
        <v>50</v>
      </c>
      <c r="O631" t="s">
        <v>39</v>
      </c>
      <c r="P631" t="s">
        <v>39</v>
      </c>
      <c r="Q631" t="s">
        <v>39</v>
      </c>
      <c r="R631" t="s">
        <v>41</v>
      </c>
      <c r="S631" t="s">
        <v>40</v>
      </c>
      <c r="T631" t="s">
        <v>41</v>
      </c>
      <c r="U631" t="s">
        <v>39</v>
      </c>
      <c r="V631" t="s">
        <v>39</v>
      </c>
      <c r="W631" t="s">
        <v>40</v>
      </c>
      <c r="AB631" t="s">
        <v>5549</v>
      </c>
      <c r="AC631" t="s">
        <v>5550</v>
      </c>
      <c r="AD631" t="s">
        <v>5551</v>
      </c>
      <c r="AE631" t="s">
        <v>5552</v>
      </c>
    </row>
    <row r="632" spans="1:31" x14ac:dyDescent="0.2">
      <c r="A632">
        <v>44942266</v>
      </c>
      <c r="B632" t="s">
        <v>5553</v>
      </c>
      <c r="C632" t="s">
        <v>5554</v>
      </c>
      <c r="D632" t="s">
        <v>3505</v>
      </c>
      <c r="E632" s="9">
        <v>45827</v>
      </c>
      <c r="F632" s="9">
        <v>45860</v>
      </c>
      <c r="G632" t="s">
        <v>45</v>
      </c>
      <c r="H632" t="s">
        <v>46</v>
      </c>
      <c r="I632" t="s">
        <v>90</v>
      </c>
      <c r="J632" t="s">
        <v>154</v>
      </c>
      <c r="K632" t="s">
        <v>36</v>
      </c>
      <c r="L632" t="s">
        <v>386</v>
      </c>
      <c r="M632" t="s">
        <v>50</v>
      </c>
      <c r="O632" t="s">
        <v>39</v>
      </c>
      <c r="P632" t="s">
        <v>39</v>
      </c>
      <c r="Q632" t="s">
        <v>39</v>
      </c>
      <c r="R632" t="s">
        <v>41</v>
      </c>
      <c r="S632" t="s">
        <v>40</v>
      </c>
      <c r="T632" t="s">
        <v>41</v>
      </c>
      <c r="U632" t="s">
        <v>39</v>
      </c>
      <c r="V632" t="s">
        <v>39</v>
      </c>
      <c r="W632" t="s">
        <v>39</v>
      </c>
      <c r="AB632" t="s">
        <v>5555</v>
      </c>
      <c r="AC632" t="s">
        <v>5556</v>
      </c>
      <c r="AD632" t="s">
        <v>5557</v>
      </c>
      <c r="AE632" t="s">
        <v>5558</v>
      </c>
    </row>
    <row r="633" spans="1:31" x14ac:dyDescent="0.2">
      <c r="A633">
        <v>44937625</v>
      </c>
      <c r="B633" t="s">
        <v>5559</v>
      </c>
      <c r="C633" t="s">
        <v>5560</v>
      </c>
      <c r="D633" t="s">
        <v>3505</v>
      </c>
      <c r="E633" s="9">
        <v>45827</v>
      </c>
      <c r="F633" s="9">
        <v>45905</v>
      </c>
      <c r="G633" t="s">
        <v>45</v>
      </c>
      <c r="H633" t="s">
        <v>3533</v>
      </c>
      <c r="J633" t="s">
        <v>73</v>
      </c>
      <c r="K633" t="s">
        <v>48</v>
      </c>
      <c r="L633" t="s">
        <v>49</v>
      </c>
      <c r="M633" t="s">
        <v>50</v>
      </c>
      <c r="O633" t="s">
        <v>39</v>
      </c>
      <c r="P633" t="s">
        <v>39</v>
      </c>
      <c r="Q633" t="s">
        <v>39</v>
      </c>
      <c r="R633" t="s">
        <v>41</v>
      </c>
      <c r="S633" t="s">
        <v>40</v>
      </c>
      <c r="T633" t="s">
        <v>41</v>
      </c>
      <c r="U633" t="s">
        <v>39</v>
      </c>
      <c r="V633" t="s">
        <v>39</v>
      </c>
      <c r="W633" t="s">
        <v>40</v>
      </c>
      <c r="AB633" t="s">
        <v>5561</v>
      </c>
      <c r="AC633" t="s">
        <v>5562</v>
      </c>
      <c r="AD633" t="s">
        <v>5563</v>
      </c>
    </row>
    <row r="634" spans="1:31" x14ac:dyDescent="0.2">
      <c r="A634">
        <v>44937909</v>
      </c>
      <c r="B634" t="s">
        <v>109</v>
      </c>
      <c r="C634" t="s">
        <v>2186</v>
      </c>
      <c r="D634" t="s">
        <v>32</v>
      </c>
      <c r="E634" s="9">
        <v>45827</v>
      </c>
      <c r="G634" t="s">
        <v>45</v>
      </c>
      <c r="H634" t="s">
        <v>111</v>
      </c>
      <c r="J634" t="s">
        <v>112</v>
      </c>
      <c r="K634" t="s">
        <v>48</v>
      </c>
      <c r="L634" t="s">
        <v>49</v>
      </c>
      <c r="M634" t="s">
        <v>74</v>
      </c>
      <c r="O634" t="s">
        <v>39</v>
      </c>
      <c r="P634" t="s">
        <v>39</v>
      </c>
      <c r="Q634" t="s">
        <v>39</v>
      </c>
      <c r="R634" t="s">
        <v>41</v>
      </c>
      <c r="S634" t="s">
        <v>40</v>
      </c>
      <c r="T634" t="s">
        <v>41</v>
      </c>
      <c r="U634" t="s">
        <v>39</v>
      </c>
      <c r="V634" t="s">
        <v>39</v>
      </c>
      <c r="W634" t="s">
        <v>40</v>
      </c>
      <c r="X634" t="s">
        <v>1955</v>
      </c>
      <c r="AB634" t="s">
        <v>2188</v>
      </c>
      <c r="AC634" t="s">
        <v>113</v>
      </c>
      <c r="AD634" t="s">
        <v>114</v>
      </c>
    </row>
    <row r="635" spans="1:31" x14ac:dyDescent="0.2">
      <c r="A635">
        <v>44937100</v>
      </c>
      <c r="B635" t="s">
        <v>115</v>
      </c>
      <c r="C635" t="s">
        <v>116</v>
      </c>
      <c r="D635" t="s">
        <v>32</v>
      </c>
      <c r="E635" s="9">
        <v>45827</v>
      </c>
      <c r="G635" t="s">
        <v>45</v>
      </c>
      <c r="H635" t="s">
        <v>46</v>
      </c>
      <c r="J635" t="s">
        <v>117</v>
      </c>
      <c r="K635" t="s">
        <v>48</v>
      </c>
      <c r="L635" t="s">
        <v>49</v>
      </c>
      <c r="M635" t="s">
        <v>50</v>
      </c>
      <c r="O635" t="s">
        <v>39</v>
      </c>
      <c r="P635" t="s">
        <v>39</v>
      </c>
      <c r="Q635" t="s">
        <v>39</v>
      </c>
      <c r="R635" t="s">
        <v>39</v>
      </c>
      <c r="S635" t="s">
        <v>40</v>
      </c>
      <c r="T635" t="s">
        <v>41</v>
      </c>
      <c r="U635" t="s">
        <v>39</v>
      </c>
      <c r="V635" t="s">
        <v>39</v>
      </c>
      <c r="W635" t="s">
        <v>39</v>
      </c>
      <c r="X635" t="s">
        <v>1414</v>
      </c>
      <c r="AB635" t="s">
        <v>2189</v>
      </c>
      <c r="AC635" t="s">
        <v>118</v>
      </c>
      <c r="AD635" t="s">
        <v>119</v>
      </c>
      <c r="AE635" t="s">
        <v>2190</v>
      </c>
    </row>
    <row r="636" spans="1:31" x14ac:dyDescent="0.2">
      <c r="A636">
        <v>44937511</v>
      </c>
      <c r="B636" t="s">
        <v>5564</v>
      </c>
      <c r="C636" t="s">
        <v>5565</v>
      </c>
      <c r="D636" t="s">
        <v>3505</v>
      </c>
      <c r="E636" s="9">
        <v>45827</v>
      </c>
      <c r="F636" s="9">
        <v>45846</v>
      </c>
      <c r="G636" t="s">
        <v>45</v>
      </c>
      <c r="H636" t="s">
        <v>96</v>
      </c>
      <c r="I636" t="s">
        <v>253</v>
      </c>
      <c r="J636" t="s">
        <v>47</v>
      </c>
      <c r="K636" t="s">
        <v>48</v>
      </c>
      <c r="L636" t="s">
        <v>230</v>
      </c>
      <c r="M636" t="s">
        <v>50</v>
      </c>
      <c r="O636" t="s">
        <v>39</v>
      </c>
      <c r="P636" t="s">
        <v>39</v>
      </c>
      <c r="Q636" t="s">
        <v>39</v>
      </c>
      <c r="R636" t="s">
        <v>41</v>
      </c>
      <c r="S636" t="s">
        <v>40</v>
      </c>
      <c r="T636" t="s">
        <v>41</v>
      </c>
      <c r="U636" t="s">
        <v>39</v>
      </c>
      <c r="V636" t="s">
        <v>39</v>
      </c>
      <c r="W636" t="s">
        <v>40</v>
      </c>
      <c r="AB636" t="s">
        <v>5566</v>
      </c>
      <c r="AC636" t="s">
        <v>5567</v>
      </c>
      <c r="AD636" t="s">
        <v>5568</v>
      </c>
    </row>
    <row r="637" spans="1:31" x14ac:dyDescent="0.2">
      <c r="A637">
        <v>44937615</v>
      </c>
      <c r="B637" t="s">
        <v>5569</v>
      </c>
      <c r="C637" t="s">
        <v>5570</v>
      </c>
      <c r="D637" t="s">
        <v>3505</v>
      </c>
      <c r="E637" s="9">
        <v>45827</v>
      </c>
      <c r="F637" s="9">
        <v>45846</v>
      </c>
      <c r="G637" t="s">
        <v>45</v>
      </c>
      <c r="H637" t="s">
        <v>96</v>
      </c>
      <c r="I637" t="s">
        <v>46</v>
      </c>
      <c r="J637" t="s">
        <v>123</v>
      </c>
      <c r="K637" t="s">
        <v>48</v>
      </c>
      <c r="L637" t="s">
        <v>37</v>
      </c>
      <c r="M637" t="s">
        <v>50</v>
      </c>
      <c r="O637" t="s">
        <v>39</v>
      </c>
      <c r="P637" t="s">
        <v>39</v>
      </c>
      <c r="Q637" t="s">
        <v>39</v>
      </c>
      <c r="R637" t="s">
        <v>41</v>
      </c>
      <c r="S637" t="s">
        <v>40</v>
      </c>
      <c r="T637" t="s">
        <v>41</v>
      </c>
      <c r="U637" t="s">
        <v>39</v>
      </c>
      <c r="V637" t="s">
        <v>39</v>
      </c>
      <c r="W637" t="s">
        <v>40</v>
      </c>
      <c r="AB637" t="s">
        <v>5571</v>
      </c>
      <c r="AC637" t="s">
        <v>5572</v>
      </c>
      <c r="AD637" t="s">
        <v>5573</v>
      </c>
    </row>
    <row r="638" spans="1:31" x14ac:dyDescent="0.2">
      <c r="A638">
        <v>44937173</v>
      </c>
      <c r="B638" t="s">
        <v>5574</v>
      </c>
      <c r="C638" t="s">
        <v>5575</v>
      </c>
      <c r="D638" t="s">
        <v>3505</v>
      </c>
      <c r="E638" s="9">
        <v>45827</v>
      </c>
      <c r="F638" s="9">
        <v>45846</v>
      </c>
      <c r="G638" t="s">
        <v>45</v>
      </c>
      <c r="H638" t="s">
        <v>4959</v>
      </c>
      <c r="I638" t="s">
        <v>46</v>
      </c>
      <c r="J638" t="s">
        <v>47</v>
      </c>
      <c r="K638" t="s">
        <v>36</v>
      </c>
      <c r="L638" t="s">
        <v>49</v>
      </c>
      <c r="M638" t="s">
        <v>50</v>
      </c>
      <c r="O638" t="s">
        <v>39</v>
      </c>
      <c r="P638" t="s">
        <v>39</v>
      </c>
      <c r="Q638" t="s">
        <v>39</v>
      </c>
      <c r="R638" t="s">
        <v>41</v>
      </c>
      <c r="S638" t="s">
        <v>40</v>
      </c>
      <c r="T638" t="s">
        <v>41</v>
      </c>
      <c r="U638" t="s">
        <v>39</v>
      </c>
      <c r="V638" t="s">
        <v>39</v>
      </c>
      <c r="W638" t="s">
        <v>40</v>
      </c>
      <c r="AB638" t="s">
        <v>5576</v>
      </c>
      <c r="AC638" t="s">
        <v>5577</v>
      </c>
      <c r="AD638" t="s">
        <v>5578</v>
      </c>
      <c r="AE638" t="s">
        <v>5579</v>
      </c>
    </row>
    <row r="639" spans="1:31" x14ac:dyDescent="0.2">
      <c r="A639">
        <v>44939485</v>
      </c>
      <c r="B639" t="s">
        <v>5580</v>
      </c>
      <c r="C639" t="s">
        <v>5581</v>
      </c>
      <c r="D639" t="s">
        <v>3505</v>
      </c>
      <c r="E639" s="9">
        <v>45827</v>
      </c>
      <c r="F639" s="9">
        <v>45890</v>
      </c>
      <c r="G639" t="s">
        <v>45</v>
      </c>
      <c r="H639" t="s">
        <v>252</v>
      </c>
      <c r="I639" t="s">
        <v>253</v>
      </c>
      <c r="J639" t="s">
        <v>254</v>
      </c>
      <c r="K639" t="s">
        <v>36</v>
      </c>
      <c r="L639" t="s">
        <v>49</v>
      </c>
      <c r="M639" t="s">
        <v>50</v>
      </c>
      <c r="O639" t="s">
        <v>39</v>
      </c>
      <c r="P639" t="s">
        <v>41</v>
      </c>
      <c r="Q639" t="s">
        <v>39</v>
      </c>
      <c r="R639" t="s">
        <v>41</v>
      </c>
      <c r="S639" t="s">
        <v>40</v>
      </c>
      <c r="T639" t="s">
        <v>41</v>
      </c>
      <c r="U639" t="s">
        <v>39</v>
      </c>
      <c r="V639" t="s">
        <v>39</v>
      </c>
      <c r="W639" t="s">
        <v>39</v>
      </c>
      <c r="AB639" t="s">
        <v>5582</v>
      </c>
      <c r="AC639" t="s">
        <v>5583</v>
      </c>
      <c r="AD639" t="s">
        <v>5584</v>
      </c>
      <c r="AE639" t="s">
        <v>5585</v>
      </c>
    </row>
    <row r="640" spans="1:31" x14ac:dyDescent="0.2">
      <c r="A640">
        <v>44936854</v>
      </c>
      <c r="B640" t="s">
        <v>120</v>
      </c>
      <c r="C640" t="s">
        <v>121</v>
      </c>
      <c r="D640" t="s">
        <v>32</v>
      </c>
      <c r="E640" s="9">
        <v>45827</v>
      </c>
      <c r="G640" t="s">
        <v>45</v>
      </c>
      <c r="H640" t="s">
        <v>122</v>
      </c>
      <c r="I640" t="s">
        <v>46</v>
      </c>
      <c r="J640" t="s">
        <v>123</v>
      </c>
      <c r="K640" t="s">
        <v>48</v>
      </c>
      <c r="L640" t="s">
        <v>49</v>
      </c>
      <c r="M640" t="s">
        <v>50</v>
      </c>
      <c r="O640" t="s">
        <v>39</v>
      </c>
      <c r="P640" t="s">
        <v>39</v>
      </c>
      <c r="Q640" t="s">
        <v>39</v>
      </c>
      <c r="R640" t="s">
        <v>41</v>
      </c>
      <c r="S640" t="s">
        <v>40</v>
      </c>
      <c r="T640" t="s">
        <v>41</v>
      </c>
      <c r="U640" t="s">
        <v>39</v>
      </c>
      <c r="V640" t="s">
        <v>39</v>
      </c>
      <c r="W640" t="s">
        <v>40</v>
      </c>
      <c r="X640" t="s">
        <v>1415</v>
      </c>
      <c r="AB640" t="s">
        <v>124</v>
      </c>
      <c r="AC640" t="s">
        <v>125</v>
      </c>
      <c r="AD640" t="s">
        <v>126</v>
      </c>
    </row>
    <row r="641" spans="1:31" x14ac:dyDescent="0.2">
      <c r="A641">
        <v>44936536</v>
      </c>
      <c r="B641" t="s">
        <v>5586</v>
      </c>
      <c r="C641" t="s">
        <v>5587</v>
      </c>
      <c r="D641" t="s">
        <v>3505</v>
      </c>
      <c r="E641" s="9">
        <v>45827</v>
      </c>
      <c r="F641" s="9">
        <v>45846</v>
      </c>
      <c r="G641" t="s">
        <v>45</v>
      </c>
      <c r="H641" t="s">
        <v>46</v>
      </c>
      <c r="J641" t="s">
        <v>69</v>
      </c>
      <c r="K641" t="s">
        <v>36</v>
      </c>
      <c r="L641" t="s">
        <v>386</v>
      </c>
      <c r="M641" t="s">
        <v>50</v>
      </c>
      <c r="O641" t="s">
        <v>39</v>
      </c>
      <c r="P641" t="s">
        <v>39</v>
      </c>
      <c r="Q641" t="s">
        <v>39</v>
      </c>
      <c r="R641" t="s">
        <v>41</v>
      </c>
      <c r="S641" t="s">
        <v>40</v>
      </c>
      <c r="T641" t="s">
        <v>41</v>
      </c>
      <c r="U641" t="s">
        <v>39</v>
      </c>
      <c r="V641" t="s">
        <v>39</v>
      </c>
      <c r="W641" t="s">
        <v>39</v>
      </c>
      <c r="X641" t="s">
        <v>5588</v>
      </c>
      <c r="AB641" t="s">
        <v>5589</v>
      </c>
      <c r="AC641" t="s">
        <v>5590</v>
      </c>
      <c r="AD641" t="s">
        <v>5591</v>
      </c>
      <c r="AE641" t="s">
        <v>5592</v>
      </c>
    </row>
    <row r="642" spans="1:31" x14ac:dyDescent="0.2">
      <c r="A642">
        <v>44941356</v>
      </c>
      <c r="B642" t="s">
        <v>5593</v>
      </c>
      <c r="C642" t="s">
        <v>5594</v>
      </c>
      <c r="D642" t="s">
        <v>3505</v>
      </c>
      <c r="E642" s="9">
        <v>45827</v>
      </c>
      <c r="F642" s="9">
        <v>45886</v>
      </c>
      <c r="G642" t="s">
        <v>45</v>
      </c>
      <c r="H642" t="s">
        <v>46</v>
      </c>
      <c r="I642" t="s">
        <v>53</v>
      </c>
      <c r="J642" t="s">
        <v>65</v>
      </c>
      <c r="K642" t="s">
        <v>36</v>
      </c>
      <c r="L642" t="s">
        <v>37</v>
      </c>
      <c r="M642" t="s">
        <v>50</v>
      </c>
      <c r="O642" t="s">
        <v>39</v>
      </c>
      <c r="P642" t="s">
        <v>39</v>
      </c>
      <c r="Q642" t="s">
        <v>39</v>
      </c>
      <c r="R642" t="s">
        <v>41</v>
      </c>
      <c r="S642" t="s">
        <v>40</v>
      </c>
      <c r="T642" t="s">
        <v>41</v>
      </c>
      <c r="U642" t="s">
        <v>39</v>
      </c>
      <c r="V642" t="s">
        <v>39</v>
      </c>
      <c r="W642" t="s">
        <v>39</v>
      </c>
      <c r="AB642" t="s">
        <v>5595</v>
      </c>
      <c r="AC642" t="s">
        <v>5596</v>
      </c>
      <c r="AD642" t="s">
        <v>5597</v>
      </c>
      <c r="AE642" t="s">
        <v>5598</v>
      </c>
    </row>
    <row r="643" spans="1:31" x14ac:dyDescent="0.2">
      <c r="A643">
        <v>44937967</v>
      </c>
      <c r="B643" t="s">
        <v>5599</v>
      </c>
      <c r="C643" t="s">
        <v>5600</v>
      </c>
      <c r="D643" t="s">
        <v>3505</v>
      </c>
      <c r="E643" s="9">
        <v>45827</v>
      </c>
      <c r="F643" s="9">
        <v>45913</v>
      </c>
      <c r="G643" t="s">
        <v>45</v>
      </c>
      <c r="H643" t="s">
        <v>46</v>
      </c>
      <c r="I643" t="s">
        <v>53</v>
      </c>
      <c r="J643" t="s">
        <v>47</v>
      </c>
      <c r="K643" t="s">
        <v>36</v>
      </c>
      <c r="L643" t="s">
        <v>49</v>
      </c>
      <c r="M643" t="s">
        <v>50</v>
      </c>
      <c r="O643" t="s">
        <v>39</v>
      </c>
      <c r="P643" t="s">
        <v>41</v>
      </c>
      <c r="Q643" t="s">
        <v>39</v>
      </c>
      <c r="R643" t="s">
        <v>41</v>
      </c>
      <c r="S643" t="s">
        <v>40</v>
      </c>
      <c r="T643" t="s">
        <v>41</v>
      </c>
      <c r="U643" t="s">
        <v>39</v>
      </c>
      <c r="V643" t="s">
        <v>39</v>
      </c>
      <c r="W643" t="s">
        <v>40</v>
      </c>
      <c r="AB643" t="s">
        <v>5601</v>
      </c>
      <c r="AC643" t="s">
        <v>5602</v>
      </c>
      <c r="AD643" t="s">
        <v>5603</v>
      </c>
    </row>
    <row r="644" spans="1:31" x14ac:dyDescent="0.2">
      <c r="A644">
        <v>44937121</v>
      </c>
      <c r="B644" t="s">
        <v>5604</v>
      </c>
      <c r="C644" t="s">
        <v>5605</v>
      </c>
      <c r="D644" t="s">
        <v>3505</v>
      </c>
      <c r="E644" s="9">
        <v>45827</v>
      </c>
      <c r="F644" s="9">
        <v>45860</v>
      </c>
      <c r="G644" t="s">
        <v>45</v>
      </c>
      <c r="H644" t="s">
        <v>46</v>
      </c>
      <c r="J644" t="s">
        <v>60</v>
      </c>
      <c r="K644" t="s">
        <v>36</v>
      </c>
      <c r="L644" t="s">
        <v>37</v>
      </c>
      <c r="M644" t="s">
        <v>289</v>
      </c>
      <c r="O644" t="s">
        <v>39</v>
      </c>
      <c r="P644" t="s">
        <v>39</v>
      </c>
      <c r="Q644" t="s">
        <v>39</v>
      </c>
      <c r="R644" t="s">
        <v>41</v>
      </c>
      <c r="S644" t="s">
        <v>40</v>
      </c>
      <c r="T644" t="s">
        <v>41</v>
      </c>
      <c r="U644" t="s">
        <v>39</v>
      </c>
      <c r="V644" t="s">
        <v>39</v>
      </c>
      <c r="W644" t="s">
        <v>39</v>
      </c>
      <c r="X644" t="s">
        <v>5606</v>
      </c>
      <c r="AB644" t="s">
        <v>5607</v>
      </c>
      <c r="AC644" t="s">
        <v>5608</v>
      </c>
      <c r="AD644" t="s">
        <v>5609</v>
      </c>
      <c r="AE644" t="s">
        <v>5610</v>
      </c>
    </row>
    <row r="645" spans="1:31" x14ac:dyDescent="0.2">
      <c r="A645">
        <v>44939480</v>
      </c>
      <c r="B645" t="s">
        <v>5611</v>
      </c>
      <c r="C645" t="s">
        <v>5612</v>
      </c>
      <c r="D645" t="s">
        <v>3505</v>
      </c>
      <c r="E645" s="9">
        <v>45827</v>
      </c>
      <c r="F645" s="9">
        <v>45923</v>
      </c>
      <c r="G645" t="s">
        <v>45</v>
      </c>
      <c r="H645" t="s">
        <v>68</v>
      </c>
      <c r="I645" t="s">
        <v>59</v>
      </c>
      <c r="J645" t="s">
        <v>1440</v>
      </c>
      <c r="K645" t="s">
        <v>48</v>
      </c>
      <c r="L645" t="s">
        <v>49</v>
      </c>
      <c r="M645" t="s">
        <v>50</v>
      </c>
      <c r="O645" t="s">
        <v>39</v>
      </c>
      <c r="P645" t="s">
        <v>39</v>
      </c>
      <c r="Q645" t="s">
        <v>39</v>
      </c>
      <c r="R645" t="s">
        <v>41</v>
      </c>
      <c r="S645" t="s">
        <v>40</v>
      </c>
      <c r="T645" t="s">
        <v>41</v>
      </c>
      <c r="U645" t="s">
        <v>39</v>
      </c>
      <c r="V645" t="s">
        <v>39</v>
      </c>
      <c r="W645" t="s">
        <v>40</v>
      </c>
      <c r="AB645" t="s">
        <v>5613</v>
      </c>
      <c r="AC645" t="s">
        <v>5614</v>
      </c>
      <c r="AD645" t="s">
        <v>5615</v>
      </c>
      <c r="AE645" t="s">
        <v>5616</v>
      </c>
    </row>
    <row r="646" spans="1:31" x14ac:dyDescent="0.2">
      <c r="A646">
        <v>44940352</v>
      </c>
      <c r="B646" t="s">
        <v>127</v>
      </c>
      <c r="C646" t="s">
        <v>128</v>
      </c>
      <c r="D646" t="s">
        <v>32</v>
      </c>
      <c r="E646" s="9">
        <v>45827</v>
      </c>
      <c r="G646" t="s">
        <v>45</v>
      </c>
      <c r="H646" t="s">
        <v>46</v>
      </c>
      <c r="J646" t="s">
        <v>54</v>
      </c>
      <c r="K646" t="s">
        <v>36</v>
      </c>
      <c r="L646" t="s">
        <v>49</v>
      </c>
      <c r="M646" t="s">
        <v>50</v>
      </c>
      <c r="O646" t="s">
        <v>39</v>
      </c>
      <c r="P646" t="s">
        <v>39</v>
      </c>
      <c r="Q646" t="s">
        <v>39</v>
      </c>
      <c r="R646" t="s">
        <v>41</v>
      </c>
      <c r="S646" t="s">
        <v>40</v>
      </c>
      <c r="T646" t="s">
        <v>41</v>
      </c>
      <c r="U646" t="s">
        <v>39</v>
      </c>
      <c r="V646" t="s">
        <v>39</v>
      </c>
      <c r="W646" t="s">
        <v>39</v>
      </c>
      <c r="X646" t="s">
        <v>3077</v>
      </c>
      <c r="AB646" t="s">
        <v>3078</v>
      </c>
      <c r="AC646" t="s">
        <v>3079</v>
      </c>
      <c r="AD646" t="s">
        <v>3080</v>
      </c>
      <c r="AE646" t="s">
        <v>3081</v>
      </c>
    </row>
    <row r="647" spans="1:31" x14ac:dyDescent="0.2">
      <c r="A647">
        <v>44938825</v>
      </c>
      <c r="B647" t="s">
        <v>129</v>
      </c>
      <c r="C647" t="s">
        <v>130</v>
      </c>
      <c r="D647" t="s">
        <v>3505</v>
      </c>
      <c r="E647" s="9">
        <v>45827</v>
      </c>
      <c r="F647" s="9">
        <v>45963</v>
      </c>
      <c r="G647" t="s">
        <v>45</v>
      </c>
      <c r="H647" t="s">
        <v>46</v>
      </c>
      <c r="J647" t="s">
        <v>82</v>
      </c>
      <c r="K647" t="s">
        <v>36</v>
      </c>
      <c r="L647" t="s">
        <v>49</v>
      </c>
      <c r="M647" t="s">
        <v>50</v>
      </c>
      <c r="O647" t="s">
        <v>39</v>
      </c>
      <c r="P647" t="s">
        <v>39</v>
      </c>
      <c r="Q647" t="s">
        <v>39</v>
      </c>
      <c r="R647" t="s">
        <v>41</v>
      </c>
      <c r="S647" t="s">
        <v>40</v>
      </c>
      <c r="T647" t="s">
        <v>41</v>
      </c>
      <c r="U647" t="s">
        <v>39</v>
      </c>
      <c r="V647" t="s">
        <v>39</v>
      </c>
      <c r="W647" t="s">
        <v>40</v>
      </c>
      <c r="X647" t="s">
        <v>5617</v>
      </c>
      <c r="AB647" t="s">
        <v>5618</v>
      </c>
      <c r="AC647" t="s">
        <v>5619</v>
      </c>
      <c r="AD647" t="s">
        <v>5620</v>
      </c>
      <c r="AE647" t="s">
        <v>5621</v>
      </c>
    </row>
    <row r="648" spans="1:31" x14ac:dyDescent="0.2">
      <c r="A648">
        <v>44938981</v>
      </c>
      <c r="B648" t="s">
        <v>131</v>
      </c>
      <c r="C648" t="s">
        <v>1222</v>
      </c>
      <c r="D648" t="s">
        <v>32</v>
      </c>
      <c r="E648" s="9">
        <v>45827</v>
      </c>
      <c r="G648" t="s">
        <v>45</v>
      </c>
      <c r="H648" t="s">
        <v>80</v>
      </c>
      <c r="I648" t="s">
        <v>132</v>
      </c>
      <c r="J648" t="s">
        <v>133</v>
      </c>
      <c r="K648" t="s">
        <v>48</v>
      </c>
      <c r="L648" t="s">
        <v>49</v>
      </c>
      <c r="M648" t="s">
        <v>50</v>
      </c>
      <c r="O648" t="s">
        <v>39</v>
      </c>
      <c r="P648" t="s">
        <v>39</v>
      </c>
      <c r="Q648" t="s">
        <v>39</v>
      </c>
      <c r="R648" t="s">
        <v>41</v>
      </c>
      <c r="S648" t="s">
        <v>40</v>
      </c>
      <c r="T648" t="s">
        <v>41</v>
      </c>
      <c r="U648" t="s">
        <v>39</v>
      </c>
      <c r="V648" t="s">
        <v>39</v>
      </c>
      <c r="W648" t="s">
        <v>40</v>
      </c>
      <c r="X648" t="s">
        <v>1416</v>
      </c>
      <c r="AB648" t="s">
        <v>134</v>
      </c>
      <c r="AC648" t="s">
        <v>135</v>
      </c>
      <c r="AD648" t="s">
        <v>136</v>
      </c>
      <c r="AE648" t="s">
        <v>137</v>
      </c>
    </row>
    <row r="649" spans="1:31" x14ac:dyDescent="0.2">
      <c r="A649">
        <v>44938871</v>
      </c>
      <c r="B649" t="s">
        <v>5622</v>
      </c>
      <c r="C649" t="s">
        <v>5623</v>
      </c>
      <c r="D649" t="s">
        <v>3505</v>
      </c>
      <c r="E649" s="9">
        <v>45827</v>
      </c>
      <c r="F649" s="9">
        <v>45941</v>
      </c>
      <c r="G649" t="s">
        <v>45</v>
      </c>
      <c r="H649" t="s">
        <v>90</v>
      </c>
      <c r="J649" t="s">
        <v>138</v>
      </c>
      <c r="K649" t="s">
        <v>48</v>
      </c>
      <c r="L649" t="s">
        <v>49</v>
      </c>
      <c r="M649" t="s">
        <v>50</v>
      </c>
      <c r="O649" t="s">
        <v>39</v>
      </c>
      <c r="P649" t="s">
        <v>41</v>
      </c>
      <c r="Q649" t="s">
        <v>39</v>
      </c>
      <c r="R649" t="s">
        <v>41</v>
      </c>
      <c r="S649" t="s">
        <v>40</v>
      </c>
      <c r="T649" t="s">
        <v>41</v>
      </c>
      <c r="U649" t="s">
        <v>39</v>
      </c>
      <c r="V649" t="s">
        <v>39</v>
      </c>
      <c r="W649" t="s">
        <v>40</v>
      </c>
      <c r="AB649" t="s">
        <v>5624</v>
      </c>
      <c r="AC649" t="s">
        <v>5625</v>
      </c>
      <c r="AD649" t="s">
        <v>5626</v>
      </c>
    </row>
    <row r="650" spans="1:31" x14ac:dyDescent="0.2">
      <c r="A650">
        <v>44942241</v>
      </c>
      <c r="B650" t="s">
        <v>5627</v>
      </c>
      <c r="C650" t="s">
        <v>5628</v>
      </c>
      <c r="D650" t="s">
        <v>3505</v>
      </c>
      <c r="E650" s="9">
        <v>45827</v>
      </c>
      <c r="F650" s="9">
        <v>45839</v>
      </c>
      <c r="G650" t="s">
        <v>45</v>
      </c>
      <c r="H650" t="s">
        <v>46</v>
      </c>
      <c r="I650" t="s">
        <v>90</v>
      </c>
      <c r="J650" t="s">
        <v>154</v>
      </c>
      <c r="K650" t="s">
        <v>36</v>
      </c>
      <c r="L650" t="s">
        <v>386</v>
      </c>
      <c r="M650" t="s">
        <v>50</v>
      </c>
      <c r="O650" t="s">
        <v>39</v>
      </c>
      <c r="P650" t="s">
        <v>39</v>
      </c>
      <c r="Q650" t="s">
        <v>39</v>
      </c>
      <c r="R650" t="s">
        <v>41</v>
      </c>
      <c r="S650" t="s">
        <v>40</v>
      </c>
      <c r="T650" t="s">
        <v>41</v>
      </c>
      <c r="U650" t="s">
        <v>39</v>
      </c>
      <c r="V650" t="s">
        <v>39</v>
      </c>
      <c r="W650" t="s">
        <v>40</v>
      </c>
      <c r="AB650" t="s">
        <v>5629</v>
      </c>
      <c r="AC650" t="s">
        <v>5630</v>
      </c>
      <c r="AD650" t="s">
        <v>5631</v>
      </c>
    </row>
    <row r="651" spans="1:31" x14ac:dyDescent="0.2">
      <c r="A651">
        <v>44942259</v>
      </c>
      <c r="B651" t="s">
        <v>5632</v>
      </c>
      <c r="C651" t="s">
        <v>5633</v>
      </c>
      <c r="D651" t="s">
        <v>3505</v>
      </c>
      <c r="E651" s="9">
        <v>45827</v>
      </c>
      <c r="F651" s="9">
        <v>45839</v>
      </c>
      <c r="G651" t="s">
        <v>45</v>
      </c>
      <c r="H651" t="s">
        <v>46</v>
      </c>
      <c r="I651" t="s">
        <v>90</v>
      </c>
      <c r="J651" t="s">
        <v>123</v>
      </c>
      <c r="K651" t="s">
        <v>36</v>
      </c>
      <c r="L651" t="s">
        <v>386</v>
      </c>
      <c r="M651" t="s">
        <v>50</v>
      </c>
      <c r="O651" t="s">
        <v>39</v>
      </c>
      <c r="P651" t="s">
        <v>39</v>
      </c>
      <c r="Q651" t="s">
        <v>39</v>
      </c>
      <c r="R651" t="s">
        <v>41</v>
      </c>
      <c r="S651" t="s">
        <v>40</v>
      </c>
      <c r="T651" t="s">
        <v>41</v>
      </c>
      <c r="U651" t="s">
        <v>39</v>
      </c>
      <c r="V651" t="s">
        <v>39</v>
      </c>
      <c r="W651" t="s">
        <v>40</v>
      </c>
      <c r="AB651" t="s">
        <v>5634</v>
      </c>
      <c r="AC651" t="s">
        <v>5635</v>
      </c>
      <c r="AD651" t="s">
        <v>5636</v>
      </c>
    </row>
    <row r="652" spans="1:31" x14ac:dyDescent="0.2">
      <c r="A652">
        <v>44941336</v>
      </c>
      <c r="B652" t="s">
        <v>139</v>
      </c>
      <c r="C652" t="s">
        <v>140</v>
      </c>
      <c r="D652" t="s">
        <v>32</v>
      </c>
      <c r="E652" s="9">
        <v>45827</v>
      </c>
      <c r="G652" t="s">
        <v>45</v>
      </c>
      <c r="H652" t="s">
        <v>46</v>
      </c>
      <c r="I652" t="s">
        <v>90</v>
      </c>
      <c r="J652" t="s">
        <v>117</v>
      </c>
      <c r="K652" t="s">
        <v>36</v>
      </c>
      <c r="L652" t="s">
        <v>37</v>
      </c>
      <c r="M652" t="s">
        <v>50</v>
      </c>
      <c r="O652" t="s">
        <v>39</v>
      </c>
      <c r="P652" t="s">
        <v>39</v>
      </c>
      <c r="Q652" t="s">
        <v>39</v>
      </c>
      <c r="R652" t="s">
        <v>41</v>
      </c>
      <c r="S652" t="s">
        <v>40</v>
      </c>
      <c r="T652" t="s">
        <v>41</v>
      </c>
      <c r="U652" t="s">
        <v>39</v>
      </c>
      <c r="V652" t="s">
        <v>39</v>
      </c>
      <c r="W652" t="s">
        <v>39</v>
      </c>
      <c r="X652" t="s">
        <v>1417</v>
      </c>
      <c r="AB652" t="s">
        <v>141</v>
      </c>
      <c r="AC652" t="s">
        <v>142</v>
      </c>
      <c r="AD652" t="s">
        <v>143</v>
      </c>
    </row>
    <row r="653" spans="1:31" x14ac:dyDescent="0.2">
      <c r="A653">
        <v>44941030</v>
      </c>
      <c r="B653" t="s">
        <v>144</v>
      </c>
      <c r="C653" t="s">
        <v>145</v>
      </c>
      <c r="D653" t="s">
        <v>32</v>
      </c>
      <c r="E653" s="9">
        <v>45827</v>
      </c>
      <c r="G653" t="s">
        <v>45</v>
      </c>
      <c r="H653" t="s">
        <v>90</v>
      </c>
      <c r="I653" t="s">
        <v>46</v>
      </c>
      <c r="J653" t="s">
        <v>146</v>
      </c>
      <c r="K653" t="s">
        <v>48</v>
      </c>
      <c r="L653" t="s">
        <v>49</v>
      </c>
      <c r="M653" t="s">
        <v>50</v>
      </c>
      <c r="O653" t="s">
        <v>39</v>
      </c>
      <c r="P653" t="s">
        <v>39</v>
      </c>
      <c r="Q653" t="s">
        <v>39</v>
      </c>
      <c r="R653" t="s">
        <v>41</v>
      </c>
      <c r="S653" t="s">
        <v>40</v>
      </c>
      <c r="T653" t="s">
        <v>41</v>
      </c>
      <c r="U653" t="s">
        <v>39</v>
      </c>
      <c r="V653" t="s">
        <v>39</v>
      </c>
      <c r="W653" t="s">
        <v>40</v>
      </c>
      <c r="X653" t="s">
        <v>1418</v>
      </c>
      <c r="AB653" t="s">
        <v>147</v>
      </c>
      <c r="AC653" t="s">
        <v>148</v>
      </c>
      <c r="AD653" t="s">
        <v>149</v>
      </c>
      <c r="AE653" t="s">
        <v>150</v>
      </c>
    </row>
    <row r="654" spans="1:31" x14ac:dyDescent="0.2">
      <c r="A654">
        <v>44940855</v>
      </c>
      <c r="B654" t="s">
        <v>5637</v>
      </c>
      <c r="C654" t="s">
        <v>3598</v>
      </c>
      <c r="D654" t="s">
        <v>3505</v>
      </c>
      <c r="E654" s="9">
        <v>45827</v>
      </c>
      <c r="F654" s="9">
        <v>45846</v>
      </c>
      <c r="G654" t="s">
        <v>45</v>
      </c>
      <c r="H654" t="s">
        <v>46</v>
      </c>
      <c r="I654" t="s">
        <v>90</v>
      </c>
      <c r="J654" t="s">
        <v>138</v>
      </c>
      <c r="K654" t="s">
        <v>36</v>
      </c>
      <c r="L654" t="s">
        <v>386</v>
      </c>
      <c r="M654" t="s">
        <v>50</v>
      </c>
      <c r="O654" t="s">
        <v>39</v>
      </c>
      <c r="P654" t="s">
        <v>39</v>
      </c>
      <c r="Q654" t="s">
        <v>39</v>
      </c>
      <c r="R654" t="s">
        <v>41</v>
      </c>
      <c r="S654" t="s">
        <v>40</v>
      </c>
      <c r="T654" t="s">
        <v>41</v>
      </c>
      <c r="U654" t="s">
        <v>39</v>
      </c>
      <c r="V654" t="s">
        <v>39</v>
      </c>
      <c r="W654" t="s">
        <v>40</v>
      </c>
      <c r="X654" t="s">
        <v>5638</v>
      </c>
      <c r="AB654" t="s">
        <v>5639</v>
      </c>
      <c r="AC654" t="s">
        <v>5640</v>
      </c>
      <c r="AD654" t="s">
        <v>5641</v>
      </c>
    </row>
    <row r="655" spans="1:31" x14ac:dyDescent="0.2">
      <c r="A655">
        <v>44937530</v>
      </c>
      <c r="B655" t="s">
        <v>5642</v>
      </c>
      <c r="C655" t="s">
        <v>5643</v>
      </c>
      <c r="D655" t="s">
        <v>3505</v>
      </c>
      <c r="E655" s="9">
        <v>45827</v>
      </c>
      <c r="F655" s="9">
        <v>45846</v>
      </c>
      <c r="G655" t="s">
        <v>45</v>
      </c>
      <c r="H655" t="s">
        <v>4371</v>
      </c>
      <c r="I655" t="s">
        <v>1444</v>
      </c>
      <c r="J655" t="s">
        <v>65</v>
      </c>
      <c r="K655" t="s">
        <v>36</v>
      </c>
      <c r="L655" t="s">
        <v>37</v>
      </c>
      <c r="M655" t="s">
        <v>50</v>
      </c>
      <c r="O655" t="s">
        <v>39</v>
      </c>
      <c r="P655" t="s">
        <v>39</v>
      </c>
      <c r="Q655" t="s">
        <v>39</v>
      </c>
      <c r="R655" t="s">
        <v>41</v>
      </c>
      <c r="S655" t="s">
        <v>40</v>
      </c>
      <c r="T655" t="s">
        <v>41</v>
      </c>
      <c r="U655" t="s">
        <v>39</v>
      </c>
      <c r="V655" t="s">
        <v>39</v>
      </c>
      <c r="W655" t="s">
        <v>40</v>
      </c>
      <c r="AB655" t="s">
        <v>5644</v>
      </c>
      <c r="AC655" t="s">
        <v>5645</v>
      </c>
      <c r="AD655" t="s">
        <v>5646</v>
      </c>
      <c r="AE655" t="s">
        <v>5647</v>
      </c>
    </row>
    <row r="656" spans="1:31" x14ac:dyDescent="0.2">
      <c r="A656">
        <v>44940819</v>
      </c>
      <c r="B656" t="s">
        <v>5648</v>
      </c>
      <c r="C656" t="s">
        <v>5649</v>
      </c>
      <c r="D656" t="s">
        <v>3505</v>
      </c>
      <c r="E656" s="9">
        <v>45827</v>
      </c>
      <c r="F656" s="9">
        <v>45866</v>
      </c>
      <c r="G656" t="s">
        <v>45</v>
      </c>
      <c r="H656" t="s">
        <v>80</v>
      </c>
      <c r="I656" t="s">
        <v>97</v>
      </c>
      <c r="J656" t="s">
        <v>203</v>
      </c>
      <c r="K656" t="s">
        <v>36</v>
      </c>
      <c r="L656" t="s">
        <v>37</v>
      </c>
      <c r="M656" t="s">
        <v>50</v>
      </c>
      <c r="O656" t="s">
        <v>39</v>
      </c>
      <c r="P656" t="s">
        <v>39</v>
      </c>
      <c r="Q656" t="s">
        <v>39</v>
      </c>
      <c r="R656" t="s">
        <v>41</v>
      </c>
      <c r="S656" t="s">
        <v>40</v>
      </c>
      <c r="T656" t="s">
        <v>41</v>
      </c>
      <c r="U656" t="s">
        <v>39</v>
      </c>
      <c r="V656" t="s">
        <v>39</v>
      </c>
      <c r="W656" t="s">
        <v>40</v>
      </c>
      <c r="AB656" t="s">
        <v>5650</v>
      </c>
      <c r="AC656" t="s">
        <v>5651</v>
      </c>
      <c r="AD656" t="s">
        <v>5652</v>
      </c>
      <c r="AE656" t="s">
        <v>5653</v>
      </c>
    </row>
    <row r="657" spans="1:31" x14ac:dyDescent="0.2">
      <c r="A657">
        <v>44937940</v>
      </c>
      <c r="B657" t="s">
        <v>151</v>
      </c>
      <c r="C657" t="s">
        <v>152</v>
      </c>
      <c r="D657" t="s">
        <v>3505</v>
      </c>
      <c r="E657" s="9">
        <v>45827</v>
      </c>
      <c r="F657" s="9">
        <v>45963</v>
      </c>
      <c r="G657" t="s">
        <v>45</v>
      </c>
      <c r="H657" t="s">
        <v>153</v>
      </c>
      <c r="I657" t="s">
        <v>59</v>
      </c>
      <c r="J657" t="s">
        <v>154</v>
      </c>
      <c r="K657" t="s">
        <v>36</v>
      </c>
      <c r="L657" t="s">
        <v>49</v>
      </c>
      <c r="M657" t="s">
        <v>50</v>
      </c>
      <c r="O657" t="s">
        <v>39</v>
      </c>
      <c r="P657" t="s">
        <v>39</v>
      </c>
      <c r="Q657" t="s">
        <v>39</v>
      </c>
      <c r="R657" t="s">
        <v>41</v>
      </c>
      <c r="S657" t="s">
        <v>40</v>
      </c>
      <c r="T657" t="s">
        <v>41</v>
      </c>
      <c r="U657" t="s">
        <v>39</v>
      </c>
      <c r="V657" t="s">
        <v>39</v>
      </c>
      <c r="W657" t="s">
        <v>40</v>
      </c>
      <c r="AB657" t="s">
        <v>5654</v>
      </c>
      <c r="AC657" t="s">
        <v>5655</v>
      </c>
      <c r="AD657" t="s">
        <v>5656</v>
      </c>
      <c r="AE657" t="s">
        <v>5657</v>
      </c>
    </row>
    <row r="658" spans="1:31" x14ac:dyDescent="0.2">
      <c r="A658">
        <v>44936843</v>
      </c>
      <c r="B658" t="s">
        <v>5658</v>
      </c>
      <c r="C658" t="s">
        <v>5659</v>
      </c>
      <c r="D658" t="s">
        <v>3505</v>
      </c>
      <c r="E658" s="9">
        <v>45827</v>
      </c>
      <c r="F658" s="9">
        <v>45839</v>
      </c>
      <c r="G658" t="s">
        <v>45</v>
      </c>
      <c r="H658" t="s">
        <v>46</v>
      </c>
      <c r="J658" t="s">
        <v>154</v>
      </c>
      <c r="K658" t="s">
        <v>36</v>
      </c>
      <c r="L658" t="s">
        <v>37</v>
      </c>
      <c r="M658" t="s">
        <v>50</v>
      </c>
      <c r="O658" t="s">
        <v>39</v>
      </c>
      <c r="P658" t="s">
        <v>39</v>
      </c>
      <c r="Q658" t="s">
        <v>39</v>
      </c>
      <c r="R658" t="s">
        <v>41</v>
      </c>
      <c r="S658" t="s">
        <v>40</v>
      </c>
      <c r="T658" t="s">
        <v>41</v>
      </c>
      <c r="U658" t="s">
        <v>39</v>
      </c>
      <c r="V658" t="s">
        <v>39</v>
      </c>
      <c r="W658" t="s">
        <v>40</v>
      </c>
      <c r="AB658" t="s">
        <v>5660</v>
      </c>
      <c r="AC658" t="s">
        <v>5661</v>
      </c>
      <c r="AD658" t="s">
        <v>5662</v>
      </c>
      <c r="AE658" t="s">
        <v>5663</v>
      </c>
    </row>
    <row r="659" spans="1:31" x14ac:dyDescent="0.2">
      <c r="A659">
        <v>44936871</v>
      </c>
      <c r="B659" t="s">
        <v>5664</v>
      </c>
      <c r="C659" t="s">
        <v>5665</v>
      </c>
      <c r="D659" t="s">
        <v>3505</v>
      </c>
      <c r="E659" s="9">
        <v>45827</v>
      </c>
      <c r="F659" s="9">
        <v>45937</v>
      </c>
      <c r="G659" t="s">
        <v>45</v>
      </c>
      <c r="H659" t="s">
        <v>96</v>
      </c>
      <c r="I659" t="s">
        <v>90</v>
      </c>
      <c r="J659" t="s">
        <v>73</v>
      </c>
      <c r="K659" t="s">
        <v>48</v>
      </c>
      <c r="L659" t="s">
        <v>49</v>
      </c>
      <c r="M659" t="s">
        <v>50</v>
      </c>
      <c r="O659" t="s">
        <v>39</v>
      </c>
      <c r="P659" t="s">
        <v>39</v>
      </c>
      <c r="Q659" t="s">
        <v>39</v>
      </c>
      <c r="R659" t="s">
        <v>41</v>
      </c>
      <c r="S659" t="s">
        <v>40</v>
      </c>
      <c r="T659" t="s">
        <v>41</v>
      </c>
      <c r="U659" t="s">
        <v>39</v>
      </c>
      <c r="V659" t="s">
        <v>39</v>
      </c>
      <c r="W659" t="s">
        <v>40</v>
      </c>
      <c r="AB659" t="s">
        <v>5666</v>
      </c>
      <c r="AC659" t="s">
        <v>5667</v>
      </c>
      <c r="AD659" t="s">
        <v>5668</v>
      </c>
      <c r="AE659" t="s">
        <v>5669</v>
      </c>
    </row>
    <row r="660" spans="1:31" x14ac:dyDescent="0.2">
      <c r="A660">
        <v>44942281</v>
      </c>
      <c r="B660" t="s">
        <v>5670</v>
      </c>
      <c r="C660" t="s">
        <v>5671</v>
      </c>
      <c r="D660" t="s">
        <v>3505</v>
      </c>
      <c r="E660" s="9">
        <v>45827</v>
      </c>
      <c r="F660" s="9">
        <v>45839</v>
      </c>
      <c r="G660" t="s">
        <v>45</v>
      </c>
      <c r="H660" t="s">
        <v>96</v>
      </c>
      <c r="I660" t="s">
        <v>132</v>
      </c>
      <c r="J660" t="s">
        <v>47</v>
      </c>
      <c r="K660" t="s">
        <v>36</v>
      </c>
      <c r="L660" t="s">
        <v>386</v>
      </c>
      <c r="M660" t="s">
        <v>289</v>
      </c>
      <c r="O660" t="s">
        <v>39</v>
      </c>
      <c r="P660" t="s">
        <v>39</v>
      </c>
      <c r="Q660" t="s">
        <v>39</v>
      </c>
      <c r="R660" t="s">
        <v>41</v>
      </c>
      <c r="S660" t="s">
        <v>40</v>
      </c>
      <c r="T660" t="s">
        <v>41</v>
      </c>
      <c r="U660" t="s">
        <v>39</v>
      </c>
      <c r="V660" t="s">
        <v>39</v>
      </c>
      <c r="W660" t="s">
        <v>40</v>
      </c>
      <c r="AB660" t="s">
        <v>5672</v>
      </c>
      <c r="AC660" t="s">
        <v>5673</v>
      </c>
      <c r="AD660" t="s">
        <v>5674</v>
      </c>
    </row>
    <row r="661" spans="1:31" x14ac:dyDescent="0.2">
      <c r="A661">
        <v>44939513</v>
      </c>
      <c r="B661" t="s">
        <v>5675</v>
      </c>
      <c r="C661" t="s">
        <v>5676</v>
      </c>
      <c r="D661" t="s">
        <v>3505</v>
      </c>
      <c r="E661" s="9">
        <v>45827</v>
      </c>
      <c r="F661" s="9">
        <v>45886</v>
      </c>
      <c r="G661" t="s">
        <v>45</v>
      </c>
      <c r="H661" t="s">
        <v>1158</v>
      </c>
      <c r="J661" t="s">
        <v>123</v>
      </c>
      <c r="K661" t="s">
        <v>36</v>
      </c>
      <c r="L661" t="s">
        <v>49</v>
      </c>
      <c r="M661" t="s">
        <v>50</v>
      </c>
      <c r="O661" t="s">
        <v>39</v>
      </c>
      <c r="P661" t="s">
        <v>39</v>
      </c>
      <c r="Q661" t="s">
        <v>39</v>
      </c>
      <c r="R661" t="s">
        <v>41</v>
      </c>
      <c r="S661" t="s">
        <v>40</v>
      </c>
      <c r="T661" t="s">
        <v>41</v>
      </c>
      <c r="U661" t="s">
        <v>39</v>
      </c>
      <c r="V661" t="s">
        <v>39</v>
      </c>
      <c r="W661" t="s">
        <v>40</v>
      </c>
      <c r="X661" t="s">
        <v>5677</v>
      </c>
      <c r="AB661" t="s">
        <v>5678</v>
      </c>
      <c r="AC661" t="s">
        <v>5679</v>
      </c>
      <c r="AD661" t="s">
        <v>5680</v>
      </c>
    </row>
    <row r="662" spans="1:31" x14ac:dyDescent="0.2">
      <c r="A662">
        <v>44936938</v>
      </c>
      <c r="B662" t="s">
        <v>5681</v>
      </c>
      <c r="C662" t="s">
        <v>5682</v>
      </c>
      <c r="D662" t="s">
        <v>3505</v>
      </c>
      <c r="E662" s="9">
        <v>45827</v>
      </c>
      <c r="F662" s="9">
        <v>45893</v>
      </c>
      <c r="G662" t="s">
        <v>45</v>
      </c>
      <c r="H662" t="s">
        <v>1428</v>
      </c>
      <c r="I662" t="s">
        <v>46</v>
      </c>
      <c r="J662" t="s">
        <v>60</v>
      </c>
      <c r="K662" t="s">
        <v>48</v>
      </c>
      <c r="L662" t="s">
        <v>49</v>
      </c>
      <c r="M662" t="s">
        <v>74</v>
      </c>
      <c r="O662" t="s">
        <v>39</v>
      </c>
      <c r="P662" t="s">
        <v>39</v>
      </c>
      <c r="Q662" t="s">
        <v>39</v>
      </c>
      <c r="R662" t="s">
        <v>41</v>
      </c>
      <c r="S662" t="s">
        <v>40</v>
      </c>
      <c r="T662" t="s">
        <v>41</v>
      </c>
      <c r="U662" t="s">
        <v>39</v>
      </c>
      <c r="V662" t="s">
        <v>39</v>
      </c>
      <c r="W662" t="s">
        <v>40</v>
      </c>
      <c r="AB662" t="s">
        <v>5683</v>
      </c>
      <c r="AC662" t="s">
        <v>5684</v>
      </c>
      <c r="AD662" t="s">
        <v>5685</v>
      </c>
      <c r="AE662" t="s">
        <v>5686</v>
      </c>
    </row>
    <row r="663" spans="1:31" x14ac:dyDescent="0.2">
      <c r="A663">
        <v>44937630</v>
      </c>
      <c r="B663" t="s">
        <v>155</v>
      </c>
      <c r="C663" t="s">
        <v>1223</v>
      </c>
      <c r="D663" t="s">
        <v>3505</v>
      </c>
      <c r="E663" s="9">
        <v>45827</v>
      </c>
      <c r="F663" s="9">
        <v>45963</v>
      </c>
      <c r="G663" t="s">
        <v>45</v>
      </c>
      <c r="H663" t="s">
        <v>46</v>
      </c>
      <c r="J663" t="s">
        <v>112</v>
      </c>
      <c r="K663" t="s">
        <v>48</v>
      </c>
      <c r="L663" t="s">
        <v>49</v>
      </c>
      <c r="M663" t="s">
        <v>50</v>
      </c>
      <c r="O663" t="s">
        <v>39</v>
      </c>
      <c r="P663" t="s">
        <v>39</v>
      </c>
      <c r="Q663" t="s">
        <v>39</v>
      </c>
      <c r="R663" t="s">
        <v>41</v>
      </c>
      <c r="S663" t="s">
        <v>40</v>
      </c>
      <c r="T663" t="s">
        <v>41</v>
      </c>
      <c r="U663" t="s">
        <v>39</v>
      </c>
      <c r="V663" t="s">
        <v>39</v>
      </c>
      <c r="W663" t="s">
        <v>39</v>
      </c>
      <c r="X663" t="s">
        <v>5687</v>
      </c>
      <c r="AB663" t="s">
        <v>5688</v>
      </c>
      <c r="AC663" t="s">
        <v>5689</v>
      </c>
      <c r="AD663" t="s">
        <v>5690</v>
      </c>
      <c r="AE663" t="s">
        <v>5691</v>
      </c>
    </row>
    <row r="664" spans="1:31" x14ac:dyDescent="0.2">
      <c r="A664">
        <v>44937105</v>
      </c>
      <c r="B664" t="s">
        <v>5692</v>
      </c>
      <c r="C664" t="s">
        <v>5693</v>
      </c>
      <c r="D664" t="s">
        <v>3505</v>
      </c>
      <c r="E664" s="9">
        <v>45827</v>
      </c>
      <c r="F664" s="9">
        <v>45866</v>
      </c>
      <c r="G664" t="s">
        <v>45</v>
      </c>
      <c r="H664" t="s">
        <v>46</v>
      </c>
      <c r="J664" t="s">
        <v>154</v>
      </c>
      <c r="K664" t="s">
        <v>48</v>
      </c>
      <c r="L664" t="s">
        <v>37</v>
      </c>
      <c r="M664" t="s">
        <v>289</v>
      </c>
      <c r="O664" t="s">
        <v>39</v>
      </c>
      <c r="P664" t="s">
        <v>39</v>
      </c>
      <c r="Q664" t="s">
        <v>39</v>
      </c>
      <c r="R664" t="s">
        <v>41</v>
      </c>
      <c r="S664" t="s">
        <v>40</v>
      </c>
      <c r="T664" t="s">
        <v>41</v>
      </c>
      <c r="U664" t="s">
        <v>39</v>
      </c>
      <c r="V664" t="s">
        <v>39</v>
      </c>
      <c r="W664" t="s">
        <v>39</v>
      </c>
      <c r="AB664" t="s">
        <v>5694</v>
      </c>
      <c r="AC664" t="s">
        <v>5695</v>
      </c>
      <c r="AD664" t="s">
        <v>5696</v>
      </c>
    </row>
    <row r="665" spans="1:31" x14ac:dyDescent="0.2">
      <c r="A665">
        <v>44937929</v>
      </c>
      <c r="B665" t="s">
        <v>156</v>
      </c>
      <c r="C665" t="s">
        <v>157</v>
      </c>
      <c r="D665" t="s">
        <v>32</v>
      </c>
      <c r="E665" s="9">
        <v>45827</v>
      </c>
      <c r="G665" t="s">
        <v>45</v>
      </c>
      <c r="H665" t="s">
        <v>53</v>
      </c>
      <c r="I665" t="s">
        <v>46</v>
      </c>
      <c r="J665" t="s">
        <v>154</v>
      </c>
      <c r="K665" t="s">
        <v>36</v>
      </c>
      <c r="L665" t="s">
        <v>49</v>
      </c>
      <c r="M665" t="s">
        <v>50</v>
      </c>
      <c r="O665" t="s">
        <v>39</v>
      </c>
      <c r="P665" t="s">
        <v>39</v>
      </c>
      <c r="Q665" t="s">
        <v>39</v>
      </c>
      <c r="R665" t="s">
        <v>41</v>
      </c>
      <c r="S665" t="s">
        <v>40</v>
      </c>
      <c r="T665" t="s">
        <v>41</v>
      </c>
      <c r="U665" t="s">
        <v>39</v>
      </c>
      <c r="V665" t="s">
        <v>39</v>
      </c>
      <c r="W665" t="s">
        <v>40</v>
      </c>
      <c r="X665" t="s">
        <v>1956</v>
      </c>
      <c r="AB665" t="s">
        <v>158</v>
      </c>
      <c r="AC665" t="s">
        <v>159</v>
      </c>
      <c r="AD665" t="s">
        <v>160</v>
      </c>
      <c r="AE665" t="s">
        <v>161</v>
      </c>
    </row>
    <row r="666" spans="1:31" x14ac:dyDescent="0.2">
      <c r="A666">
        <v>44997584</v>
      </c>
      <c r="B666" t="s">
        <v>162</v>
      </c>
      <c r="C666" t="s">
        <v>163</v>
      </c>
      <c r="D666" t="s">
        <v>32</v>
      </c>
      <c r="E666" s="9">
        <v>45833</v>
      </c>
      <c r="G666" t="s">
        <v>33</v>
      </c>
      <c r="H666" t="s">
        <v>34</v>
      </c>
      <c r="J666" t="s">
        <v>35</v>
      </c>
      <c r="K666" t="s">
        <v>36</v>
      </c>
      <c r="L666" t="s">
        <v>164</v>
      </c>
      <c r="N666" t="s">
        <v>38</v>
      </c>
      <c r="O666" t="s">
        <v>40</v>
      </c>
      <c r="P666" t="s">
        <v>39</v>
      </c>
      <c r="Q666" t="s">
        <v>39</v>
      </c>
      <c r="R666" t="s">
        <v>40</v>
      </c>
      <c r="S666" t="s">
        <v>41</v>
      </c>
      <c r="T666" t="s">
        <v>41</v>
      </c>
      <c r="U666" t="s">
        <v>39</v>
      </c>
      <c r="V666" t="s">
        <v>39</v>
      </c>
      <c r="W666" t="s">
        <v>39</v>
      </c>
      <c r="AB666" t="s">
        <v>165</v>
      </c>
      <c r="AC666" t="s">
        <v>166</v>
      </c>
    </row>
    <row r="667" spans="1:31" x14ac:dyDescent="0.2">
      <c r="A667">
        <v>44997578</v>
      </c>
      <c r="B667" t="s">
        <v>167</v>
      </c>
      <c r="C667" t="s">
        <v>168</v>
      </c>
      <c r="D667" t="s">
        <v>32</v>
      </c>
      <c r="E667" s="9">
        <v>45833</v>
      </c>
      <c r="G667" t="s">
        <v>33</v>
      </c>
      <c r="H667" t="s">
        <v>34</v>
      </c>
      <c r="J667" t="s">
        <v>107</v>
      </c>
      <c r="K667" t="s">
        <v>48</v>
      </c>
      <c r="L667" t="s">
        <v>164</v>
      </c>
      <c r="N667" t="s">
        <v>38</v>
      </c>
      <c r="O667" t="s">
        <v>40</v>
      </c>
      <c r="P667" t="s">
        <v>39</v>
      </c>
      <c r="Q667" t="s">
        <v>39</v>
      </c>
      <c r="R667" t="s">
        <v>40</v>
      </c>
      <c r="S667" t="s">
        <v>41</v>
      </c>
      <c r="T667" t="s">
        <v>41</v>
      </c>
      <c r="U667" t="s">
        <v>39</v>
      </c>
      <c r="V667" t="s">
        <v>39</v>
      </c>
      <c r="W667" t="s">
        <v>39</v>
      </c>
      <c r="AB667" t="s">
        <v>169</v>
      </c>
      <c r="AC667" t="s">
        <v>170</v>
      </c>
    </row>
    <row r="668" spans="1:31" x14ac:dyDescent="0.2">
      <c r="A668">
        <v>45190677</v>
      </c>
      <c r="B668" t="s">
        <v>5697</v>
      </c>
      <c r="C668" t="s">
        <v>5698</v>
      </c>
      <c r="D668" t="s">
        <v>3505</v>
      </c>
      <c r="E668" s="9">
        <v>45851</v>
      </c>
      <c r="F668" s="9">
        <v>45923</v>
      </c>
      <c r="G668" t="s">
        <v>45</v>
      </c>
      <c r="H668" t="s">
        <v>80</v>
      </c>
      <c r="I668" t="s">
        <v>97</v>
      </c>
      <c r="J668" t="s">
        <v>286</v>
      </c>
      <c r="K668" t="s">
        <v>48</v>
      </c>
      <c r="L668" t="s">
        <v>49</v>
      </c>
      <c r="M668" t="s">
        <v>50</v>
      </c>
      <c r="O668" t="s">
        <v>39</v>
      </c>
      <c r="P668" t="s">
        <v>41</v>
      </c>
      <c r="Q668" t="s">
        <v>39</v>
      </c>
      <c r="R668" t="s">
        <v>41</v>
      </c>
      <c r="S668" t="s">
        <v>40</v>
      </c>
      <c r="T668" t="s">
        <v>41</v>
      </c>
      <c r="U668" t="s">
        <v>39</v>
      </c>
      <c r="V668" t="s">
        <v>39</v>
      </c>
      <c r="W668" t="s">
        <v>39</v>
      </c>
      <c r="X668" t="s">
        <v>5699</v>
      </c>
      <c r="AB668" t="s">
        <v>5700</v>
      </c>
      <c r="AC668" t="s">
        <v>5701</v>
      </c>
      <c r="AD668" t="s">
        <v>5702</v>
      </c>
    </row>
    <row r="669" spans="1:31" x14ac:dyDescent="0.2">
      <c r="A669">
        <v>45190634</v>
      </c>
      <c r="B669" t="s">
        <v>5703</v>
      </c>
      <c r="C669" t="s">
        <v>5704</v>
      </c>
      <c r="D669" t="s">
        <v>3505</v>
      </c>
      <c r="E669" s="9">
        <v>45851</v>
      </c>
      <c r="F669" s="9">
        <v>45931</v>
      </c>
      <c r="G669" t="s">
        <v>45</v>
      </c>
      <c r="H669" t="s">
        <v>80</v>
      </c>
      <c r="I669" t="s">
        <v>97</v>
      </c>
      <c r="J669" t="s">
        <v>138</v>
      </c>
      <c r="K669" t="s">
        <v>48</v>
      </c>
      <c r="L669" t="s">
        <v>49</v>
      </c>
      <c r="M669" t="s">
        <v>50</v>
      </c>
      <c r="O669" t="s">
        <v>39</v>
      </c>
      <c r="P669" t="s">
        <v>39</v>
      </c>
      <c r="Q669" t="s">
        <v>39</v>
      </c>
      <c r="R669" t="s">
        <v>39</v>
      </c>
      <c r="S669" t="s">
        <v>40</v>
      </c>
      <c r="T669" t="s">
        <v>41</v>
      </c>
      <c r="U669" t="s">
        <v>39</v>
      </c>
      <c r="V669" t="s">
        <v>39</v>
      </c>
      <c r="W669" t="s">
        <v>39</v>
      </c>
      <c r="X669" t="s">
        <v>5705</v>
      </c>
      <c r="AB669" t="s">
        <v>5706</v>
      </c>
      <c r="AC669" t="s">
        <v>5707</v>
      </c>
      <c r="AD669" t="s">
        <v>5708</v>
      </c>
    </row>
    <row r="670" spans="1:31" x14ac:dyDescent="0.2">
      <c r="A670">
        <v>45190855</v>
      </c>
      <c r="B670" t="s">
        <v>171</v>
      </c>
      <c r="C670" t="s">
        <v>2191</v>
      </c>
      <c r="D670" t="s">
        <v>32</v>
      </c>
      <c r="E670" s="9">
        <v>45851</v>
      </c>
      <c r="G670" t="s">
        <v>45</v>
      </c>
      <c r="H670" t="s">
        <v>53</v>
      </c>
      <c r="I670" t="s">
        <v>173</v>
      </c>
      <c r="J670" t="s">
        <v>69</v>
      </c>
      <c r="K670" t="s">
        <v>36</v>
      </c>
      <c r="L670" t="s">
        <v>49</v>
      </c>
      <c r="M670" t="s">
        <v>74</v>
      </c>
      <c r="O670" t="s">
        <v>39</v>
      </c>
      <c r="P670" t="s">
        <v>39</v>
      </c>
      <c r="Q670" t="s">
        <v>39</v>
      </c>
      <c r="R670" t="s">
        <v>41</v>
      </c>
      <c r="S670" t="s">
        <v>40</v>
      </c>
      <c r="T670" t="s">
        <v>41</v>
      </c>
      <c r="U670" t="s">
        <v>39</v>
      </c>
      <c r="V670" t="s">
        <v>39</v>
      </c>
      <c r="W670" t="s">
        <v>40</v>
      </c>
      <c r="AB670" t="s">
        <v>174</v>
      </c>
      <c r="AC670" t="s">
        <v>175</v>
      </c>
      <c r="AD670" t="s">
        <v>176</v>
      </c>
      <c r="AE670" t="s">
        <v>177</v>
      </c>
    </row>
    <row r="671" spans="1:31" x14ac:dyDescent="0.2">
      <c r="A671">
        <v>45188261</v>
      </c>
      <c r="B671" t="s">
        <v>5709</v>
      </c>
      <c r="C671" t="s">
        <v>5710</v>
      </c>
      <c r="D671" t="s">
        <v>3505</v>
      </c>
      <c r="E671" s="9">
        <v>45851</v>
      </c>
      <c r="F671" s="9">
        <v>45890</v>
      </c>
      <c r="G671" t="s">
        <v>45</v>
      </c>
      <c r="H671" t="s">
        <v>46</v>
      </c>
      <c r="I671" t="s">
        <v>96</v>
      </c>
      <c r="J671" t="s">
        <v>69</v>
      </c>
      <c r="K671" t="s">
        <v>48</v>
      </c>
      <c r="L671" t="s">
        <v>49</v>
      </c>
      <c r="M671" t="s">
        <v>50</v>
      </c>
      <c r="O671" t="s">
        <v>39</v>
      </c>
      <c r="P671" t="s">
        <v>39</v>
      </c>
      <c r="Q671" t="s">
        <v>39</v>
      </c>
      <c r="R671" t="s">
        <v>41</v>
      </c>
      <c r="S671" t="s">
        <v>40</v>
      </c>
      <c r="T671" t="s">
        <v>41</v>
      </c>
      <c r="U671" t="s">
        <v>39</v>
      </c>
      <c r="V671" t="s">
        <v>39</v>
      </c>
      <c r="W671" t="s">
        <v>40</v>
      </c>
      <c r="X671" t="s">
        <v>5711</v>
      </c>
      <c r="AB671" t="s">
        <v>5712</v>
      </c>
      <c r="AC671" t="s">
        <v>5713</v>
      </c>
      <c r="AD671" t="s">
        <v>5714</v>
      </c>
    </row>
    <row r="672" spans="1:31" x14ac:dyDescent="0.2">
      <c r="A672">
        <v>45189425</v>
      </c>
      <c r="B672" t="s">
        <v>5715</v>
      </c>
      <c r="C672" t="s">
        <v>5716</v>
      </c>
      <c r="D672" t="s">
        <v>3505</v>
      </c>
      <c r="E672" s="9">
        <v>45851</v>
      </c>
      <c r="F672" s="9">
        <v>45927</v>
      </c>
      <c r="G672" t="s">
        <v>33</v>
      </c>
      <c r="H672" t="s">
        <v>34</v>
      </c>
      <c r="J672" t="s">
        <v>1245</v>
      </c>
      <c r="K672" t="s">
        <v>48</v>
      </c>
      <c r="L672" t="s">
        <v>164</v>
      </c>
      <c r="N672" t="s">
        <v>38</v>
      </c>
      <c r="O672" t="s">
        <v>40</v>
      </c>
      <c r="P672" t="s">
        <v>39</v>
      </c>
      <c r="Q672" t="s">
        <v>39</v>
      </c>
      <c r="R672" t="s">
        <v>40</v>
      </c>
      <c r="S672" t="s">
        <v>41</v>
      </c>
      <c r="T672" t="s">
        <v>41</v>
      </c>
      <c r="U672" t="s">
        <v>39</v>
      </c>
      <c r="V672" t="s">
        <v>40</v>
      </c>
      <c r="W672" t="s">
        <v>39</v>
      </c>
      <c r="AB672" t="s">
        <v>5717</v>
      </c>
    </row>
    <row r="673" spans="1:31" x14ac:dyDescent="0.2">
      <c r="A673">
        <v>45190235</v>
      </c>
      <c r="B673" t="s">
        <v>5718</v>
      </c>
      <c r="C673" t="s">
        <v>5719</v>
      </c>
      <c r="D673" t="s">
        <v>3505</v>
      </c>
      <c r="E673" s="9">
        <v>45851</v>
      </c>
      <c r="F673" s="9">
        <v>45860</v>
      </c>
      <c r="G673" t="s">
        <v>45</v>
      </c>
      <c r="H673" t="s">
        <v>46</v>
      </c>
      <c r="I673" t="s">
        <v>53</v>
      </c>
      <c r="J673" t="s">
        <v>154</v>
      </c>
      <c r="K673" t="s">
        <v>48</v>
      </c>
      <c r="L673" t="s">
        <v>49</v>
      </c>
      <c r="M673" t="s">
        <v>50</v>
      </c>
      <c r="O673" t="s">
        <v>39</v>
      </c>
      <c r="P673" t="s">
        <v>39</v>
      </c>
      <c r="Q673" t="s">
        <v>39</v>
      </c>
      <c r="R673" t="s">
        <v>41</v>
      </c>
      <c r="S673" t="s">
        <v>40</v>
      </c>
      <c r="T673" t="s">
        <v>41</v>
      </c>
      <c r="U673" t="s">
        <v>39</v>
      </c>
      <c r="V673" t="s">
        <v>39</v>
      </c>
      <c r="W673" t="s">
        <v>40</v>
      </c>
      <c r="AB673" t="s">
        <v>5720</v>
      </c>
      <c r="AC673" t="s">
        <v>5721</v>
      </c>
      <c r="AD673" t="s">
        <v>5722</v>
      </c>
    </row>
    <row r="674" spans="1:31" x14ac:dyDescent="0.2">
      <c r="A674">
        <v>45190173</v>
      </c>
      <c r="B674" t="s">
        <v>5723</v>
      </c>
      <c r="C674" t="s">
        <v>5724</v>
      </c>
      <c r="D674" t="s">
        <v>3505</v>
      </c>
      <c r="E674" s="9">
        <v>45851</v>
      </c>
      <c r="F674" s="9">
        <v>45927</v>
      </c>
      <c r="G674" t="s">
        <v>45</v>
      </c>
      <c r="H674" t="s">
        <v>46</v>
      </c>
      <c r="I674" t="s">
        <v>53</v>
      </c>
      <c r="J674" t="s">
        <v>54</v>
      </c>
      <c r="K674" t="s">
        <v>48</v>
      </c>
      <c r="L674" t="s">
        <v>49</v>
      </c>
      <c r="M674" t="s">
        <v>50</v>
      </c>
      <c r="O674" t="s">
        <v>39</v>
      </c>
      <c r="P674" t="s">
        <v>39</v>
      </c>
      <c r="Q674" t="s">
        <v>39</v>
      </c>
      <c r="R674" t="s">
        <v>41</v>
      </c>
      <c r="S674" t="s">
        <v>40</v>
      </c>
      <c r="T674" t="s">
        <v>41</v>
      </c>
      <c r="U674" t="s">
        <v>39</v>
      </c>
      <c r="V674" t="s">
        <v>39</v>
      </c>
      <c r="W674" t="s">
        <v>40</v>
      </c>
      <c r="X674" t="s">
        <v>5725</v>
      </c>
      <c r="AB674" t="s">
        <v>5726</v>
      </c>
      <c r="AC674" t="s">
        <v>5727</v>
      </c>
      <c r="AD674" t="s">
        <v>5728</v>
      </c>
    </row>
    <row r="675" spans="1:31" x14ac:dyDescent="0.2">
      <c r="A675">
        <v>45190845</v>
      </c>
      <c r="B675" t="s">
        <v>178</v>
      </c>
      <c r="C675" t="s">
        <v>179</v>
      </c>
      <c r="D675" t="s">
        <v>32</v>
      </c>
      <c r="E675" s="9">
        <v>45851</v>
      </c>
      <c r="G675" t="s">
        <v>45</v>
      </c>
      <c r="H675" t="s">
        <v>90</v>
      </c>
      <c r="I675" t="s">
        <v>96</v>
      </c>
      <c r="J675" t="s">
        <v>138</v>
      </c>
      <c r="K675" t="s">
        <v>48</v>
      </c>
      <c r="L675" t="s">
        <v>37</v>
      </c>
      <c r="M675" t="s">
        <v>50</v>
      </c>
      <c r="O675" t="s">
        <v>39</v>
      </c>
      <c r="P675" t="s">
        <v>39</v>
      </c>
      <c r="Q675" t="s">
        <v>39</v>
      </c>
      <c r="R675" t="s">
        <v>41</v>
      </c>
      <c r="S675" t="s">
        <v>40</v>
      </c>
      <c r="T675" t="s">
        <v>41</v>
      </c>
      <c r="U675" t="s">
        <v>39</v>
      </c>
      <c r="V675" t="s">
        <v>39</v>
      </c>
      <c r="W675" t="s">
        <v>39</v>
      </c>
      <c r="X675" t="s">
        <v>1957</v>
      </c>
      <c r="AB675" t="s">
        <v>3082</v>
      </c>
      <c r="AC675" t="s">
        <v>3083</v>
      </c>
      <c r="AD675" t="s">
        <v>3084</v>
      </c>
    </row>
    <row r="676" spans="1:31" x14ac:dyDescent="0.2">
      <c r="A676">
        <v>45190865</v>
      </c>
      <c r="B676" t="s">
        <v>5729</v>
      </c>
      <c r="C676" t="s">
        <v>5730</v>
      </c>
      <c r="D676" t="s">
        <v>3505</v>
      </c>
      <c r="E676" s="9">
        <v>45851</v>
      </c>
      <c r="F676" s="9">
        <v>45877</v>
      </c>
      <c r="G676" t="s">
        <v>45</v>
      </c>
      <c r="H676" t="s">
        <v>53</v>
      </c>
      <c r="I676" t="s">
        <v>46</v>
      </c>
      <c r="J676" t="s">
        <v>54</v>
      </c>
      <c r="K676" t="s">
        <v>48</v>
      </c>
      <c r="L676" t="s">
        <v>49</v>
      </c>
      <c r="M676" t="s">
        <v>50</v>
      </c>
      <c r="O676" t="s">
        <v>39</v>
      </c>
      <c r="P676" t="s">
        <v>41</v>
      </c>
      <c r="Q676" t="s">
        <v>39</v>
      </c>
      <c r="R676" t="s">
        <v>41</v>
      </c>
      <c r="S676" t="s">
        <v>40</v>
      </c>
      <c r="T676" t="s">
        <v>41</v>
      </c>
      <c r="U676" t="s">
        <v>39</v>
      </c>
      <c r="V676" t="s">
        <v>39</v>
      </c>
      <c r="W676" t="s">
        <v>40</v>
      </c>
      <c r="AB676" t="s">
        <v>5731</v>
      </c>
      <c r="AC676" t="s">
        <v>5732</v>
      </c>
      <c r="AD676" t="s">
        <v>5733</v>
      </c>
      <c r="AE676" t="s">
        <v>5734</v>
      </c>
    </row>
    <row r="677" spans="1:31" x14ac:dyDescent="0.2">
      <c r="A677">
        <v>45190935</v>
      </c>
      <c r="B677" t="s">
        <v>183</v>
      </c>
      <c r="C677" t="s">
        <v>184</v>
      </c>
      <c r="D677" t="s">
        <v>3505</v>
      </c>
      <c r="E677" s="9">
        <v>45851</v>
      </c>
      <c r="F677" s="9">
        <v>45963</v>
      </c>
      <c r="G677" t="s">
        <v>45</v>
      </c>
      <c r="H677" t="s">
        <v>46</v>
      </c>
      <c r="J677" t="s">
        <v>60</v>
      </c>
      <c r="K677" t="s">
        <v>36</v>
      </c>
      <c r="L677" t="s">
        <v>49</v>
      </c>
      <c r="M677" t="s">
        <v>50</v>
      </c>
      <c r="O677" t="s">
        <v>39</v>
      </c>
      <c r="P677" t="s">
        <v>41</v>
      </c>
      <c r="Q677" t="s">
        <v>39</v>
      </c>
      <c r="R677" t="s">
        <v>41</v>
      </c>
      <c r="S677" t="s">
        <v>40</v>
      </c>
      <c r="T677" t="s">
        <v>41</v>
      </c>
      <c r="U677" t="s">
        <v>39</v>
      </c>
      <c r="V677" t="s">
        <v>39</v>
      </c>
      <c r="W677" t="s">
        <v>40</v>
      </c>
      <c r="AB677" t="s">
        <v>5735</v>
      </c>
      <c r="AC677" t="s">
        <v>5736</v>
      </c>
      <c r="AD677" t="s">
        <v>5737</v>
      </c>
    </row>
    <row r="678" spans="1:31" x14ac:dyDescent="0.2">
      <c r="A678">
        <v>45189405</v>
      </c>
      <c r="B678" t="s">
        <v>5738</v>
      </c>
      <c r="C678" t="s">
        <v>5739</v>
      </c>
      <c r="D678" t="s">
        <v>3505</v>
      </c>
      <c r="E678" s="9">
        <v>45851</v>
      </c>
      <c r="F678" s="9">
        <v>45887</v>
      </c>
      <c r="G678" t="s">
        <v>33</v>
      </c>
      <c r="H678" t="s">
        <v>34</v>
      </c>
      <c r="J678" t="s">
        <v>4157</v>
      </c>
      <c r="K678" t="s">
        <v>48</v>
      </c>
      <c r="L678" t="s">
        <v>164</v>
      </c>
      <c r="N678" t="s">
        <v>38</v>
      </c>
      <c r="O678" t="s">
        <v>40</v>
      </c>
      <c r="P678" t="s">
        <v>39</v>
      </c>
      <c r="Q678" t="s">
        <v>39</v>
      </c>
      <c r="R678" t="s">
        <v>40</v>
      </c>
      <c r="S678" t="s">
        <v>41</v>
      </c>
      <c r="T678" t="s">
        <v>41</v>
      </c>
      <c r="U678" t="s">
        <v>39</v>
      </c>
      <c r="V678" t="s">
        <v>40</v>
      </c>
      <c r="W678" t="s">
        <v>39</v>
      </c>
      <c r="AB678" t="s">
        <v>5740</v>
      </c>
    </row>
    <row r="679" spans="1:31" x14ac:dyDescent="0.2">
      <c r="A679">
        <v>45189392</v>
      </c>
      <c r="B679" t="s">
        <v>5741</v>
      </c>
      <c r="C679" t="s">
        <v>5742</v>
      </c>
      <c r="D679" t="s">
        <v>3505</v>
      </c>
      <c r="E679" s="9">
        <v>45851</v>
      </c>
      <c r="F679" s="9">
        <v>45868</v>
      </c>
      <c r="G679" t="s">
        <v>33</v>
      </c>
      <c r="H679" t="s">
        <v>34</v>
      </c>
      <c r="J679" t="s">
        <v>4157</v>
      </c>
      <c r="K679" t="s">
        <v>48</v>
      </c>
      <c r="L679" t="s">
        <v>49</v>
      </c>
      <c r="N679" t="s">
        <v>38</v>
      </c>
      <c r="O679" t="s">
        <v>40</v>
      </c>
      <c r="P679" t="s">
        <v>39</v>
      </c>
      <c r="Q679" t="s">
        <v>39</v>
      </c>
      <c r="R679" t="s">
        <v>40</v>
      </c>
      <c r="S679" t="s">
        <v>41</v>
      </c>
      <c r="T679" t="s">
        <v>41</v>
      </c>
      <c r="U679" t="s">
        <v>39</v>
      </c>
      <c r="V679" t="s">
        <v>40</v>
      </c>
      <c r="W679" t="s">
        <v>39</v>
      </c>
      <c r="AB679" t="s">
        <v>5743</v>
      </c>
      <c r="AC679" t="s">
        <v>5744</v>
      </c>
    </row>
    <row r="680" spans="1:31" x14ac:dyDescent="0.2">
      <c r="A680">
        <v>45190299</v>
      </c>
      <c r="B680" t="s">
        <v>5745</v>
      </c>
      <c r="C680" t="s">
        <v>5746</v>
      </c>
      <c r="D680" t="s">
        <v>3505</v>
      </c>
      <c r="E680" s="9">
        <v>45851</v>
      </c>
      <c r="F680" s="9">
        <v>45913</v>
      </c>
      <c r="G680" t="s">
        <v>45</v>
      </c>
      <c r="H680" t="s">
        <v>46</v>
      </c>
      <c r="I680" t="s">
        <v>96</v>
      </c>
      <c r="J680" t="s">
        <v>69</v>
      </c>
      <c r="K680" t="s">
        <v>36</v>
      </c>
      <c r="L680" t="s">
        <v>37</v>
      </c>
      <c r="M680" t="s">
        <v>50</v>
      </c>
      <c r="O680" t="s">
        <v>39</v>
      </c>
      <c r="P680" t="s">
        <v>39</v>
      </c>
      <c r="Q680" t="s">
        <v>39</v>
      </c>
      <c r="R680" t="s">
        <v>41</v>
      </c>
      <c r="S680" t="s">
        <v>40</v>
      </c>
      <c r="T680" t="s">
        <v>41</v>
      </c>
      <c r="U680" t="s">
        <v>39</v>
      </c>
      <c r="V680" t="s">
        <v>39</v>
      </c>
      <c r="W680" t="s">
        <v>39</v>
      </c>
      <c r="X680" t="s">
        <v>5747</v>
      </c>
      <c r="AB680" t="s">
        <v>5748</v>
      </c>
      <c r="AC680" t="s">
        <v>5749</v>
      </c>
      <c r="AD680" t="s">
        <v>5750</v>
      </c>
    </row>
    <row r="681" spans="1:31" x14ac:dyDescent="0.2">
      <c r="A681">
        <v>45190824</v>
      </c>
      <c r="B681" t="s">
        <v>185</v>
      </c>
      <c r="C681" t="s">
        <v>186</v>
      </c>
      <c r="D681" t="s">
        <v>32</v>
      </c>
      <c r="E681" s="9">
        <v>45851</v>
      </c>
      <c r="G681" t="s">
        <v>45</v>
      </c>
      <c r="H681" t="s">
        <v>80</v>
      </c>
      <c r="I681" t="s">
        <v>105</v>
      </c>
      <c r="J681" t="s">
        <v>112</v>
      </c>
      <c r="K681" t="s">
        <v>48</v>
      </c>
      <c r="L681" t="s">
        <v>49</v>
      </c>
      <c r="M681" t="s">
        <v>50</v>
      </c>
      <c r="O681" t="s">
        <v>39</v>
      </c>
      <c r="P681" t="s">
        <v>39</v>
      </c>
      <c r="Q681" t="s">
        <v>39</v>
      </c>
      <c r="R681" t="s">
        <v>41</v>
      </c>
      <c r="S681" t="s">
        <v>40</v>
      </c>
      <c r="T681" t="s">
        <v>41</v>
      </c>
      <c r="U681" t="s">
        <v>39</v>
      </c>
      <c r="V681" t="s">
        <v>39</v>
      </c>
      <c r="W681" t="s">
        <v>39</v>
      </c>
      <c r="X681" t="s">
        <v>1419</v>
      </c>
      <c r="AB681" t="s">
        <v>187</v>
      </c>
      <c r="AC681" t="s">
        <v>188</v>
      </c>
      <c r="AD681" t="s">
        <v>189</v>
      </c>
    </row>
    <row r="682" spans="1:31" x14ac:dyDescent="0.2">
      <c r="A682">
        <v>45190904</v>
      </c>
      <c r="B682" t="s">
        <v>190</v>
      </c>
      <c r="C682" t="s">
        <v>191</v>
      </c>
      <c r="D682" t="s">
        <v>3505</v>
      </c>
      <c r="E682" s="9">
        <v>45851</v>
      </c>
      <c r="F682" s="9">
        <v>45963</v>
      </c>
      <c r="G682" t="s">
        <v>45</v>
      </c>
      <c r="H682" t="s">
        <v>90</v>
      </c>
      <c r="I682" t="s">
        <v>89</v>
      </c>
      <c r="J682" t="s">
        <v>54</v>
      </c>
      <c r="K682" t="s">
        <v>36</v>
      </c>
      <c r="L682" t="s">
        <v>49</v>
      </c>
      <c r="M682" t="s">
        <v>50</v>
      </c>
      <c r="O682" t="s">
        <v>39</v>
      </c>
      <c r="P682" t="s">
        <v>39</v>
      </c>
      <c r="Q682" t="s">
        <v>39</v>
      </c>
      <c r="R682" t="s">
        <v>39</v>
      </c>
      <c r="S682" t="s">
        <v>40</v>
      </c>
      <c r="T682" t="s">
        <v>41</v>
      </c>
      <c r="U682" t="s">
        <v>39</v>
      </c>
      <c r="V682" t="s">
        <v>39</v>
      </c>
      <c r="W682" t="s">
        <v>39</v>
      </c>
      <c r="X682" t="s">
        <v>5751</v>
      </c>
      <c r="AB682" t="s">
        <v>5752</v>
      </c>
      <c r="AC682" t="s">
        <v>5753</v>
      </c>
      <c r="AD682" t="s">
        <v>5754</v>
      </c>
    </row>
    <row r="683" spans="1:31" x14ac:dyDescent="0.2">
      <c r="A683">
        <v>45190901</v>
      </c>
      <c r="B683" t="s">
        <v>192</v>
      </c>
      <c r="C683" t="s">
        <v>193</v>
      </c>
      <c r="D683" t="s">
        <v>32</v>
      </c>
      <c r="E683" s="9">
        <v>45851</v>
      </c>
      <c r="G683" t="s">
        <v>45</v>
      </c>
      <c r="H683" t="s">
        <v>90</v>
      </c>
      <c r="I683" t="s">
        <v>46</v>
      </c>
      <c r="J683" t="s">
        <v>138</v>
      </c>
      <c r="K683" t="s">
        <v>36</v>
      </c>
      <c r="L683" t="s">
        <v>49</v>
      </c>
      <c r="M683" t="s">
        <v>50</v>
      </c>
      <c r="O683" t="s">
        <v>39</v>
      </c>
      <c r="P683" t="s">
        <v>39</v>
      </c>
      <c r="Q683" t="s">
        <v>39</v>
      </c>
      <c r="R683" t="s">
        <v>41</v>
      </c>
      <c r="S683" t="s">
        <v>40</v>
      </c>
      <c r="T683" t="s">
        <v>41</v>
      </c>
      <c r="U683" t="s">
        <v>39</v>
      </c>
      <c r="V683" t="s">
        <v>39</v>
      </c>
      <c r="W683" t="s">
        <v>40</v>
      </c>
      <c r="X683" t="s">
        <v>1958</v>
      </c>
      <c r="AB683" t="s">
        <v>194</v>
      </c>
      <c r="AC683" t="s">
        <v>195</v>
      </c>
      <c r="AD683" t="s">
        <v>196</v>
      </c>
      <c r="AE683" t="s">
        <v>197</v>
      </c>
    </row>
    <row r="684" spans="1:31" x14ac:dyDescent="0.2">
      <c r="A684">
        <v>45190943</v>
      </c>
      <c r="B684" t="s">
        <v>5755</v>
      </c>
      <c r="C684" t="s">
        <v>5756</v>
      </c>
      <c r="D684" t="s">
        <v>3505</v>
      </c>
      <c r="E684" s="9">
        <v>45851</v>
      </c>
      <c r="F684" s="9">
        <v>45923</v>
      </c>
      <c r="G684" t="s">
        <v>45</v>
      </c>
      <c r="H684" t="s">
        <v>59</v>
      </c>
      <c r="I684" t="s">
        <v>4371</v>
      </c>
      <c r="J684" t="s">
        <v>286</v>
      </c>
      <c r="K684" t="s">
        <v>48</v>
      </c>
      <c r="L684" t="s">
        <v>49</v>
      </c>
      <c r="M684" t="s">
        <v>50</v>
      </c>
      <c r="O684" t="s">
        <v>39</v>
      </c>
      <c r="P684" t="s">
        <v>39</v>
      </c>
      <c r="Q684" t="s">
        <v>39</v>
      </c>
      <c r="R684" t="s">
        <v>41</v>
      </c>
      <c r="S684" t="s">
        <v>40</v>
      </c>
      <c r="T684" t="s">
        <v>41</v>
      </c>
      <c r="U684" t="s">
        <v>39</v>
      </c>
      <c r="V684" t="s">
        <v>39</v>
      </c>
      <c r="W684" t="s">
        <v>39</v>
      </c>
      <c r="AB684" t="s">
        <v>5757</v>
      </c>
      <c r="AC684" t="s">
        <v>5758</v>
      </c>
      <c r="AD684" t="s">
        <v>5759</v>
      </c>
      <c r="AE684" t="s">
        <v>5760</v>
      </c>
    </row>
    <row r="685" spans="1:31" x14ac:dyDescent="0.2">
      <c r="A685">
        <v>45190195</v>
      </c>
      <c r="B685" t="s">
        <v>198</v>
      </c>
      <c r="C685" t="s">
        <v>199</v>
      </c>
      <c r="D685" t="s">
        <v>3505</v>
      </c>
      <c r="E685" s="9">
        <v>45851</v>
      </c>
      <c r="F685" s="9">
        <v>45963</v>
      </c>
      <c r="G685" t="s">
        <v>45</v>
      </c>
      <c r="H685" t="s">
        <v>53</v>
      </c>
      <c r="I685" t="s">
        <v>173</v>
      </c>
      <c r="J685" t="s">
        <v>138</v>
      </c>
      <c r="K685" t="s">
        <v>48</v>
      </c>
      <c r="L685" t="s">
        <v>49</v>
      </c>
      <c r="M685" t="s">
        <v>74</v>
      </c>
      <c r="O685" t="s">
        <v>39</v>
      </c>
      <c r="P685" t="s">
        <v>39</v>
      </c>
      <c r="Q685" t="s">
        <v>39</v>
      </c>
      <c r="R685" t="s">
        <v>41</v>
      </c>
      <c r="S685" t="s">
        <v>40</v>
      </c>
      <c r="T685" t="s">
        <v>41</v>
      </c>
      <c r="U685" t="s">
        <v>39</v>
      </c>
      <c r="V685" t="s">
        <v>39</v>
      </c>
      <c r="W685" t="s">
        <v>40</v>
      </c>
      <c r="X685" t="s">
        <v>5761</v>
      </c>
      <c r="AB685" t="s">
        <v>5762</v>
      </c>
      <c r="AC685" t="s">
        <v>5763</v>
      </c>
      <c r="AD685" t="s">
        <v>5764</v>
      </c>
    </row>
    <row r="686" spans="1:31" x14ac:dyDescent="0.2">
      <c r="A686">
        <v>45190227</v>
      </c>
      <c r="B686" t="s">
        <v>5765</v>
      </c>
      <c r="C686" t="s">
        <v>712</v>
      </c>
      <c r="D686" t="s">
        <v>3505</v>
      </c>
      <c r="E686" s="9">
        <v>45851</v>
      </c>
      <c r="F686" s="9">
        <v>45927</v>
      </c>
      <c r="G686" t="s">
        <v>45</v>
      </c>
      <c r="H686" t="s">
        <v>46</v>
      </c>
      <c r="I686" t="s">
        <v>4371</v>
      </c>
      <c r="J686" t="s">
        <v>286</v>
      </c>
      <c r="K686" t="s">
        <v>48</v>
      </c>
      <c r="L686" t="s">
        <v>49</v>
      </c>
      <c r="M686" t="s">
        <v>74</v>
      </c>
      <c r="O686" t="s">
        <v>39</v>
      </c>
      <c r="P686" t="s">
        <v>39</v>
      </c>
      <c r="Q686" t="s">
        <v>39</v>
      </c>
      <c r="R686" t="s">
        <v>41</v>
      </c>
      <c r="S686" t="s">
        <v>40</v>
      </c>
      <c r="T686" t="s">
        <v>41</v>
      </c>
      <c r="U686" t="s">
        <v>39</v>
      </c>
      <c r="V686" t="s">
        <v>39</v>
      </c>
      <c r="W686" t="s">
        <v>40</v>
      </c>
      <c r="AB686" t="s">
        <v>5766</v>
      </c>
      <c r="AC686" t="s">
        <v>5767</v>
      </c>
      <c r="AD686" t="s">
        <v>5768</v>
      </c>
      <c r="AE686" t="s">
        <v>5769</v>
      </c>
    </row>
    <row r="687" spans="1:31" x14ac:dyDescent="0.2">
      <c r="A687">
        <v>45190218</v>
      </c>
      <c r="B687" t="s">
        <v>5770</v>
      </c>
      <c r="C687" t="s">
        <v>5771</v>
      </c>
      <c r="D687" t="s">
        <v>3505</v>
      </c>
      <c r="E687" s="9">
        <v>45851</v>
      </c>
      <c r="F687" s="9">
        <v>45927</v>
      </c>
      <c r="G687" t="s">
        <v>45</v>
      </c>
      <c r="H687" t="s">
        <v>46</v>
      </c>
      <c r="I687" t="s">
        <v>53</v>
      </c>
      <c r="J687" t="s">
        <v>154</v>
      </c>
      <c r="K687" t="s">
        <v>36</v>
      </c>
      <c r="L687" t="s">
        <v>49</v>
      </c>
      <c r="M687" t="s">
        <v>50</v>
      </c>
      <c r="O687" t="s">
        <v>39</v>
      </c>
      <c r="P687" t="s">
        <v>39</v>
      </c>
      <c r="Q687" t="s">
        <v>39</v>
      </c>
      <c r="R687" t="s">
        <v>41</v>
      </c>
      <c r="S687" t="s">
        <v>40</v>
      </c>
      <c r="T687" t="s">
        <v>41</v>
      </c>
      <c r="U687" t="s">
        <v>39</v>
      </c>
      <c r="V687" t="s">
        <v>39</v>
      </c>
      <c r="W687" t="s">
        <v>40</v>
      </c>
      <c r="AB687" t="s">
        <v>5772</v>
      </c>
      <c r="AC687" t="s">
        <v>5773</v>
      </c>
      <c r="AD687" t="s">
        <v>5774</v>
      </c>
      <c r="AE687" t="s">
        <v>5775</v>
      </c>
    </row>
    <row r="688" spans="1:31" x14ac:dyDescent="0.2">
      <c r="A688">
        <v>45190694</v>
      </c>
      <c r="B688" t="s">
        <v>5776</v>
      </c>
      <c r="C688" t="s">
        <v>3992</v>
      </c>
      <c r="D688" t="s">
        <v>3505</v>
      </c>
      <c r="E688" s="9">
        <v>45851</v>
      </c>
      <c r="F688" s="9">
        <v>45866</v>
      </c>
      <c r="G688" t="s">
        <v>45</v>
      </c>
      <c r="H688" t="s">
        <v>46</v>
      </c>
      <c r="I688" t="s">
        <v>90</v>
      </c>
      <c r="J688" t="s">
        <v>138</v>
      </c>
      <c r="K688" t="s">
        <v>36</v>
      </c>
      <c r="L688" t="s">
        <v>37</v>
      </c>
      <c r="M688" t="s">
        <v>289</v>
      </c>
      <c r="O688" t="s">
        <v>39</v>
      </c>
      <c r="P688" t="s">
        <v>41</v>
      </c>
      <c r="Q688" t="s">
        <v>39</v>
      </c>
      <c r="R688" t="s">
        <v>41</v>
      </c>
      <c r="S688" t="s">
        <v>40</v>
      </c>
      <c r="T688" t="s">
        <v>41</v>
      </c>
      <c r="U688" t="s">
        <v>39</v>
      </c>
      <c r="V688" t="s">
        <v>39</v>
      </c>
      <c r="W688" t="s">
        <v>39</v>
      </c>
      <c r="AB688" t="s">
        <v>5777</v>
      </c>
      <c r="AC688" t="s">
        <v>5778</v>
      </c>
      <c r="AD688" t="s">
        <v>5779</v>
      </c>
    </row>
    <row r="689" spans="1:31" x14ac:dyDescent="0.2">
      <c r="A689">
        <v>45190736</v>
      </c>
      <c r="B689" t="s">
        <v>5780</v>
      </c>
      <c r="C689" t="s">
        <v>5781</v>
      </c>
      <c r="D689" t="s">
        <v>3505</v>
      </c>
      <c r="E689" s="9">
        <v>45851</v>
      </c>
      <c r="F689" s="9">
        <v>45893</v>
      </c>
      <c r="G689" t="s">
        <v>45</v>
      </c>
      <c r="H689" t="s">
        <v>46</v>
      </c>
      <c r="I689" t="s">
        <v>90</v>
      </c>
      <c r="J689" t="s">
        <v>154</v>
      </c>
      <c r="K689" t="s">
        <v>48</v>
      </c>
      <c r="L689" t="s">
        <v>386</v>
      </c>
      <c r="M689" t="s">
        <v>289</v>
      </c>
      <c r="O689" t="s">
        <v>39</v>
      </c>
      <c r="P689" t="s">
        <v>39</v>
      </c>
      <c r="Q689" t="s">
        <v>39</v>
      </c>
      <c r="R689" t="s">
        <v>41</v>
      </c>
      <c r="S689" t="s">
        <v>40</v>
      </c>
      <c r="T689" t="s">
        <v>41</v>
      </c>
      <c r="U689" t="s">
        <v>39</v>
      </c>
      <c r="V689" t="s">
        <v>39</v>
      </c>
      <c r="W689" t="s">
        <v>39</v>
      </c>
      <c r="AB689" t="s">
        <v>5782</v>
      </c>
      <c r="AC689" t="s">
        <v>5783</v>
      </c>
      <c r="AD689" t="s">
        <v>5784</v>
      </c>
    </row>
    <row r="690" spans="1:31" x14ac:dyDescent="0.2">
      <c r="A690">
        <v>45190266</v>
      </c>
      <c r="B690" t="s">
        <v>5785</v>
      </c>
      <c r="C690" t="s">
        <v>5786</v>
      </c>
      <c r="D690" t="s">
        <v>3505</v>
      </c>
      <c r="E690" s="9">
        <v>45851</v>
      </c>
      <c r="F690" s="9">
        <v>45937</v>
      </c>
      <c r="G690" t="s">
        <v>45</v>
      </c>
      <c r="H690" t="s">
        <v>96</v>
      </c>
      <c r="I690" t="s">
        <v>200</v>
      </c>
      <c r="J690" t="s">
        <v>73</v>
      </c>
      <c r="K690" t="s">
        <v>36</v>
      </c>
      <c r="L690" t="s">
        <v>49</v>
      </c>
      <c r="M690" t="s">
        <v>50</v>
      </c>
      <c r="O690" t="s">
        <v>39</v>
      </c>
      <c r="P690" t="s">
        <v>39</v>
      </c>
      <c r="Q690" t="s">
        <v>39</v>
      </c>
      <c r="R690" t="s">
        <v>41</v>
      </c>
      <c r="S690" t="s">
        <v>40</v>
      </c>
      <c r="T690" t="s">
        <v>41</v>
      </c>
      <c r="U690" t="s">
        <v>39</v>
      </c>
      <c r="V690" t="s">
        <v>39</v>
      </c>
      <c r="W690" t="s">
        <v>40</v>
      </c>
      <c r="X690" t="s">
        <v>5787</v>
      </c>
      <c r="AB690" t="s">
        <v>5788</v>
      </c>
      <c r="AC690" t="s">
        <v>5789</v>
      </c>
      <c r="AD690" t="s">
        <v>5790</v>
      </c>
      <c r="AE690" t="s">
        <v>5791</v>
      </c>
    </row>
    <row r="691" spans="1:31" x14ac:dyDescent="0.2">
      <c r="A691">
        <v>45190891</v>
      </c>
      <c r="B691" t="s">
        <v>5792</v>
      </c>
      <c r="C691" t="s">
        <v>5793</v>
      </c>
      <c r="D691" t="s">
        <v>3505</v>
      </c>
      <c r="E691" s="9">
        <v>45851</v>
      </c>
      <c r="F691" s="9">
        <v>45913</v>
      </c>
      <c r="G691" t="s">
        <v>45</v>
      </c>
      <c r="H691" t="s">
        <v>153</v>
      </c>
      <c r="I691" t="s">
        <v>59</v>
      </c>
      <c r="J691" t="s">
        <v>154</v>
      </c>
      <c r="K691" t="s">
        <v>36</v>
      </c>
      <c r="L691" t="s">
        <v>49</v>
      </c>
      <c r="M691" t="s">
        <v>50</v>
      </c>
      <c r="O691" t="s">
        <v>39</v>
      </c>
      <c r="P691" t="s">
        <v>41</v>
      </c>
      <c r="Q691" t="s">
        <v>39</v>
      </c>
      <c r="R691" t="s">
        <v>41</v>
      </c>
      <c r="S691" t="s">
        <v>40</v>
      </c>
      <c r="T691" t="s">
        <v>41</v>
      </c>
      <c r="U691" t="s">
        <v>39</v>
      </c>
      <c r="V691" t="s">
        <v>39</v>
      </c>
      <c r="W691" t="s">
        <v>40</v>
      </c>
      <c r="AB691" t="s">
        <v>5794</v>
      </c>
      <c r="AC691" t="s">
        <v>5795</v>
      </c>
      <c r="AD691" t="s">
        <v>5796</v>
      </c>
      <c r="AE691" t="s">
        <v>5797</v>
      </c>
    </row>
    <row r="692" spans="1:31" x14ac:dyDescent="0.2">
      <c r="A692">
        <v>45190260</v>
      </c>
      <c r="B692" t="s">
        <v>5798</v>
      </c>
      <c r="C692" t="s">
        <v>5799</v>
      </c>
      <c r="D692" t="s">
        <v>3505</v>
      </c>
      <c r="E692" s="9">
        <v>45851</v>
      </c>
      <c r="F692" s="9">
        <v>45886</v>
      </c>
      <c r="G692" t="s">
        <v>45</v>
      </c>
      <c r="H692" t="s">
        <v>96</v>
      </c>
      <c r="I692" t="s">
        <v>3999</v>
      </c>
      <c r="J692" t="s">
        <v>138</v>
      </c>
      <c r="K692" t="s">
        <v>36</v>
      </c>
      <c r="L692" t="s">
        <v>49</v>
      </c>
      <c r="M692" t="s">
        <v>50</v>
      </c>
      <c r="O692" t="s">
        <v>39</v>
      </c>
      <c r="P692" t="s">
        <v>39</v>
      </c>
      <c r="Q692" t="s">
        <v>39</v>
      </c>
      <c r="R692" t="s">
        <v>41</v>
      </c>
      <c r="S692" t="s">
        <v>40</v>
      </c>
      <c r="T692" t="s">
        <v>41</v>
      </c>
      <c r="U692" t="s">
        <v>39</v>
      </c>
      <c r="V692" t="s">
        <v>39</v>
      </c>
      <c r="W692" t="s">
        <v>40</v>
      </c>
      <c r="AB692" t="s">
        <v>5800</v>
      </c>
      <c r="AC692" t="s">
        <v>5801</v>
      </c>
      <c r="AD692" t="s">
        <v>5802</v>
      </c>
    </row>
    <row r="693" spans="1:31" x14ac:dyDescent="0.2">
      <c r="A693">
        <v>45190806</v>
      </c>
      <c r="B693" t="s">
        <v>5803</v>
      </c>
      <c r="C693" t="s">
        <v>5804</v>
      </c>
      <c r="D693" t="s">
        <v>3505</v>
      </c>
      <c r="E693" s="9">
        <v>45851</v>
      </c>
      <c r="F693" s="9">
        <v>45905</v>
      </c>
      <c r="G693" t="s">
        <v>45</v>
      </c>
      <c r="H693" t="s">
        <v>46</v>
      </c>
      <c r="I693" t="s">
        <v>90</v>
      </c>
      <c r="J693" t="s">
        <v>154</v>
      </c>
      <c r="K693" t="s">
        <v>48</v>
      </c>
      <c r="L693" t="s">
        <v>386</v>
      </c>
      <c r="M693" t="s">
        <v>289</v>
      </c>
      <c r="O693" t="s">
        <v>39</v>
      </c>
      <c r="P693" t="s">
        <v>39</v>
      </c>
      <c r="Q693" t="s">
        <v>39</v>
      </c>
      <c r="R693" t="s">
        <v>41</v>
      </c>
      <c r="S693" t="s">
        <v>40</v>
      </c>
      <c r="T693" t="s">
        <v>41</v>
      </c>
      <c r="U693" t="s">
        <v>39</v>
      </c>
      <c r="V693" t="s">
        <v>39</v>
      </c>
      <c r="W693" t="s">
        <v>39</v>
      </c>
      <c r="AB693" t="s">
        <v>5805</v>
      </c>
      <c r="AC693" t="s">
        <v>5806</v>
      </c>
      <c r="AD693" t="s">
        <v>5807</v>
      </c>
    </row>
    <row r="694" spans="1:31" x14ac:dyDescent="0.2">
      <c r="A694">
        <v>45189331</v>
      </c>
      <c r="B694" t="s">
        <v>5808</v>
      </c>
      <c r="C694" t="s">
        <v>5809</v>
      </c>
      <c r="D694" t="s">
        <v>3505</v>
      </c>
      <c r="E694" s="9">
        <v>45851</v>
      </c>
      <c r="F694" s="9">
        <v>45869</v>
      </c>
      <c r="G694" t="s">
        <v>33</v>
      </c>
      <c r="H694" t="s">
        <v>34</v>
      </c>
      <c r="J694" t="s">
        <v>225</v>
      </c>
      <c r="K694" t="s">
        <v>48</v>
      </c>
      <c r="L694" t="s">
        <v>49</v>
      </c>
      <c r="N694" t="s">
        <v>38</v>
      </c>
      <c r="O694" t="s">
        <v>40</v>
      </c>
      <c r="P694" t="s">
        <v>39</v>
      </c>
      <c r="Q694" t="s">
        <v>39</v>
      </c>
      <c r="R694" t="s">
        <v>40</v>
      </c>
      <c r="S694" t="s">
        <v>41</v>
      </c>
      <c r="T694" t="s">
        <v>41</v>
      </c>
      <c r="U694" t="s">
        <v>39</v>
      </c>
      <c r="V694" t="s">
        <v>40</v>
      </c>
      <c r="W694" t="s">
        <v>40</v>
      </c>
      <c r="AB694" t="s">
        <v>5810</v>
      </c>
    </row>
    <row r="695" spans="1:31" x14ac:dyDescent="0.2">
      <c r="A695">
        <v>45204856</v>
      </c>
      <c r="B695" t="s">
        <v>201</v>
      </c>
      <c r="C695" t="s">
        <v>202</v>
      </c>
      <c r="D695" t="s">
        <v>32</v>
      </c>
      <c r="E695" s="9">
        <v>45853</v>
      </c>
      <c r="G695" t="s">
        <v>45</v>
      </c>
      <c r="H695" t="s">
        <v>96</v>
      </c>
      <c r="J695" t="s">
        <v>203</v>
      </c>
      <c r="K695" t="s">
        <v>48</v>
      </c>
      <c r="L695" t="s">
        <v>49</v>
      </c>
      <c r="M695" t="s">
        <v>50</v>
      </c>
      <c r="O695" t="s">
        <v>39</v>
      </c>
      <c r="P695" t="s">
        <v>39</v>
      </c>
      <c r="Q695" t="s">
        <v>39</v>
      </c>
      <c r="R695" t="s">
        <v>39</v>
      </c>
      <c r="S695" t="s">
        <v>40</v>
      </c>
      <c r="T695" t="s">
        <v>41</v>
      </c>
      <c r="U695" t="s">
        <v>39</v>
      </c>
      <c r="V695" t="s">
        <v>39</v>
      </c>
      <c r="W695" t="s">
        <v>40</v>
      </c>
      <c r="X695" t="s">
        <v>1420</v>
      </c>
      <c r="AB695" t="s">
        <v>204</v>
      </c>
      <c r="AC695" t="s">
        <v>205</v>
      </c>
      <c r="AD695" t="s">
        <v>206</v>
      </c>
      <c r="AE695" t="s">
        <v>207</v>
      </c>
    </row>
    <row r="696" spans="1:31" x14ac:dyDescent="0.2">
      <c r="A696">
        <v>45309846</v>
      </c>
      <c r="B696" t="s">
        <v>5811</v>
      </c>
      <c r="C696" t="s">
        <v>5812</v>
      </c>
      <c r="D696" t="s">
        <v>3505</v>
      </c>
      <c r="E696" s="9">
        <v>45862</v>
      </c>
      <c r="F696" s="9">
        <v>45927</v>
      </c>
      <c r="G696" t="s">
        <v>33</v>
      </c>
      <c r="H696" t="s">
        <v>34</v>
      </c>
      <c r="J696" t="s">
        <v>234</v>
      </c>
      <c r="K696" t="s">
        <v>48</v>
      </c>
      <c r="L696" t="s">
        <v>37</v>
      </c>
      <c r="N696" t="s">
        <v>38</v>
      </c>
      <c r="O696" t="s">
        <v>40</v>
      </c>
      <c r="P696" t="s">
        <v>41</v>
      </c>
      <c r="Q696" t="s">
        <v>39</v>
      </c>
      <c r="R696" t="s">
        <v>40</v>
      </c>
      <c r="S696" t="s">
        <v>41</v>
      </c>
      <c r="T696" t="s">
        <v>41</v>
      </c>
      <c r="U696" t="s">
        <v>39</v>
      </c>
      <c r="V696" t="s">
        <v>40</v>
      </c>
      <c r="W696" t="s">
        <v>39</v>
      </c>
      <c r="AB696" t="s">
        <v>5813</v>
      </c>
      <c r="AC696" t="s">
        <v>5814</v>
      </c>
    </row>
    <row r="697" spans="1:31" x14ac:dyDescent="0.2">
      <c r="A697">
        <v>45309880</v>
      </c>
      <c r="B697" t="s">
        <v>5815</v>
      </c>
      <c r="C697" t="s">
        <v>3744</v>
      </c>
      <c r="D697" t="s">
        <v>3505</v>
      </c>
      <c r="E697" s="9">
        <v>45862</v>
      </c>
      <c r="F697" s="9">
        <v>45879</v>
      </c>
      <c r="G697" t="s">
        <v>33</v>
      </c>
      <c r="H697" t="s">
        <v>34</v>
      </c>
      <c r="J697" t="s">
        <v>303</v>
      </c>
      <c r="K697" t="s">
        <v>48</v>
      </c>
      <c r="L697" t="s">
        <v>49</v>
      </c>
      <c r="N697" t="s">
        <v>38</v>
      </c>
      <c r="O697" t="s">
        <v>40</v>
      </c>
      <c r="P697" t="s">
        <v>39</v>
      </c>
      <c r="Q697" t="s">
        <v>39</v>
      </c>
      <c r="R697" t="s">
        <v>40</v>
      </c>
      <c r="S697" t="s">
        <v>41</v>
      </c>
      <c r="T697" t="s">
        <v>41</v>
      </c>
      <c r="U697" t="s">
        <v>39</v>
      </c>
      <c r="V697" t="s">
        <v>40</v>
      </c>
      <c r="W697" t="s">
        <v>39</v>
      </c>
      <c r="AB697" t="s">
        <v>5816</v>
      </c>
      <c r="AC697" t="s">
        <v>5817</v>
      </c>
    </row>
    <row r="698" spans="1:31" x14ac:dyDescent="0.2">
      <c r="A698">
        <v>45310104</v>
      </c>
      <c r="B698" t="s">
        <v>5818</v>
      </c>
      <c r="C698" t="s">
        <v>5819</v>
      </c>
      <c r="D698" t="s">
        <v>3505</v>
      </c>
      <c r="E698" s="9">
        <v>45862</v>
      </c>
      <c r="F698" s="9">
        <v>45866</v>
      </c>
      <c r="G698" t="s">
        <v>33</v>
      </c>
      <c r="H698" t="s">
        <v>34</v>
      </c>
      <c r="J698" t="s">
        <v>234</v>
      </c>
      <c r="K698" t="s">
        <v>48</v>
      </c>
      <c r="L698" t="s">
        <v>164</v>
      </c>
      <c r="N698" t="s">
        <v>38</v>
      </c>
      <c r="O698" t="s">
        <v>40</v>
      </c>
      <c r="P698" t="s">
        <v>39</v>
      </c>
      <c r="Q698" t="s">
        <v>39</v>
      </c>
      <c r="R698" t="s">
        <v>40</v>
      </c>
      <c r="S698" t="s">
        <v>41</v>
      </c>
      <c r="T698" t="s">
        <v>41</v>
      </c>
      <c r="U698" t="s">
        <v>39</v>
      </c>
      <c r="V698" t="s">
        <v>40</v>
      </c>
      <c r="W698" t="s">
        <v>39</v>
      </c>
      <c r="AB698" t="s">
        <v>5820</v>
      </c>
      <c r="AC698" t="s">
        <v>5821</v>
      </c>
    </row>
    <row r="699" spans="1:31" x14ac:dyDescent="0.2">
      <c r="A699">
        <v>45310124</v>
      </c>
      <c r="B699" t="s">
        <v>5822</v>
      </c>
      <c r="C699" t="s">
        <v>5823</v>
      </c>
      <c r="D699" t="s">
        <v>3505</v>
      </c>
      <c r="E699" s="9">
        <v>45862</v>
      </c>
      <c r="F699" s="9">
        <v>45906</v>
      </c>
      <c r="G699" t="s">
        <v>33</v>
      </c>
      <c r="H699" t="s">
        <v>34</v>
      </c>
      <c r="J699" t="s">
        <v>211</v>
      </c>
      <c r="K699" t="s">
        <v>36</v>
      </c>
      <c r="L699" t="s">
        <v>164</v>
      </c>
      <c r="N699" t="s">
        <v>38</v>
      </c>
      <c r="O699" t="s">
        <v>40</v>
      </c>
      <c r="P699" t="s">
        <v>41</v>
      </c>
      <c r="Q699" t="s">
        <v>39</v>
      </c>
      <c r="R699" t="s">
        <v>40</v>
      </c>
      <c r="S699" t="s">
        <v>41</v>
      </c>
      <c r="T699" t="s">
        <v>41</v>
      </c>
      <c r="U699" t="s">
        <v>39</v>
      </c>
      <c r="V699" t="s">
        <v>40</v>
      </c>
      <c r="W699" t="s">
        <v>39</v>
      </c>
      <c r="AB699" t="s">
        <v>5824</v>
      </c>
      <c r="AC699" t="s">
        <v>5825</v>
      </c>
    </row>
    <row r="700" spans="1:31" x14ac:dyDescent="0.2">
      <c r="A700">
        <v>45310149</v>
      </c>
      <c r="B700" t="s">
        <v>5826</v>
      </c>
      <c r="C700" t="s">
        <v>5827</v>
      </c>
      <c r="D700" t="s">
        <v>3505</v>
      </c>
      <c r="E700" s="9">
        <v>45862</v>
      </c>
      <c r="F700" s="9">
        <v>45905</v>
      </c>
      <c r="G700" t="s">
        <v>33</v>
      </c>
      <c r="H700" t="s">
        <v>34</v>
      </c>
      <c r="J700" t="s">
        <v>211</v>
      </c>
      <c r="K700" t="s">
        <v>48</v>
      </c>
      <c r="L700" t="s">
        <v>164</v>
      </c>
      <c r="N700" t="s">
        <v>38</v>
      </c>
      <c r="O700" t="s">
        <v>40</v>
      </c>
      <c r="P700" t="s">
        <v>39</v>
      </c>
      <c r="Q700" t="s">
        <v>39</v>
      </c>
      <c r="R700" t="s">
        <v>40</v>
      </c>
      <c r="S700" t="s">
        <v>41</v>
      </c>
      <c r="T700" t="s">
        <v>41</v>
      </c>
      <c r="U700" t="s">
        <v>39</v>
      </c>
      <c r="V700" t="s">
        <v>40</v>
      </c>
      <c r="W700" t="s">
        <v>39</v>
      </c>
      <c r="AB700" t="s">
        <v>5828</v>
      </c>
    </row>
    <row r="701" spans="1:31" x14ac:dyDescent="0.2">
      <c r="A701">
        <v>45310169</v>
      </c>
      <c r="B701" t="s">
        <v>5829</v>
      </c>
      <c r="C701" t="s">
        <v>5830</v>
      </c>
      <c r="D701" t="s">
        <v>3505</v>
      </c>
      <c r="E701" s="9">
        <v>45862</v>
      </c>
      <c r="F701" s="9">
        <v>45866</v>
      </c>
      <c r="G701" t="s">
        <v>33</v>
      </c>
      <c r="H701" t="s">
        <v>34</v>
      </c>
      <c r="J701" t="s">
        <v>211</v>
      </c>
      <c r="K701" t="s">
        <v>48</v>
      </c>
      <c r="L701" t="s">
        <v>164</v>
      </c>
      <c r="N701" t="s">
        <v>38</v>
      </c>
      <c r="O701" t="s">
        <v>40</v>
      </c>
      <c r="P701" t="s">
        <v>39</v>
      </c>
      <c r="Q701" t="s">
        <v>39</v>
      </c>
      <c r="R701" t="s">
        <v>40</v>
      </c>
      <c r="S701" t="s">
        <v>41</v>
      </c>
      <c r="T701" t="s">
        <v>41</v>
      </c>
      <c r="U701" t="s">
        <v>39</v>
      </c>
      <c r="V701" t="s">
        <v>40</v>
      </c>
      <c r="W701" t="s">
        <v>39</v>
      </c>
      <c r="AB701" t="s">
        <v>5831</v>
      </c>
    </row>
    <row r="702" spans="1:31" x14ac:dyDescent="0.2">
      <c r="A702">
        <v>45310199</v>
      </c>
      <c r="B702" t="s">
        <v>5832</v>
      </c>
      <c r="C702" t="s">
        <v>5833</v>
      </c>
      <c r="D702" t="s">
        <v>3505</v>
      </c>
      <c r="E702" s="9">
        <v>45862</v>
      </c>
      <c r="F702" s="9">
        <v>45891</v>
      </c>
      <c r="G702" t="s">
        <v>33</v>
      </c>
      <c r="H702" t="s">
        <v>34</v>
      </c>
      <c r="J702" t="s">
        <v>211</v>
      </c>
      <c r="K702" t="s">
        <v>48</v>
      </c>
      <c r="L702" t="s">
        <v>164</v>
      </c>
      <c r="N702" t="s">
        <v>38</v>
      </c>
      <c r="O702" t="s">
        <v>40</v>
      </c>
      <c r="P702" t="s">
        <v>39</v>
      </c>
      <c r="Q702" t="s">
        <v>39</v>
      </c>
      <c r="R702" t="s">
        <v>40</v>
      </c>
      <c r="S702" t="s">
        <v>41</v>
      </c>
      <c r="T702" t="s">
        <v>41</v>
      </c>
      <c r="U702" t="s">
        <v>39</v>
      </c>
      <c r="V702" t="s">
        <v>40</v>
      </c>
      <c r="W702" t="s">
        <v>39</v>
      </c>
      <c r="AB702" t="s">
        <v>5834</v>
      </c>
    </row>
    <row r="703" spans="1:31" x14ac:dyDescent="0.2">
      <c r="A703">
        <v>45310219</v>
      </c>
      <c r="B703" t="s">
        <v>5835</v>
      </c>
      <c r="C703" t="s">
        <v>5836</v>
      </c>
      <c r="D703" t="s">
        <v>3505</v>
      </c>
      <c r="E703" s="9">
        <v>45862</v>
      </c>
      <c r="F703" s="9">
        <v>45905</v>
      </c>
      <c r="G703" t="s">
        <v>33</v>
      </c>
      <c r="H703" t="s">
        <v>34</v>
      </c>
      <c r="J703" t="s">
        <v>225</v>
      </c>
      <c r="K703" t="s">
        <v>36</v>
      </c>
      <c r="L703" t="s">
        <v>164</v>
      </c>
      <c r="N703" t="s">
        <v>38</v>
      </c>
      <c r="O703" t="s">
        <v>40</v>
      </c>
      <c r="P703" t="s">
        <v>39</v>
      </c>
      <c r="Q703" t="s">
        <v>39</v>
      </c>
      <c r="R703" t="s">
        <v>40</v>
      </c>
      <c r="S703" t="s">
        <v>41</v>
      </c>
      <c r="T703" t="s">
        <v>41</v>
      </c>
      <c r="U703" t="s">
        <v>39</v>
      </c>
      <c r="V703" t="s">
        <v>40</v>
      </c>
      <c r="W703" t="s">
        <v>39</v>
      </c>
      <c r="AB703" t="s">
        <v>5837</v>
      </c>
    </row>
    <row r="704" spans="1:31" x14ac:dyDescent="0.2">
      <c r="A704">
        <v>45310805</v>
      </c>
      <c r="B704" t="s">
        <v>5838</v>
      </c>
      <c r="C704" t="s">
        <v>5839</v>
      </c>
      <c r="D704" t="s">
        <v>3505</v>
      </c>
      <c r="E704" s="9">
        <v>45862</v>
      </c>
      <c r="F704" s="9">
        <v>45891</v>
      </c>
      <c r="G704" t="s">
        <v>33</v>
      </c>
      <c r="H704" t="s">
        <v>210</v>
      </c>
      <c r="J704" t="s">
        <v>211</v>
      </c>
      <c r="K704" t="s">
        <v>48</v>
      </c>
      <c r="L704" t="s">
        <v>164</v>
      </c>
      <c r="N704" t="s">
        <v>38</v>
      </c>
      <c r="O704" t="s">
        <v>40</v>
      </c>
      <c r="P704" t="s">
        <v>41</v>
      </c>
      <c r="Q704" t="s">
        <v>39</v>
      </c>
      <c r="R704" t="s">
        <v>40</v>
      </c>
      <c r="S704" t="s">
        <v>41</v>
      </c>
      <c r="T704" t="s">
        <v>41</v>
      </c>
      <c r="U704" t="s">
        <v>39</v>
      </c>
      <c r="V704" t="s">
        <v>40</v>
      </c>
      <c r="W704" t="s">
        <v>39</v>
      </c>
      <c r="AB704" t="s">
        <v>5840</v>
      </c>
      <c r="AC704" t="s">
        <v>5841</v>
      </c>
    </row>
    <row r="705" spans="1:31" x14ac:dyDescent="0.2">
      <c r="A705">
        <v>45310819</v>
      </c>
      <c r="B705" t="s">
        <v>5842</v>
      </c>
      <c r="C705" t="s">
        <v>5843</v>
      </c>
      <c r="D705" t="s">
        <v>3505</v>
      </c>
      <c r="E705" s="9">
        <v>45862</v>
      </c>
      <c r="F705" s="9">
        <v>45887</v>
      </c>
      <c r="G705" t="s">
        <v>33</v>
      </c>
      <c r="H705" t="s">
        <v>242</v>
      </c>
      <c r="J705" t="s">
        <v>3501</v>
      </c>
      <c r="K705" t="s">
        <v>48</v>
      </c>
      <c r="L705" t="s">
        <v>164</v>
      </c>
      <c r="N705" t="s">
        <v>235</v>
      </c>
      <c r="O705" t="s">
        <v>40</v>
      </c>
      <c r="P705" t="s">
        <v>39</v>
      </c>
      <c r="Q705" t="s">
        <v>39</v>
      </c>
      <c r="R705" t="s">
        <v>40</v>
      </c>
      <c r="S705" t="s">
        <v>41</v>
      </c>
      <c r="T705" t="s">
        <v>41</v>
      </c>
      <c r="U705" t="s">
        <v>39</v>
      </c>
      <c r="V705" t="s">
        <v>40</v>
      </c>
      <c r="W705" t="s">
        <v>39</v>
      </c>
      <c r="AB705" t="s">
        <v>5844</v>
      </c>
    </row>
    <row r="706" spans="1:31" x14ac:dyDescent="0.2">
      <c r="A706">
        <v>45310828</v>
      </c>
      <c r="B706" t="s">
        <v>5845</v>
      </c>
      <c r="C706" t="s">
        <v>5846</v>
      </c>
      <c r="D706" t="s">
        <v>3505</v>
      </c>
      <c r="E706" s="9">
        <v>45862</v>
      </c>
      <c r="F706" s="9">
        <v>45866</v>
      </c>
      <c r="G706" t="s">
        <v>33</v>
      </c>
      <c r="H706" t="s">
        <v>34</v>
      </c>
      <c r="J706" t="s">
        <v>4157</v>
      </c>
      <c r="K706" t="s">
        <v>36</v>
      </c>
      <c r="L706" t="s">
        <v>164</v>
      </c>
      <c r="N706" t="s">
        <v>38</v>
      </c>
      <c r="O706" t="s">
        <v>40</v>
      </c>
      <c r="P706" t="s">
        <v>39</v>
      </c>
      <c r="Q706" t="s">
        <v>39</v>
      </c>
      <c r="R706" t="s">
        <v>40</v>
      </c>
      <c r="S706" t="s">
        <v>41</v>
      </c>
      <c r="T706" t="s">
        <v>41</v>
      </c>
      <c r="U706" t="s">
        <v>39</v>
      </c>
      <c r="V706" t="s">
        <v>40</v>
      </c>
      <c r="W706" t="s">
        <v>39</v>
      </c>
      <c r="AB706" t="s">
        <v>5847</v>
      </c>
    </row>
    <row r="707" spans="1:31" x14ac:dyDescent="0.2">
      <c r="A707">
        <v>45310837</v>
      </c>
      <c r="B707" t="s">
        <v>208</v>
      </c>
      <c r="C707" t="s">
        <v>209</v>
      </c>
      <c r="D707" t="s">
        <v>32</v>
      </c>
      <c r="E707" s="9">
        <v>45862</v>
      </c>
      <c r="G707" t="s">
        <v>33</v>
      </c>
      <c r="H707" t="s">
        <v>210</v>
      </c>
      <c r="J707" t="s">
        <v>211</v>
      </c>
      <c r="K707" t="s">
        <v>48</v>
      </c>
      <c r="L707" t="s">
        <v>164</v>
      </c>
      <c r="N707" t="s">
        <v>38</v>
      </c>
      <c r="O707" t="s">
        <v>40</v>
      </c>
      <c r="P707" t="s">
        <v>39</v>
      </c>
      <c r="Q707" t="s">
        <v>39</v>
      </c>
      <c r="R707" t="s">
        <v>40</v>
      </c>
      <c r="S707" t="s">
        <v>41</v>
      </c>
      <c r="T707" t="s">
        <v>41</v>
      </c>
      <c r="U707" t="s">
        <v>39</v>
      </c>
      <c r="V707" t="s">
        <v>40</v>
      </c>
      <c r="W707" t="s">
        <v>39</v>
      </c>
      <c r="X707" t="s">
        <v>1224</v>
      </c>
      <c r="AB707" t="s">
        <v>212</v>
      </c>
      <c r="AC707" t="s">
        <v>1225</v>
      </c>
      <c r="AD707" t="s">
        <v>1226</v>
      </c>
    </row>
    <row r="708" spans="1:31" x14ac:dyDescent="0.2">
      <c r="A708">
        <v>45345872</v>
      </c>
      <c r="B708" t="s">
        <v>5848</v>
      </c>
      <c r="C708" t="s">
        <v>5849</v>
      </c>
      <c r="D708" t="s">
        <v>3505</v>
      </c>
      <c r="E708" s="9">
        <v>45866</v>
      </c>
      <c r="F708" s="9">
        <v>45923</v>
      </c>
      <c r="G708" t="s">
        <v>45</v>
      </c>
      <c r="H708" t="s">
        <v>46</v>
      </c>
      <c r="I708" t="s">
        <v>53</v>
      </c>
      <c r="J708" t="s">
        <v>154</v>
      </c>
      <c r="K708" t="s">
        <v>36</v>
      </c>
      <c r="L708" t="s">
        <v>49</v>
      </c>
      <c r="M708" t="s">
        <v>50</v>
      </c>
      <c r="O708" t="s">
        <v>39</v>
      </c>
      <c r="P708" t="s">
        <v>39</v>
      </c>
      <c r="Q708" t="s">
        <v>39</v>
      </c>
      <c r="R708" t="s">
        <v>39</v>
      </c>
      <c r="S708" t="s">
        <v>40</v>
      </c>
      <c r="T708" t="s">
        <v>41</v>
      </c>
      <c r="U708" t="s">
        <v>39</v>
      </c>
      <c r="V708" t="s">
        <v>39</v>
      </c>
      <c r="W708" t="s">
        <v>39</v>
      </c>
      <c r="X708" t="s">
        <v>5850</v>
      </c>
      <c r="AB708" t="s">
        <v>5851</v>
      </c>
      <c r="AC708" t="s">
        <v>5852</v>
      </c>
      <c r="AD708" t="s">
        <v>5853</v>
      </c>
      <c r="AE708" t="s">
        <v>5854</v>
      </c>
    </row>
    <row r="709" spans="1:31" x14ac:dyDescent="0.2">
      <c r="A709">
        <v>45346134</v>
      </c>
      <c r="B709" t="s">
        <v>625</v>
      </c>
      <c r="C709" t="s">
        <v>5855</v>
      </c>
      <c r="D709" t="s">
        <v>3500</v>
      </c>
      <c r="E709" s="9">
        <v>45866</v>
      </c>
      <c r="G709" t="s">
        <v>45</v>
      </c>
      <c r="H709" t="s">
        <v>90</v>
      </c>
      <c r="I709" t="s">
        <v>96</v>
      </c>
      <c r="J709" t="s">
        <v>47</v>
      </c>
      <c r="K709" t="s">
        <v>36</v>
      </c>
      <c r="L709" t="s">
        <v>37</v>
      </c>
      <c r="M709" t="s">
        <v>50</v>
      </c>
      <c r="O709" t="s">
        <v>39</v>
      </c>
      <c r="P709" t="s">
        <v>41</v>
      </c>
      <c r="Q709" t="s">
        <v>39</v>
      </c>
      <c r="R709" t="s">
        <v>41</v>
      </c>
      <c r="S709" t="s">
        <v>40</v>
      </c>
      <c r="T709" t="s">
        <v>41</v>
      </c>
      <c r="U709" t="s">
        <v>39</v>
      </c>
      <c r="V709" t="s">
        <v>40</v>
      </c>
      <c r="W709" t="s">
        <v>40</v>
      </c>
      <c r="AB709" t="s">
        <v>5856</v>
      </c>
      <c r="AC709" t="s">
        <v>5857</v>
      </c>
      <c r="AD709" t="s">
        <v>5858</v>
      </c>
    </row>
    <row r="710" spans="1:31" x14ac:dyDescent="0.2">
      <c r="A710">
        <v>45345832</v>
      </c>
      <c r="B710" t="s">
        <v>213</v>
      </c>
      <c r="C710" t="s">
        <v>214</v>
      </c>
      <c r="D710" t="s">
        <v>32</v>
      </c>
      <c r="E710" s="9">
        <v>45866</v>
      </c>
      <c r="G710" t="s">
        <v>45</v>
      </c>
      <c r="H710" t="s">
        <v>46</v>
      </c>
      <c r="I710" t="s">
        <v>90</v>
      </c>
      <c r="J710" t="s">
        <v>60</v>
      </c>
      <c r="K710" t="s">
        <v>36</v>
      </c>
      <c r="L710" t="s">
        <v>37</v>
      </c>
      <c r="M710" t="s">
        <v>50</v>
      </c>
      <c r="O710" t="s">
        <v>39</v>
      </c>
      <c r="P710" t="s">
        <v>39</v>
      </c>
      <c r="Q710" t="s">
        <v>39</v>
      </c>
      <c r="R710" t="s">
        <v>41</v>
      </c>
      <c r="S710" t="s">
        <v>40</v>
      </c>
      <c r="T710" t="s">
        <v>41</v>
      </c>
      <c r="U710" t="s">
        <v>39</v>
      </c>
      <c r="V710" t="s">
        <v>39</v>
      </c>
      <c r="W710" t="s">
        <v>40</v>
      </c>
      <c r="X710" t="s">
        <v>215</v>
      </c>
      <c r="AB710" t="s">
        <v>216</v>
      </c>
      <c r="AC710" t="s">
        <v>217</v>
      </c>
      <c r="AD710" t="s">
        <v>218</v>
      </c>
      <c r="AE710" t="s">
        <v>219</v>
      </c>
    </row>
    <row r="711" spans="1:31" x14ac:dyDescent="0.2">
      <c r="A711">
        <v>45345861</v>
      </c>
      <c r="B711" t="s">
        <v>5859</v>
      </c>
      <c r="C711" t="s">
        <v>5860</v>
      </c>
      <c r="D711" t="s">
        <v>3505</v>
      </c>
      <c r="E711" s="9">
        <v>45866</v>
      </c>
      <c r="F711" s="9">
        <v>45886</v>
      </c>
      <c r="G711" t="s">
        <v>45</v>
      </c>
      <c r="H711" t="s">
        <v>105</v>
      </c>
      <c r="J711" t="s">
        <v>112</v>
      </c>
      <c r="K711" t="s">
        <v>48</v>
      </c>
      <c r="L711" t="s">
        <v>49</v>
      </c>
      <c r="M711" t="s">
        <v>50</v>
      </c>
      <c r="O711" t="s">
        <v>39</v>
      </c>
      <c r="P711" t="s">
        <v>41</v>
      </c>
      <c r="Q711" t="s">
        <v>39</v>
      </c>
      <c r="R711" t="s">
        <v>41</v>
      </c>
      <c r="S711" t="s">
        <v>40</v>
      </c>
      <c r="T711" t="s">
        <v>41</v>
      </c>
      <c r="U711" t="s">
        <v>39</v>
      </c>
      <c r="V711" t="s">
        <v>39</v>
      </c>
      <c r="W711" t="s">
        <v>40</v>
      </c>
      <c r="AB711" t="s">
        <v>5861</v>
      </c>
      <c r="AC711" t="s">
        <v>5862</v>
      </c>
      <c r="AD711" t="s">
        <v>5863</v>
      </c>
    </row>
    <row r="712" spans="1:31" x14ac:dyDescent="0.2">
      <c r="A712">
        <v>45345950</v>
      </c>
      <c r="B712" t="s">
        <v>5864</v>
      </c>
      <c r="C712" t="s">
        <v>5865</v>
      </c>
      <c r="D712" t="s">
        <v>3505</v>
      </c>
      <c r="E712" s="9">
        <v>45866</v>
      </c>
      <c r="F712" s="9">
        <v>45870</v>
      </c>
      <c r="G712" t="s">
        <v>45</v>
      </c>
      <c r="H712" t="s">
        <v>96</v>
      </c>
      <c r="J712" t="s">
        <v>60</v>
      </c>
      <c r="K712" t="s">
        <v>36</v>
      </c>
      <c r="L712" t="s">
        <v>386</v>
      </c>
      <c r="M712" t="s">
        <v>289</v>
      </c>
      <c r="O712" t="s">
        <v>39</v>
      </c>
      <c r="P712" t="s">
        <v>39</v>
      </c>
      <c r="Q712" t="s">
        <v>39</v>
      </c>
      <c r="R712" t="s">
        <v>41</v>
      </c>
      <c r="S712" t="s">
        <v>40</v>
      </c>
      <c r="T712" t="s">
        <v>41</v>
      </c>
      <c r="U712" t="s">
        <v>39</v>
      </c>
      <c r="V712" t="s">
        <v>39</v>
      </c>
      <c r="W712" t="s">
        <v>39</v>
      </c>
      <c r="AB712" t="s">
        <v>5866</v>
      </c>
      <c r="AC712" t="s">
        <v>5867</v>
      </c>
      <c r="AD712" t="s">
        <v>5868</v>
      </c>
      <c r="AE712" t="s">
        <v>5869</v>
      </c>
    </row>
    <row r="713" spans="1:31" x14ac:dyDescent="0.2">
      <c r="A713">
        <v>45346340</v>
      </c>
      <c r="B713" t="s">
        <v>5870</v>
      </c>
      <c r="C713" t="s">
        <v>5871</v>
      </c>
      <c r="D713" t="s">
        <v>3505</v>
      </c>
      <c r="E713" s="9">
        <v>45866</v>
      </c>
      <c r="F713" s="9">
        <v>45877</v>
      </c>
      <c r="G713" t="s">
        <v>33</v>
      </c>
      <c r="H713" t="s">
        <v>34</v>
      </c>
      <c r="J713" t="s">
        <v>234</v>
      </c>
      <c r="K713" t="s">
        <v>36</v>
      </c>
      <c r="L713" t="s">
        <v>164</v>
      </c>
      <c r="N713" t="s">
        <v>38</v>
      </c>
      <c r="O713" t="s">
        <v>40</v>
      </c>
      <c r="P713" t="s">
        <v>39</v>
      </c>
      <c r="Q713" t="s">
        <v>39</v>
      </c>
      <c r="R713" t="s">
        <v>40</v>
      </c>
      <c r="S713" t="s">
        <v>41</v>
      </c>
      <c r="T713" t="s">
        <v>41</v>
      </c>
      <c r="U713" t="s">
        <v>39</v>
      </c>
      <c r="V713" t="s">
        <v>40</v>
      </c>
      <c r="W713" t="s">
        <v>39</v>
      </c>
      <c r="AB713" t="s">
        <v>5872</v>
      </c>
      <c r="AC713" t="s">
        <v>5873</v>
      </c>
    </row>
    <row r="714" spans="1:31" x14ac:dyDescent="0.2">
      <c r="A714">
        <v>45346358</v>
      </c>
      <c r="B714" t="s">
        <v>5874</v>
      </c>
      <c r="C714" t="s">
        <v>5875</v>
      </c>
      <c r="D714" t="s">
        <v>3505</v>
      </c>
      <c r="E714" s="9">
        <v>45866</v>
      </c>
      <c r="F714" s="9">
        <v>45913</v>
      </c>
      <c r="G714" t="s">
        <v>33</v>
      </c>
      <c r="H714" t="s">
        <v>34</v>
      </c>
      <c r="J714" t="s">
        <v>225</v>
      </c>
      <c r="K714" t="s">
        <v>36</v>
      </c>
      <c r="L714" t="s">
        <v>164</v>
      </c>
      <c r="N714" t="s">
        <v>38</v>
      </c>
      <c r="O714" t="s">
        <v>40</v>
      </c>
      <c r="P714" t="s">
        <v>39</v>
      </c>
      <c r="Q714" t="s">
        <v>39</v>
      </c>
      <c r="R714" t="s">
        <v>40</v>
      </c>
      <c r="S714" t="s">
        <v>41</v>
      </c>
      <c r="T714" t="s">
        <v>41</v>
      </c>
      <c r="U714" t="s">
        <v>39</v>
      </c>
      <c r="V714" t="s">
        <v>40</v>
      </c>
      <c r="W714" t="s">
        <v>39</v>
      </c>
      <c r="AB714" t="s">
        <v>5876</v>
      </c>
      <c r="AC714" t="s">
        <v>5877</v>
      </c>
    </row>
    <row r="715" spans="1:31" x14ac:dyDescent="0.2">
      <c r="A715">
        <v>45346565</v>
      </c>
      <c r="B715" t="s">
        <v>5878</v>
      </c>
      <c r="C715" t="s">
        <v>5879</v>
      </c>
      <c r="D715" t="s">
        <v>3505</v>
      </c>
      <c r="E715" s="9">
        <v>45866</v>
      </c>
      <c r="F715" s="9">
        <v>45913</v>
      </c>
      <c r="G715" t="s">
        <v>33</v>
      </c>
      <c r="H715" t="s">
        <v>34</v>
      </c>
      <c r="J715" t="s">
        <v>211</v>
      </c>
      <c r="K715" t="s">
        <v>36</v>
      </c>
      <c r="L715" t="s">
        <v>164</v>
      </c>
      <c r="N715" t="s">
        <v>38</v>
      </c>
      <c r="O715" t="s">
        <v>40</v>
      </c>
      <c r="P715" t="s">
        <v>39</v>
      </c>
      <c r="Q715" t="s">
        <v>39</v>
      </c>
      <c r="R715" t="s">
        <v>40</v>
      </c>
      <c r="S715" t="s">
        <v>41</v>
      </c>
      <c r="T715" t="s">
        <v>41</v>
      </c>
      <c r="U715" t="s">
        <v>39</v>
      </c>
      <c r="V715" t="s">
        <v>40</v>
      </c>
      <c r="W715" t="s">
        <v>39</v>
      </c>
      <c r="AB715" t="s">
        <v>5880</v>
      </c>
      <c r="AC715" t="s">
        <v>5881</v>
      </c>
    </row>
    <row r="716" spans="1:31" x14ac:dyDescent="0.2">
      <c r="A716">
        <v>45346576</v>
      </c>
      <c r="B716" t="s">
        <v>5882</v>
      </c>
      <c r="C716" t="s">
        <v>5883</v>
      </c>
      <c r="D716" t="s">
        <v>3505</v>
      </c>
      <c r="E716" s="9">
        <v>45866</v>
      </c>
      <c r="F716" s="9">
        <v>45893</v>
      </c>
      <c r="G716" t="s">
        <v>33</v>
      </c>
      <c r="H716" t="s">
        <v>210</v>
      </c>
      <c r="J716" t="s">
        <v>222</v>
      </c>
      <c r="K716" t="s">
        <v>36</v>
      </c>
      <c r="L716" t="s">
        <v>164</v>
      </c>
      <c r="N716" t="s">
        <v>38</v>
      </c>
      <c r="O716" t="s">
        <v>40</v>
      </c>
      <c r="P716" t="s">
        <v>39</v>
      </c>
      <c r="Q716" t="s">
        <v>39</v>
      </c>
      <c r="R716" t="s">
        <v>40</v>
      </c>
      <c r="S716" t="s">
        <v>41</v>
      </c>
      <c r="T716" t="s">
        <v>41</v>
      </c>
      <c r="U716" t="s">
        <v>39</v>
      </c>
      <c r="V716" t="s">
        <v>40</v>
      </c>
      <c r="W716" t="s">
        <v>39</v>
      </c>
      <c r="AB716" t="s">
        <v>5884</v>
      </c>
      <c r="AC716" t="s">
        <v>5885</v>
      </c>
    </row>
    <row r="717" spans="1:31" x14ac:dyDescent="0.2">
      <c r="A717">
        <v>45346587</v>
      </c>
      <c r="B717" t="s">
        <v>5886</v>
      </c>
      <c r="C717" t="s">
        <v>5887</v>
      </c>
      <c r="D717" t="s">
        <v>3505</v>
      </c>
      <c r="E717" s="9">
        <v>45866</v>
      </c>
      <c r="F717" s="9">
        <v>45913</v>
      </c>
      <c r="G717" t="s">
        <v>33</v>
      </c>
      <c r="H717" t="s">
        <v>34</v>
      </c>
      <c r="J717" t="s">
        <v>211</v>
      </c>
      <c r="K717" t="s">
        <v>48</v>
      </c>
      <c r="L717" t="s">
        <v>164</v>
      </c>
      <c r="N717" t="s">
        <v>38</v>
      </c>
      <c r="O717" t="s">
        <v>40</v>
      </c>
      <c r="P717" t="s">
        <v>39</v>
      </c>
      <c r="Q717" t="s">
        <v>39</v>
      </c>
      <c r="R717" t="s">
        <v>40</v>
      </c>
      <c r="S717" t="s">
        <v>41</v>
      </c>
      <c r="T717" t="s">
        <v>41</v>
      </c>
      <c r="U717" t="s">
        <v>39</v>
      </c>
      <c r="V717" t="s">
        <v>40</v>
      </c>
      <c r="W717" t="s">
        <v>39</v>
      </c>
      <c r="AB717" t="s">
        <v>5888</v>
      </c>
    </row>
    <row r="718" spans="1:31" x14ac:dyDescent="0.2">
      <c r="A718">
        <v>45346592</v>
      </c>
      <c r="B718" t="s">
        <v>220</v>
      </c>
      <c r="C718" t="s">
        <v>221</v>
      </c>
      <c r="D718" t="s">
        <v>3505</v>
      </c>
      <c r="E718" s="9">
        <v>45866</v>
      </c>
      <c r="F718" s="9">
        <v>45941</v>
      </c>
      <c r="G718" t="s">
        <v>33</v>
      </c>
      <c r="H718" t="s">
        <v>210</v>
      </c>
      <c r="J718" t="s">
        <v>222</v>
      </c>
      <c r="K718" t="s">
        <v>36</v>
      </c>
      <c r="L718" t="s">
        <v>164</v>
      </c>
      <c r="N718" t="s">
        <v>38</v>
      </c>
      <c r="O718" t="s">
        <v>40</v>
      </c>
      <c r="P718" t="s">
        <v>39</v>
      </c>
      <c r="Q718" t="s">
        <v>39</v>
      </c>
      <c r="R718" t="s">
        <v>40</v>
      </c>
      <c r="S718" t="s">
        <v>41</v>
      </c>
      <c r="T718" t="s">
        <v>41</v>
      </c>
      <c r="U718" t="s">
        <v>39</v>
      </c>
      <c r="V718" t="s">
        <v>40</v>
      </c>
      <c r="W718" t="s">
        <v>39</v>
      </c>
      <c r="AB718" t="s">
        <v>5889</v>
      </c>
    </row>
    <row r="719" spans="1:31" x14ac:dyDescent="0.2">
      <c r="A719">
        <v>45346601</v>
      </c>
      <c r="B719" t="s">
        <v>5890</v>
      </c>
      <c r="C719" t="s">
        <v>5891</v>
      </c>
      <c r="D719" t="s">
        <v>3505</v>
      </c>
      <c r="E719" s="9">
        <v>45866</v>
      </c>
      <c r="F719" s="9">
        <v>45877</v>
      </c>
      <c r="G719" t="s">
        <v>33</v>
      </c>
      <c r="H719" t="s">
        <v>34</v>
      </c>
      <c r="J719" t="s">
        <v>225</v>
      </c>
      <c r="K719" t="s">
        <v>36</v>
      </c>
      <c r="L719" t="s">
        <v>164</v>
      </c>
      <c r="N719" t="s">
        <v>38</v>
      </c>
      <c r="O719" t="s">
        <v>40</v>
      </c>
      <c r="P719" t="s">
        <v>39</v>
      </c>
      <c r="Q719" t="s">
        <v>39</v>
      </c>
      <c r="R719" t="s">
        <v>40</v>
      </c>
      <c r="S719" t="s">
        <v>41</v>
      </c>
      <c r="T719" t="s">
        <v>41</v>
      </c>
      <c r="U719" t="s">
        <v>39</v>
      </c>
      <c r="V719" t="s">
        <v>40</v>
      </c>
      <c r="W719" t="s">
        <v>39</v>
      </c>
      <c r="AB719" t="s">
        <v>5892</v>
      </c>
      <c r="AC719" t="s">
        <v>5893</v>
      </c>
    </row>
    <row r="720" spans="1:31" x14ac:dyDescent="0.2">
      <c r="A720">
        <v>45345580</v>
      </c>
      <c r="B720" t="s">
        <v>5894</v>
      </c>
      <c r="C720" t="s">
        <v>4170</v>
      </c>
      <c r="D720" t="s">
        <v>3505</v>
      </c>
      <c r="E720" s="9">
        <v>45866</v>
      </c>
      <c r="F720" s="9">
        <v>45870</v>
      </c>
      <c r="G720" t="s">
        <v>45</v>
      </c>
      <c r="H720" t="s">
        <v>46</v>
      </c>
      <c r="I720" t="s">
        <v>53</v>
      </c>
      <c r="J720" t="s">
        <v>138</v>
      </c>
      <c r="K720" t="s">
        <v>36</v>
      </c>
      <c r="L720" t="s">
        <v>49</v>
      </c>
      <c r="M720" t="s">
        <v>50</v>
      </c>
      <c r="O720" t="s">
        <v>39</v>
      </c>
      <c r="P720" t="s">
        <v>39</v>
      </c>
      <c r="Q720" t="s">
        <v>39</v>
      </c>
      <c r="R720" t="s">
        <v>41</v>
      </c>
      <c r="S720" t="s">
        <v>40</v>
      </c>
      <c r="T720" t="s">
        <v>41</v>
      </c>
      <c r="U720" t="s">
        <v>39</v>
      </c>
      <c r="V720" t="s">
        <v>39</v>
      </c>
      <c r="W720" t="s">
        <v>40</v>
      </c>
      <c r="AB720" t="s">
        <v>5895</v>
      </c>
      <c r="AC720" t="s">
        <v>5896</v>
      </c>
      <c r="AD720" t="s">
        <v>5897</v>
      </c>
    </row>
    <row r="721" spans="1:31" x14ac:dyDescent="0.2">
      <c r="A721">
        <v>45345808</v>
      </c>
      <c r="B721" t="s">
        <v>5898</v>
      </c>
      <c r="C721" t="s">
        <v>4777</v>
      </c>
      <c r="D721" t="s">
        <v>3505</v>
      </c>
      <c r="E721" s="9">
        <v>45866</v>
      </c>
      <c r="F721" s="9">
        <v>45905</v>
      </c>
      <c r="G721" t="s">
        <v>45</v>
      </c>
      <c r="H721" t="s">
        <v>90</v>
      </c>
      <c r="I721" t="s">
        <v>46</v>
      </c>
      <c r="J721" t="s">
        <v>154</v>
      </c>
      <c r="K721" t="s">
        <v>36</v>
      </c>
      <c r="L721" t="s">
        <v>37</v>
      </c>
      <c r="M721" t="s">
        <v>50</v>
      </c>
      <c r="O721" t="s">
        <v>39</v>
      </c>
      <c r="P721" t="s">
        <v>39</v>
      </c>
      <c r="Q721" t="s">
        <v>39</v>
      </c>
      <c r="R721" t="s">
        <v>39</v>
      </c>
      <c r="S721" t="s">
        <v>40</v>
      </c>
      <c r="T721" t="s">
        <v>41</v>
      </c>
      <c r="U721" t="s">
        <v>39</v>
      </c>
      <c r="V721" t="s">
        <v>39</v>
      </c>
      <c r="W721" t="s">
        <v>39</v>
      </c>
      <c r="X721" t="s">
        <v>5899</v>
      </c>
      <c r="AB721" t="s">
        <v>5900</v>
      </c>
      <c r="AC721" t="s">
        <v>5901</v>
      </c>
      <c r="AD721" t="s">
        <v>5902</v>
      </c>
      <c r="AE721" t="s">
        <v>5903</v>
      </c>
    </row>
    <row r="722" spans="1:31" x14ac:dyDescent="0.2">
      <c r="A722">
        <v>45346610</v>
      </c>
      <c r="B722" t="s">
        <v>5904</v>
      </c>
      <c r="C722" t="s">
        <v>3549</v>
      </c>
      <c r="D722" t="s">
        <v>3505</v>
      </c>
      <c r="E722" s="9">
        <v>45866</v>
      </c>
      <c r="F722" s="9">
        <v>45927</v>
      </c>
      <c r="G722" t="s">
        <v>33</v>
      </c>
      <c r="H722" t="s">
        <v>34</v>
      </c>
      <c r="J722" t="s">
        <v>1245</v>
      </c>
      <c r="K722" t="s">
        <v>48</v>
      </c>
      <c r="L722" t="s">
        <v>164</v>
      </c>
      <c r="N722" t="s">
        <v>38</v>
      </c>
      <c r="O722" t="s">
        <v>40</v>
      </c>
      <c r="P722" t="s">
        <v>39</v>
      </c>
      <c r="Q722" t="s">
        <v>39</v>
      </c>
      <c r="R722" t="s">
        <v>40</v>
      </c>
      <c r="S722" t="s">
        <v>41</v>
      </c>
      <c r="T722" t="s">
        <v>41</v>
      </c>
      <c r="U722" t="s">
        <v>39</v>
      </c>
      <c r="V722" t="s">
        <v>40</v>
      </c>
      <c r="W722" t="s">
        <v>39</v>
      </c>
      <c r="AB722" t="s">
        <v>5905</v>
      </c>
      <c r="AC722" t="s">
        <v>5906</v>
      </c>
    </row>
    <row r="723" spans="1:31" x14ac:dyDescent="0.2">
      <c r="A723">
        <v>45346617</v>
      </c>
      <c r="B723" t="s">
        <v>5907</v>
      </c>
      <c r="C723" t="s">
        <v>4782</v>
      </c>
      <c r="D723" t="s">
        <v>3505</v>
      </c>
      <c r="E723" s="9">
        <v>45866</v>
      </c>
      <c r="F723" s="9">
        <v>45879</v>
      </c>
      <c r="G723" t="s">
        <v>33</v>
      </c>
      <c r="H723" t="s">
        <v>34</v>
      </c>
      <c r="J723" t="s">
        <v>225</v>
      </c>
      <c r="K723" t="s">
        <v>48</v>
      </c>
      <c r="L723" t="s">
        <v>164</v>
      </c>
      <c r="N723" t="s">
        <v>38</v>
      </c>
      <c r="O723" t="s">
        <v>40</v>
      </c>
      <c r="P723" t="s">
        <v>39</v>
      </c>
      <c r="Q723" t="s">
        <v>39</v>
      </c>
      <c r="R723" t="s">
        <v>40</v>
      </c>
      <c r="S723" t="s">
        <v>41</v>
      </c>
      <c r="T723" t="s">
        <v>41</v>
      </c>
      <c r="U723" t="s">
        <v>39</v>
      </c>
      <c r="V723" t="s">
        <v>40</v>
      </c>
      <c r="W723" t="s">
        <v>39</v>
      </c>
      <c r="AB723" t="s">
        <v>5908</v>
      </c>
    </row>
    <row r="724" spans="1:31" x14ac:dyDescent="0.2">
      <c r="A724">
        <v>45346626</v>
      </c>
      <c r="B724" t="s">
        <v>5909</v>
      </c>
      <c r="C724" t="s">
        <v>5910</v>
      </c>
      <c r="D724" t="s">
        <v>3505</v>
      </c>
      <c r="E724" s="9">
        <v>45866</v>
      </c>
      <c r="F724" s="9">
        <v>45905</v>
      </c>
      <c r="G724" t="s">
        <v>33</v>
      </c>
      <c r="H724" t="s">
        <v>210</v>
      </c>
      <c r="J724" t="s">
        <v>222</v>
      </c>
      <c r="K724" t="s">
        <v>48</v>
      </c>
      <c r="L724" t="s">
        <v>164</v>
      </c>
      <c r="N724" t="s">
        <v>38</v>
      </c>
      <c r="O724" t="s">
        <v>40</v>
      </c>
      <c r="P724" t="s">
        <v>41</v>
      </c>
      <c r="Q724" t="s">
        <v>39</v>
      </c>
      <c r="R724" t="s">
        <v>40</v>
      </c>
      <c r="S724" t="s">
        <v>41</v>
      </c>
      <c r="T724" t="s">
        <v>41</v>
      </c>
      <c r="U724" t="s">
        <v>39</v>
      </c>
      <c r="V724" t="s">
        <v>40</v>
      </c>
      <c r="W724" t="s">
        <v>39</v>
      </c>
      <c r="AB724" t="s">
        <v>5911</v>
      </c>
    </row>
    <row r="725" spans="1:31" x14ac:dyDescent="0.2">
      <c r="A725">
        <v>45346652</v>
      </c>
      <c r="B725" t="s">
        <v>223</v>
      </c>
      <c r="C725" t="s">
        <v>224</v>
      </c>
      <c r="D725" t="s">
        <v>32</v>
      </c>
      <c r="E725" s="9">
        <v>45866</v>
      </c>
      <c r="G725" t="s">
        <v>33</v>
      </c>
      <c r="H725" t="s">
        <v>34</v>
      </c>
      <c r="J725" t="s">
        <v>225</v>
      </c>
      <c r="K725" t="s">
        <v>48</v>
      </c>
      <c r="L725" t="s">
        <v>164</v>
      </c>
      <c r="N725" t="s">
        <v>38</v>
      </c>
      <c r="O725" t="s">
        <v>40</v>
      </c>
      <c r="P725" t="s">
        <v>39</v>
      </c>
      <c r="Q725" t="s">
        <v>39</v>
      </c>
      <c r="R725" t="s">
        <v>40</v>
      </c>
      <c r="S725" t="s">
        <v>41</v>
      </c>
      <c r="T725" t="s">
        <v>41</v>
      </c>
      <c r="U725" t="s">
        <v>39</v>
      </c>
      <c r="V725" t="s">
        <v>40</v>
      </c>
      <c r="W725" t="s">
        <v>39</v>
      </c>
      <c r="X725" t="s">
        <v>1227</v>
      </c>
      <c r="AB725" t="s">
        <v>226</v>
      </c>
      <c r="AC725" t="s">
        <v>227</v>
      </c>
      <c r="AD725" t="s">
        <v>1228</v>
      </c>
      <c r="AE725" t="s">
        <v>1229</v>
      </c>
    </row>
    <row r="726" spans="1:31" x14ac:dyDescent="0.2">
      <c r="A726">
        <v>45346307</v>
      </c>
      <c r="B726" t="s">
        <v>5912</v>
      </c>
      <c r="C726" t="s">
        <v>5913</v>
      </c>
      <c r="D726" t="s">
        <v>3505</v>
      </c>
      <c r="E726" s="9">
        <v>45866</v>
      </c>
      <c r="F726" s="9">
        <v>45877</v>
      </c>
      <c r="G726" t="s">
        <v>45</v>
      </c>
      <c r="H726" t="s">
        <v>90</v>
      </c>
      <c r="J726" t="s">
        <v>138</v>
      </c>
      <c r="K726" t="s">
        <v>36</v>
      </c>
      <c r="L726" t="s">
        <v>386</v>
      </c>
      <c r="M726" t="s">
        <v>289</v>
      </c>
      <c r="O726" t="s">
        <v>39</v>
      </c>
      <c r="P726" t="s">
        <v>39</v>
      </c>
      <c r="Q726" t="s">
        <v>39</v>
      </c>
      <c r="R726" t="s">
        <v>41</v>
      </c>
      <c r="S726" t="s">
        <v>40</v>
      </c>
      <c r="T726" t="s">
        <v>41</v>
      </c>
      <c r="U726" t="s">
        <v>39</v>
      </c>
      <c r="V726" t="s">
        <v>39</v>
      </c>
      <c r="W726" t="s">
        <v>39</v>
      </c>
      <c r="AB726" t="s">
        <v>5914</v>
      </c>
      <c r="AC726" t="s">
        <v>5915</v>
      </c>
      <c r="AD726" t="s">
        <v>5916</v>
      </c>
      <c r="AE726" t="s">
        <v>5917</v>
      </c>
    </row>
    <row r="727" spans="1:31" x14ac:dyDescent="0.2">
      <c r="A727">
        <v>45345523</v>
      </c>
      <c r="B727" t="s">
        <v>5918</v>
      </c>
      <c r="C727" t="s">
        <v>5919</v>
      </c>
      <c r="D727" t="s">
        <v>3505</v>
      </c>
      <c r="E727" s="9">
        <v>45866</v>
      </c>
      <c r="F727" s="9">
        <v>45870</v>
      </c>
      <c r="G727" t="s">
        <v>45</v>
      </c>
      <c r="H727" t="s">
        <v>90</v>
      </c>
      <c r="J727" t="s">
        <v>123</v>
      </c>
      <c r="K727" t="s">
        <v>48</v>
      </c>
      <c r="L727" t="s">
        <v>37</v>
      </c>
      <c r="M727" t="s">
        <v>50</v>
      </c>
      <c r="O727" t="s">
        <v>39</v>
      </c>
      <c r="P727" t="s">
        <v>39</v>
      </c>
      <c r="Q727" t="s">
        <v>39</v>
      </c>
      <c r="R727" t="s">
        <v>41</v>
      </c>
      <c r="S727" t="s">
        <v>40</v>
      </c>
      <c r="T727" t="s">
        <v>41</v>
      </c>
      <c r="U727" t="s">
        <v>39</v>
      </c>
      <c r="V727" t="s">
        <v>39</v>
      </c>
      <c r="W727" t="s">
        <v>40</v>
      </c>
      <c r="AB727" t="s">
        <v>5920</v>
      </c>
      <c r="AC727" t="s">
        <v>5921</v>
      </c>
      <c r="AD727" t="s">
        <v>5922</v>
      </c>
    </row>
    <row r="728" spans="1:31" x14ac:dyDescent="0.2">
      <c r="A728">
        <v>45346221</v>
      </c>
      <c r="B728" t="s">
        <v>228</v>
      </c>
      <c r="C728" t="s">
        <v>229</v>
      </c>
      <c r="D728" t="s">
        <v>32</v>
      </c>
      <c r="E728" s="9">
        <v>45866</v>
      </c>
      <c r="G728" t="s">
        <v>45</v>
      </c>
      <c r="H728" t="s">
        <v>80</v>
      </c>
      <c r="I728" t="s">
        <v>90</v>
      </c>
      <c r="J728" t="s">
        <v>98</v>
      </c>
      <c r="K728" t="s">
        <v>36</v>
      </c>
      <c r="L728" t="s">
        <v>230</v>
      </c>
      <c r="M728" t="s">
        <v>50</v>
      </c>
      <c r="O728" t="s">
        <v>39</v>
      </c>
      <c r="P728" t="s">
        <v>39</v>
      </c>
      <c r="Q728" t="s">
        <v>39</v>
      </c>
      <c r="R728" t="s">
        <v>41</v>
      </c>
      <c r="S728" t="s">
        <v>40</v>
      </c>
      <c r="T728" t="s">
        <v>41</v>
      </c>
      <c r="U728" t="s">
        <v>39</v>
      </c>
      <c r="V728" t="s">
        <v>39</v>
      </c>
      <c r="W728" t="s">
        <v>40</v>
      </c>
      <c r="AB728" t="s">
        <v>231</v>
      </c>
      <c r="AC728" t="s">
        <v>232</v>
      </c>
      <c r="AD728" t="s">
        <v>233</v>
      </c>
    </row>
    <row r="729" spans="1:31" x14ac:dyDescent="0.2">
      <c r="A729">
        <v>45346682</v>
      </c>
      <c r="B729" t="s">
        <v>5923</v>
      </c>
      <c r="C729" t="s">
        <v>5924</v>
      </c>
      <c r="D729" t="s">
        <v>3505</v>
      </c>
      <c r="E729" s="9">
        <v>45866</v>
      </c>
      <c r="F729" s="9">
        <v>45905</v>
      </c>
      <c r="G729" t="s">
        <v>33</v>
      </c>
      <c r="H729" t="s">
        <v>34</v>
      </c>
      <c r="J729" t="s">
        <v>225</v>
      </c>
      <c r="K729" t="s">
        <v>36</v>
      </c>
      <c r="L729" t="s">
        <v>164</v>
      </c>
      <c r="N729" t="s">
        <v>38</v>
      </c>
      <c r="O729" t="s">
        <v>40</v>
      </c>
      <c r="P729" t="s">
        <v>39</v>
      </c>
      <c r="Q729" t="s">
        <v>39</v>
      </c>
      <c r="R729" t="s">
        <v>40</v>
      </c>
      <c r="S729" t="s">
        <v>41</v>
      </c>
      <c r="T729" t="s">
        <v>41</v>
      </c>
      <c r="U729" t="s">
        <v>39</v>
      </c>
      <c r="V729" t="s">
        <v>40</v>
      </c>
      <c r="W729" t="s">
        <v>39</v>
      </c>
      <c r="AB729" t="s">
        <v>5925</v>
      </c>
    </row>
    <row r="730" spans="1:31" x14ac:dyDescent="0.2">
      <c r="A730">
        <v>45345554</v>
      </c>
      <c r="B730" t="s">
        <v>5926</v>
      </c>
      <c r="C730" t="s">
        <v>5927</v>
      </c>
      <c r="D730" t="s">
        <v>3505</v>
      </c>
      <c r="E730" s="9">
        <v>45866</v>
      </c>
      <c r="F730" s="9">
        <v>45923</v>
      </c>
      <c r="G730" t="s">
        <v>45</v>
      </c>
      <c r="H730" t="s">
        <v>252</v>
      </c>
      <c r="I730" t="s">
        <v>253</v>
      </c>
      <c r="J730" t="s">
        <v>254</v>
      </c>
      <c r="K730" t="s">
        <v>36</v>
      </c>
      <c r="L730" t="s">
        <v>49</v>
      </c>
      <c r="M730" t="s">
        <v>50</v>
      </c>
      <c r="O730" t="s">
        <v>39</v>
      </c>
      <c r="P730" t="s">
        <v>39</v>
      </c>
      <c r="Q730" t="s">
        <v>39</v>
      </c>
      <c r="R730" t="s">
        <v>39</v>
      </c>
      <c r="S730" t="s">
        <v>40</v>
      </c>
      <c r="T730" t="s">
        <v>41</v>
      </c>
      <c r="U730" t="s">
        <v>39</v>
      </c>
      <c r="V730" t="s">
        <v>39</v>
      </c>
      <c r="W730" t="s">
        <v>39</v>
      </c>
      <c r="X730" t="s">
        <v>5928</v>
      </c>
      <c r="AB730" t="s">
        <v>5929</v>
      </c>
      <c r="AC730" t="s">
        <v>5930</v>
      </c>
      <c r="AD730" t="s">
        <v>5931</v>
      </c>
    </row>
    <row r="731" spans="1:31" x14ac:dyDescent="0.2">
      <c r="A731">
        <v>45376935</v>
      </c>
      <c r="B731" t="s">
        <v>5932</v>
      </c>
      <c r="C731" t="s">
        <v>5933</v>
      </c>
      <c r="D731" t="s">
        <v>3505</v>
      </c>
      <c r="E731" s="9">
        <v>45869</v>
      </c>
      <c r="F731" s="9">
        <v>45891</v>
      </c>
      <c r="G731" t="s">
        <v>33</v>
      </c>
      <c r="H731" t="s">
        <v>210</v>
      </c>
      <c r="J731" t="s">
        <v>222</v>
      </c>
      <c r="K731" t="s">
        <v>36</v>
      </c>
      <c r="L731" t="s">
        <v>164</v>
      </c>
      <c r="N731" t="s">
        <v>38</v>
      </c>
      <c r="O731" t="s">
        <v>40</v>
      </c>
      <c r="P731" t="s">
        <v>39</v>
      </c>
      <c r="Q731" t="s">
        <v>39</v>
      </c>
      <c r="R731" t="s">
        <v>40</v>
      </c>
      <c r="S731" t="s">
        <v>41</v>
      </c>
      <c r="T731" t="s">
        <v>41</v>
      </c>
      <c r="U731" t="s">
        <v>39</v>
      </c>
      <c r="V731" t="s">
        <v>40</v>
      </c>
      <c r="W731" t="s">
        <v>39</v>
      </c>
      <c r="AB731" t="s">
        <v>5934</v>
      </c>
    </row>
    <row r="732" spans="1:31" x14ac:dyDescent="0.2">
      <c r="A732">
        <v>45376756</v>
      </c>
      <c r="B732" t="s">
        <v>5935</v>
      </c>
      <c r="C732" t="s">
        <v>5936</v>
      </c>
      <c r="D732" t="s">
        <v>3505</v>
      </c>
      <c r="E732" s="9">
        <v>45869</v>
      </c>
      <c r="F732" s="9">
        <v>45944</v>
      </c>
      <c r="G732" t="s">
        <v>33</v>
      </c>
      <c r="H732" t="s">
        <v>34</v>
      </c>
      <c r="J732" t="s">
        <v>234</v>
      </c>
      <c r="K732" t="s">
        <v>36</v>
      </c>
      <c r="L732" t="s">
        <v>37</v>
      </c>
      <c r="N732" t="s">
        <v>235</v>
      </c>
      <c r="O732" t="s">
        <v>40</v>
      </c>
      <c r="P732" t="s">
        <v>39</v>
      </c>
      <c r="Q732" t="s">
        <v>39</v>
      </c>
      <c r="R732" t="s">
        <v>40</v>
      </c>
      <c r="S732" t="s">
        <v>41</v>
      </c>
      <c r="T732" t="s">
        <v>41</v>
      </c>
      <c r="U732" t="s">
        <v>39</v>
      </c>
      <c r="V732" t="s">
        <v>40</v>
      </c>
      <c r="W732" t="s">
        <v>39</v>
      </c>
      <c r="X732" t="s">
        <v>5937</v>
      </c>
      <c r="AB732" t="s">
        <v>5938</v>
      </c>
      <c r="AC732" t="s">
        <v>5939</v>
      </c>
      <c r="AD732" t="s">
        <v>5940</v>
      </c>
      <c r="AE732" t="s">
        <v>5941</v>
      </c>
    </row>
    <row r="733" spans="1:31" x14ac:dyDescent="0.2">
      <c r="A733">
        <v>45376739</v>
      </c>
      <c r="B733" t="s">
        <v>5942</v>
      </c>
      <c r="C733" t="s">
        <v>5943</v>
      </c>
      <c r="D733" t="s">
        <v>3505</v>
      </c>
      <c r="E733" s="9">
        <v>45869</v>
      </c>
      <c r="F733" s="9">
        <v>45927</v>
      </c>
      <c r="G733" t="s">
        <v>33</v>
      </c>
      <c r="H733" t="s">
        <v>210</v>
      </c>
      <c r="J733" t="s">
        <v>236</v>
      </c>
      <c r="K733" t="s">
        <v>48</v>
      </c>
      <c r="L733" t="s">
        <v>164</v>
      </c>
      <c r="N733" t="s">
        <v>38</v>
      </c>
      <c r="O733" t="s">
        <v>40</v>
      </c>
      <c r="P733" t="s">
        <v>39</v>
      </c>
      <c r="Q733" t="s">
        <v>39</v>
      </c>
      <c r="R733" t="s">
        <v>40</v>
      </c>
      <c r="S733" t="s">
        <v>41</v>
      </c>
      <c r="T733" t="s">
        <v>41</v>
      </c>
      <c r="U733" t="s">
        <v>39</v>
      </c>
      <c r="V733" t="s">
        <v>40</v>
      </c>
      <c r="W733" t="s">
        <v>39</v>
      </c>
      <c r="AB733" t="s">
        <v>5944</v>
      </c>
      <c r="AC733" t="s">
        <v>5945</v>
      </c>
    </row>
    <row r="734" spans="1:31" x14ac:dyDescent="0.2">
      <c r="A734">
        <v>45376661</v>
      </c>
      <c r="B734" t="s">
        <v>5946</v>
      </c>
      <c r="C734" t="s">
        <v>5947</v>
      </c>
      <c r="D734" t="s">
        <v>3505</v>
      </c>
      <c r="E734" s="9">
        <v>45869</v>
      </c>
      <c r="F734" s="9">
        <v>45893</v>
      </c>
      <c r="G734" t="s">
        <v>33</v>
      </c>
      <c r="H734" t="s">
        <v>210</v>
      </c>
      <c r="J734" t="s">
        <v>236</v>
      </c>
      <c r="K734" t="s">
        <v>36</v>
      </c>
      <c r="L734" t="s">
        <v>164</v>
      </c>
      <c r="N734" t="s">
        <v>38</v>
      </c>
      <c r="O734" t="s">
        <v>40</v>
      </c>
      <c r="P734" t="s">
        <v>39</v>
      </c>
      <c r="Q734" t="s">
        <v>39</v>
      </c>
      <c r="R734" t="s">
        <v>40</v>
      </c>
      <c r="S734" t="s">
        <v>41</v>
      </c>
      <c r="T734" t="s">
        <v>41</v>
      </c>
      <c r="U734" t="s">
        <v>39</v>
      </c>
      <c r="V734" t="s">
        <v>40</v>
      </c>
      <c r="W734" t="s">
        <v>39</v>
      </c>
      <c r="AB734" t="s">
        <v>5948</v>
      </c>
      <c r="AC734" t="s">
        <v>5949</v>
      </c>
      <c r="AD734" t="s">
        <v>5950</v>
      </c>
    </row>
    <row r="735" spans="1:31" x14ac:dyDescent="0.2">
      <c r="A735">
        <v>45376551</v>
      </c>
      <c r="B735" t="s">
        <v>5951</v>
      </c>
      <c r="C735" t="s">
        <v>5952</v>
      </c>
      <c r="D735" t="s">
        <v>3505</v>
      </c>
      <c r="E735" s="9">
        <v>45869</v>
      </c>
      <c r="F735" s="9">
        <v>45877</v>
      </c>
      <c r="G735" t="s">
        <v>33</v>
      </c>
      <c r="H735" t="s">
        <v>34</v>
      </c>
      <c r="J735" t="s">
        <v>4157</v>
      </c>
      <c r="K735" t="s">
        <v>36</v>
      </c>
      <c r="L735" t="s">
        <v>164</v>
      </c>
      <c r="N735" t="s">
        <v>38</v>
      </c>
      <c r="O735" t="s">
        <v>40</v>
      </c>
      <c r="P735" t="s">
        <v>39</v>
      </c>
      <c r="Q735" t="s">
        <v>39</v>
      </c>
      <c r="R735" t="s">
        <v>40</v>
      </c>
      <c r="S735" t="s">
        <v>41</v>
      </c>
      <c r="T735" t="s">
        <v>41</v>
      </c>
      <c r="U735" t="s">
        <v>39</v>
      </c>
      <c r="V735" t="s">
        <v>40</v>
      </c>
      <c r="W735" t="s">
        <v>39</v>
      </c>
      <c r="AB735" t="s">
        <v>5953</v>
      </c>
      <c r="AC735" t="s">
        <v>5954</v>
      </c>
      <c r="AD735" t="s">
        <v>5955</v>
      </c>
    </row>
    <row r="736" spans="1:31" x14ac:dyDescent="0.2">
      <c r="A736">
        <v>45376732</v>
      </c>
      <c r="B736" t="s">
        <v>5956</v>
      </c>
      <c r="C736" t="s">
        <v>5957</v>
      </c>
      <c r="D736" t="s">
        <v>3505</v>
      </c>
      <c r="E736" s="9">
        <v>45869</v>
      </c>
      <c r="F736" s="9">
        <v>45941</v>
      </c>
      <c r="G736" t="s">
        <v>33</v>
      </c>
      <c r="H736" t="s">
        <v>34</v>
      </c>
      <c r="J736" t="s">
        <v>225</v>
      </c>
      <c r="K736" t="s">
        <v>48</v>
      </c>
      <c r="L736" t="s">
        <v>164</v>
      </c>
      <c r="N736" t="s">
        <v>38</v>
      </c>
      <c r="O736" t="s">
        <v>40</v>
      </c>
      <c r="P736" t="s">
        <v>39</v>
      </c>
      <c r="Q736" t="s">
        <v>39</v>
      </c>
      <c r="R736" t="s">
        <v>40</v>
      </c>
      <c r="S736" t="s">
        <v>41</v>
      </c>
      <c r="T736" t="s">
        <v>41</v>
      </c>
      <c r="U736" t="s">
        <v>39</v>
      </c>
      <c r="V736" t="s">
        <v>40</v>
      </c>
      <c r="W736" t="s">
        <v>39</v>
      </c>
      <c r="AB736" t="s">
        <v>5958</v>
      </c>
      <c r="AC736" t="s">
        <v>5959</v>
      </c>
      <c r="AD736" t="s">
        <v>5960</v>
      </c>
    </row>
    <row r="737" spans="1:31" x14ac:dyDescent="0.2">
      <c r="A737">
        <v>45376721</v>
      </c>
      <c r="B737" t="s">
        <v>5961</v>
      </c>
      <c r="C737" t="s">
        <v>5962</v>
      </c>
      <c r="D737" t="s">
        <v>3505</v>
      </c>
      <c r="E737" s="9">
        <v>45869</v>
      </c>
      <c r="F737" s="9">
        <v>45879</v>
      </c>
      <c r="G737" t="s">
        <v>33</v>
      </c>
      <c r="H737" t="s">
        <v>210</v>
      </c>
      <c r="J737" t="s">
        <v>236</v>
      </c>
      <c r="K737" t="s">
        <v>48</v>
      </c>
      <c r="L737" t="s">
        <v>37</v>
      </c>
      <c r="N737" t="s">
        <v>38</v>
      </c>
      <c r="O737" t="s">
        <v>40</v>
      </c>
      <c r="P737" t="s">
        <v>39</v>
      </c>
      <c r="Q737" t="s">
        <v>39</v>
      </c>
      <c r="R737" t="s">
        <v>40</v>
      </c>
      <c r="S737" t="s">
        <v>41</v>
      </c>
      <c r="T737" t="s">
        <v>41</v>
      </c>
      <c r="U737" t="s">
        <v>39</v>
      </c>
      <c r="V737" t="s">
        <v>40</v>
      </c>
      <c r="W737" t="s">
        <v>39</v>
      </c>
      <c r="AB737" t="s">
        <v>5963</v>
      </c>
      <c r="AC737" t="s">
        <v>5964</v>
      </c>
      <c r="AD737" t="s">
        <v>5965</v>
      </c>
    </row>
    <row r="738" spans="1:31" x14ac:dyDescent="0.2">
      <c r="A738">
        <v>45376748</v>
      </c>
      <c r="B738" t="s">
        <v>5966</v>
      </c>
      <c r="C738" t="s">
        <v>4308</v>
      </c>
      <c r="D738" t="s">
        <v>3505</v>
      </c>
      <c r="E738" s="9">
        <v>45869</v>
      </c>
      <c r="F738" s="9">
        <v>45941</v>
      </c>
      <c r="G738" t="s">
        <v>33</v>
      </c>
      <c r="H738" t="s">
        <v>34</v>
      </c>
      <c r="J738" t="s">
        <v>236</v>
      </c>
      <c r="K738" t="s">
        <v>36</v>
      </c>
      <c r="L738" t="s">
        <v>164</v>
      </c>
      <c r="N738" t="s">
        <v>38</v>
      </c>
      <c r="O738" t="s">
        <v>40</v>
      </c>
      <c r="P738" t="s">
        <v>39</v>
      </c>
      <c r="Q738" t="s">
        <v>39</v>
      </c>
      <c r="R738" t="s">
        <v>40</v>
      </c>
      <c r="S738" t="s">
        <v>41</v>
      </c>
      <c r="T738" t="s">
        <v>41</v>
      </c>
      <c r="U738" t="s">
        <v>39</v>
      </c>
      <c r="V738" t="s">
        <v>40</v>
      </c>
      <c r="W738" t="s">
        <v>39</v>
      </c>
      <c r="AB738" t="s">
        <v>5967</v>
      </c>
      <c r="AC738" t="s">
        <v>5968</v>
      </c>
    </row>
    <row r="739" spans="1:31" x14ac:dyDescent="0.2">
      <c r="A739">
        <v>45376835</v>
      </c>
      <c r="B739" t="s">
        <v>237</v>
      </c>
      <c r="C739" t="s">
        <v>238</v>
      </c>
      <c r="D739" t="s">
        <v>32</v>
      </c>
      <c r="E739" s="9">
        <v>45869</v>
      </c>
      <c r="G739" t="s">
        <v>33</v>
      </c>
      <c r="H739" t="s">
        <v>34</v>
      </c>
      <c r="J739" t="s">
        <v>211</v>
      </c>
      <c r="K739" t="s">
        <v>48</v>
      </c>
      <c r="L739" t="s">
        <v>49</v>
      </c>
      <c r="N739" t="s">
        <v>38</v>
      </c>
      <c r="O739" t="s">
        <v>40</v>
      </c>
      <c r="P739" t="s">
        <v>39</v>
      </c>
      <c r="Q739" t="s">
        <v>39</v>
      </c>
      <c r="R739" t="s">
        <v>40</v>
      </c>
      <c r="S739" t="s">
        <v>41</v>
      </c>
      <c r="T739" t="s">
        <v>41</v>
      </c>
      <c r="U739" t="s">
        <v>40</v>
      </c>
      <c r="V739" t="s">
        <v>40</v>
      </c>
      <c r="W739" t="s">
        <v>39</v>
      </c>
      <c r="AB739" t="s">
        <v>239</v>
      </c>
    </row>
    <row r="740" spans="1:31" x14ac:dyDescent="0.2">
      <c r="A740">
        <v>45376652</v>
      </c>
      <c r="B740" t="s">
        <v>5969</v>
      </c>
      <c r="C740" t="s">
        <v>413</v>
      </c>
      <c r="D740" t="s">
        <v>3505</v>
      </c>
      <c r="E740" s="9">
        <v>45869</v>
      </c>
      <c r="F740" s="9">
        <v>45893</v>
      </c>
      <c r="G740" t="s">
        <v>33</v>
      </c>
      <c r="H740" t="s">
        <v>210</v>
      </c>
      <c r="J740" t="s">
        <v>236</v>
      </c>
      <c r="K740" t="s">
        <v>36</v>
      </c>
      <c r="L740" t="s">
        <v>164</v>
      </c>
      <c r="N740" t="s">
        <v>38</v>
      </c>
      <c r="O740" t="s">
        <v>40</v>
      </c>
      <c r="P740" t="s">
        <v>39</v>
      </c>
      <c r="Q740" t="s">
        <v>39</v>
      </c>
      <c r="R740" t="s">
        <v>40</v>
      </c>
      <c r="S740" t="s">
        <v>41</v>
      </c>
      <c r="T740" t="s">
        <v>41</v>
      </c>
      <c r="U740" t="s">
        <v>39</v>
      </c>
      <c r="V740" t="s">
        <v>40</v>
      </c>
      <c r="W740" t="s">
        <v>39</v>
      </c>
      <c r="AB740" t="s">
        <v>5970</v>
      </c>
      <c r="AC740" t="s">
        <v>5971</v>
      </c>
    </row>
    <row r="741" spans="1:31" x14ac:dyDescent="0.2">
      <c r="A741">
        <v>45376820</v>
      </c>
      <c r="B741" t="s">
        <v>240</v>
      </c>
      <c r="C741" t="s">
        <v>241</v>
      </c>
      <c r="D741" t="s">
        <v>32</v>
      </c>
      <c r="E741" s="9">
        <v>45869</v>
      </c>
      <c r="G741" t="s">
        <v>33</v>
      </c>
      <c r="H741" t="s">
        <v>242</v>
      </c>
      <c r="J741" t="s">
        <v>234</v>
      </c>
      <c r="K741" t="s">
        <v>48</v>
      </c>
      <c r="L741" t="s">
        <v>37</v>
      </c>
      <c r="N741" t="s">
        <v>235</v>
      </c>
      <c r="O741" t="s">
        <v>40</v>
      </c>
      <c r="P741" t="s">
        <v>39</v>
      </c>
      <c r="Q741" t="s">
        <v>39</v>
      </c>
      <c r="R741" t="s">
        <v>40</v>
      </c>
      <c r="S741" t="s">
        <v>41</v>
      </c>
      <c r="T741" t="s">
        <v>41</v>
      </c>
      <c r="U741" t="s">
        <v>40</v>
      </c>
      <c r="V741" t="s">
        <v>40</v>
      </c>
      <c r="W741" t="s">
        <v>39</v>
      </c>
      <c r="AB741" t="s">
        <v>243</v>
      </c>
    </row>
    <row r="742" spans="1:31" x14ac:dyDescent="0.2">
      <c r="A742">
        <v>45376728</v>
      </c>
      <c r="B742" t="s">
        <v>5972</v>
      </c>
      <c r="C742" t="s">
        <v>5973</v>
      </c>
      <c r="D742" t="s">
        <v>3505</v>
      </c>
      <c r="E742" s="9">
        <v>45869</v>
      </c>
      <c r="F742" s="9">
        <v>45913</v>
      </c>
      <c r="G742" t="s">
        <v>33</v>
      </c>
      <c r="H742" t="s">
        <v>242</v>
      </c>
      <c r="J742" t="s">
        <v>107</v>
      </c>
      <c r="K742" t="s">
        <v>36</v>
      </c>
      <c r="L742" t="s">
        <v>49</v>
      </c>
      <c r="N742" t="s">
        <v>235</v>
      </c>
      <c r="O742" t="s">
        <v>40</v>
      </c>
      <c r="P742" t="s">
        <v>39</v>
      </c>
      <c r="Q742" t="s">
        <v>39</v>
      </c>
      <c r="R742" t="s">
        <v>40</v>
      </c>
      <c r="S742" t="s">
        <v>41</v>
      </c>
      <c r="T742" t="s">
        <v>41</v>
      </c>
      <c r="U742" t="s">
        <v>39</v>
      </c>
      <c r="V742" t="s">
        <v>40</v>
      </c>
      <c r="W742" t="s">
        <v>39</v>
      </c>
      <c r="AB742" t="s">
        <v>5974</v>
      </c>
    </row>
    <row r="743" spans="1:31" x14ac:dyDescent="0.2">
      <c r="A743">
        <v>45376891</v>
      </c>
      <c r="B743" t="s">
        <v>5975</v>
      </c>
      <c r="C743" t="s">
        <v>5976</v>
      </c>
      <c r="D743" t="s">
        <v>3505</v>
      </c>
      <c r="E743" s="9">
        <v>45869</v>
      </c>
      <c r="F743" s="9">
        <v>45927</v>
      </c>
      <c r="G743" t="s">
        <v>33</v>
      </c>
      <c r="H743" t="s">
        <v>242</v>
      </c>
      <c r="J743" t="s">
        <v>107</v>
      </c>
      <c r="K743" t="s">
        <v>48</v>
      </c>
      <c r="L743" t="s">
        <v>49</v>
      </c>
      <c r="N743" t="s">
        <v>235</v>
      </c>
      <c r="O743" t="s">
        <v>40</v>
      </c>
      <c r="P743" t="s">
        <v>39</v>
      </c>
      <c r="Q743" t="s">
        <v>39</v>
      </c>
      <c r="R743" t="s">
        <v>40</v>
      </c>
      <c r="S743" t="s">
        <v>41</v>
      </c>
      <c r="T743" t="s">
        <v>41</v>
      </c>
      <c r="U743" t="s">
        <v>40</v>
      </c>
      <c r="V743" t="s">
        <v>40</v>
      </c>
      <c r="W743" t="s">
        <v>39</v>
      </c>
      <c r="AB743" t="s">
        <v>5977</v>
      </c>
    </row>
    <row r="744" spans="1:31" x14ac:dyDescent="0.2">
      <c r="A744">
        <v>45472499</v>
      </c>
      <c r="B744" t="s">
        <v>5978</v>
      </c>
      <c r="C744" t="s">
        <v>5979</v>
      </c>
      <c r="D744" t="s">
        <v>3505</v>
      </c>
      <c r="E744" s="9">
        <v>45877</v>
      </c>
      <c r="F744" s="9">
        <v>45893</v>
      </c>
      <c r="G744" t="s">
        <v>45</v>
      </c>
      <c r="H744" t="s">
        <v>4456</v>
      </c>
      <c r="I744" t="s">
        <v>97</v>
      </c>
      <c r="J744" t="s">
        <v>112</v>
      </c>
      <c r="K744" t="s">
        <v>36</v>
      </c>
      <c r="L744" t="s">
        <v>37</v>
      </c>
      <c r="M744" t="s">
        <v>50</v>
      </c>
      <c r="O744" t="s">
        <v>39</v>
      </c>
      <c r="P744" t="s">
        <v>39</v>
      </c>
      <c r="Q744" t="s">
        <v>39</v>
      </c>
      <c r="R744" t="s">
        <v>41</v>
      </c>
      <c r="S744" t="s">
        <v>40</v>
      </c>
      <c r="T744" t="s">
        <v>41</v>
      </c>
      <c r="U744" t="s">
        <v>39</v>
      </c>
      <c r="V744" t="s">
        <v>39</v>
      </c>
      <c r="W744" t="s">
        <v>40</v>
      </c>
      <c r="AB744" t="s">
        <v>5980</v>
      </c>
      <c r="AC744" t="s">
        <v>5981</v>
      </c>
      <c r="AD744" t="s">
        <v>5982</v>
      </c>
      <c r="AE744" t="s">
        <v>5983</v>
      </c>
    </row>
    <row r="745" spans="1:31" x14ac:dyDescent="0.2">
      <c r="A745">
        <v>45472668</v>
      </c>
      <c r="B745" t="s">
        <v>5984</v>
      </c>
      <c r="C745" t="s">
        <v>5985</v>
      </c>
      <c r="D745" t="s">
        <v>3505</v>
      </c>
      <c r="E745" s="9">
        <v>45877</v>
      </c>
      <c r="F745" s="9">
        <v>45923</v>
      </c>
      <c r="G745" t="s">
        <v>45</v>
      </c>
      <c r="H745" t="s">
        <v>3533</v>
      </c>
      <c r="I745" t="s">
        <v>80</v>
      </c>
      <c r="J745" t="s">
        <v>73</v>
      </c>
      <c r="K745" t="s">
        <v>36</v>
      </c>
      <c r="L745" t="s">
        <v>49</v>
      </c>
      <c r="M745" t="s">
        <v>50</v>
      </c>
      <c r="O745" t="s">
        <v>39</v>
      </c>
      <c r="P745" t="s">
        <v>39</v>
      </c>
      <c r="Q745" t="s">
        <v>39</v>
      </c>
      <c r="R745" t="s">
        <v>41</v>
      </c>
      <c r="S745" t="s">
        <v>40</v>
      </c>
      <c r="T745" t="s">
        <v>41</v>
      </c>
      <c r="U745" t="s">
        <v>39</v>
      </c>
      <c r="V745" t="s">
        <v>39</v>
      </c>
      <c r="W745" t="s">
        <v>39</v>
      </c>
      <c r="AB745" t="s">
        <v>5986</v>
      </c>
      <c r="AC745" t="s">
        <v>5987</v>
      </c>
      <c r="AD745" t="s">
        <v>5988</v>
      </c>
      <c r="AE745" t="s">
        <v>5989</v>
      </c>
    </row>
    <row r="746" spans="1:31" x14ac:dyDescent="0.2">
      <c r="A746">
        <v>45472796</v>
      </c>
      <c r="B746" t="s">
        <v>5990</v>
      </c>
      <c r="C746" t="s">
        <v>5991</v>
      </c>
      <c r="D746" t="s">
        <v>3505</v>
      </c>
      <c r="E746" s="9">
        <v>45877</v>
      </c>
      <c r="F746" s="9">
        <v>45879</v>
      </c>
      <c r="G746" t="s">
        <v>45</v>
      </c>
      <c r="H746" t="s">
        <v>4959</v>
      </c>
      <c r="J746" t="s">
        <v>98</v>
      </c>
      <c r="K746" t="s">
        <v>48</v>
      </c>
      <c r="L746" t="s">
        <v>37</v>
      </c>
      <c r="M746" t="s">
        <v>74</v>
      </c>
      <c r="O746" t="s">
        <v>39</v>
      </c>
      <c r="P746" t="s">
        <v>41</v>
      </c>
      <c r="Q746" t="s">
        <v>39</v>
      </c>
      <c r="R746" t="s">
        <v>41</v>
      </c>
      <c r="S746" t="s">
        <v>40</v>
      </c>
      <c r="T746" t="s">
        <v>41</v>
      </c>
      <c r="U746" t="s">
        <v>39</v>
      </c>
      <c r="V746" t="s">
        <v>39</v>
      </c>
      <c r="W746" t="s">
        <v>40</v>
      </c>
      <c r="AB746" t="s">
        <v>5992</v>
      </c>
      <c r="AC746" t="s">
        <v>5993</v>
      </c>
      <c r="AD746" t="s">
        <v>5994</v>
      </c>
      <c r="AE746" t="s">
        <v>5995</v>
      </c>
    </row>
    <row r="747" spans="1:31" x14ac:dyDescent="0.2">
      <c r="A747">
        <v>45473020</v>
      </c>
      <c r="B747" t="s">
        <v>5996</v>
      </c>
      <c r="C747" t="s">
        <v>5997</v>
      </c>
      <c r="D747" t="s">
        <v>3505</v>
      </c>
      <c r="E747" s="9">
        <v>45877</v>
      </c>
      <c r="F747" s="9">
        <v>45879</v>
      </c>
      <c r="G747" t="s">
        <v>45</v>
      </c>
      <c r="H747" t="s">
        <v>90</v>
      </c>
      <c r="I747" t="s">
        <v>132</v>
      </c>
      <c r="J747" t="s">
        <v>138</v>
      </c>
      <c r="K747" t="s">
        <v>48</v>
      </c>
      <c r="L747" t="s">
        <v>37</v>
      </c>
      <c r="M747" t="s">
        <v>50</v>
      </c>
      <c r="O747" t="s">
        <v>39</v>
      </c>
      <c r="P747" t="s">
        <v>41</v>
      </c>
      <c r="Q747" t="s">
        <v>39</v>
      </c>
      <c r="R747" t="s">
        <v>41</v>
      </c>
      <c r="S747" t="s">
        <v>40</v>
      </c>
      <c r="T747" t="s">
        <v>41</v>
      </c>
      <c r="U747" t="s">
        <v>39</v>
      </c>
      <c r="V747" t="s">
        <v>39</v>
      </c>
      <c r="W747" t="s">
        <v>40</v>
      </c>
      <c r="AB747" t="s">
        <v>5998</v>
      </c>
      <c r="AC747" t="s">
        <v>5999</v>
      </c>
      <c r="AD747" t="s">
        <v>6000</v>
      </c>
      <c r="AE747" t="s">
        <v>6001</v>
      </c>
    </row>
    <row r="748" spans="1:31" x14ac:dyDescent="0.2">
      <c r="A748">
        <v>45472492</v>
      </c>
      <c r="B748" t="s">
        <v>6002</v>
      </c>
      <c r="C748" t="s">
        <v>6003</v>
      </c>
      <c r="D748" t="s">
        <v>3505</v>
      </c>
      <c r="E748" s="9">
        <v>45877</v>
      </c>
      <c r="F748" s="9">
        <v>45923</v>
      </c>
      <c r="G748" t="s">
        <v>45</v>
      </c>
      <c r="H748" t="s">
        <v>429</v>
      </c>
      <c r="I748" t="s">
        <v>46</v>
      </c>
      <c r="J748" t="s">
        <v>4038</v>
      </c>
      <c r="K748" t="s">
        <v>36</v>
      </c>
      <c r="L748" t="s">
        <v>49</v>
      </c>
      <c r="M748" t="s">
        <v>50</v>
      </c>
      <c r="O748" t="s">
        <v>39</v>
      </c>
      <c r="P748" t="s">
        <v>39</v>
      </c>
      <c r="Q748" t="s">
        <v>39</v>
      </c>
      <c r="R748" t="s">
        <v>41</v>
      </c>
      <c r="S748" t="s">
        <v>40</v>
      </c>
      <c r="T748" t="s">
        <v>41</v>
      </c>
      <c r="U748" t="s">
        <v>39</v>
      </c>
      <c r="V748" t="s">
        <v>39</v>
      </c>
      <c r="W748" t="s">
        <v>40</v>
      </c>
      <c r="X748" t="s">
        <v>6004</v>
      </c>
      <c r="AB748" t="s">
        <v>6005</v>
      </c>
      <c r="AC748" t="s">
        <v>6006</v>
      </c>
      <c r="AD748" t="s">
        <v>6007</v>
      </c>
      <c r="AE748" t="s">
        <v>6008</v>
      </c>
    </row>
    <row r="749" spans="1:31" x14ac:dyDescent="0.2">
      <c r="A749">
        <v>45472627</v>
      </c>
      <c r="B749" t="s">
        <v>244</v>
      </c>
      <c r="C749" t="s">
        <v>6009</v>
      </c>
      <c r="D749" t="s">
        <v>3505</v>
      </c>
      <c r="E749" s="9">
        <v>45877</v>
      </c>
      <c r="F749" s="9">
        <v>45948</v>
      </c>
      <c r="G749" t="s">
        <v>45</v>
      </c>
      <c r="H749" t="s">
        <v>90</v>
      </c>
      <c r="I749" t="s">
        <v>89</v>
      </c>
      <c r="J749" t="s">
        <v>82</v>
      </c>
      <c r="K749" t="s">
        <v>36</v>
      </c>
      <c r="L749" t="s">
        <v>49</v>
      </c>
      <c r="M749" t="s">
        <v>74</v>
      </c>
      <c r="O749" t="s">
        <v>39</v>
      </c>
      <c r="P749" t="s">
        <v>39</v>
      </c>
      <c r="Q749" t="s">
        <v>39</v>
      </c>
      <c r="R749" t="s">
        <v>41</v>
      </c>
      <c r="S749" t="s">
        <v>40</v>
      </c>
      <c r="T749" t="s">
        <v>41</v>
      </c>
      <c r="U749" t="s">
        <v>39</v>
      </c>
      <c r="V749" t="s">
        <v>39</v>
      </c>
      <c r="W749" t="s">
        <v>40</v>
      </c>
      <c r="X749" t="s">
        <v>6010</v>
      </c>
      <c r="AB749" t="s">
        <v>6011</v>
      </c>
      <c r="AC749" t="s">
        <v>6012</v>
      </c>
      <c r="AD749" t="s">
        <v>6013</v>
      </c>
      <c r="AE749" t="s">
        <v>6014</v>
      </c>
    </row>
    <row r="750" spans="1:31" x14ac:dyDescent="0.2">
      <c r="A750">
        <v>45472786</v>
      </c>
      <c r="B750" t="s">
        <v>245</v>
      </c>
      <c r="C750" t="s">
        <v>666</v>
      </c>
      <c r="D750" t="s">
        <v>32</v>
      </c>
      <c r="E750" s="9">
        <v>45877</v>
      </c>
      <c r="G750" t="s">
        <v>45</v>
      </c>
      <c r="H750" t="s">
        <v>46</v>
      </c>
      <c r="I750" t="s">
        <v>53</v>
      </c>
      <c r="J750" t="s">
        <v>82</v>
      </c>
      <c r="K750" t="s">
        <v>36</v>
      </c>
      <c r="L750" t="s">
        <v>37</v>
      </c>
      <c r="M750" t="s">
        <v>50</v>
      </c>
      <c r="O750" t="s">
        <v>39</v>
      </c>
      <c r="P750" t="s">
        <v>39</v>
      </c>
      <c r="Q750" t="s">
        <v>39</v>
      </c>
      <c r="R750" t="s">
        <v>41</v>
      </c>
      <c r="S750" t="s">
        <v>40</v>
      </c>
      <c r="T750" t="s">
        <v>41</v>
      </c>
      <c r="U750" t="s">
        <v>39</v>
      </c>
      <c r="V750" t="s">
        <v>39</v>
      </c>
      <c r="W750" t="s">
        <v>40</v>
      </c>
      <c r="AB750" t="s">
        <v>246</v>
      </c>
      <c r="AC750" t="s">
        <v>247</v>
      </c>
      <c r="AD750" t="s">
        <v>248</v>
      </c>
      <c r="AE750" t="s">
        <v>249</v>
      </c>
    </row>
    <row r="751" spans="1:31" x14ac:dyDescent="0.2">
      <c r="A751">
        <v>45472762</v>
      </c>
      <c r="B751" t="s">
        <v>250</v>
      </c>
      <c r="C751" t="s">
        <v>251</v>
      </c>
      <c r="D751" t="s">
        <v>32</v>
      </c>
      <c r="E751" s="9">
        <v>45877</v>
      </c>
      <c r="G751" t="s">
        <v>45</v>
      </c>
      <c r="H751" t="s">
        <v>252</v>
      </c>
      <c r="I751" t="s">
        <v>253</v>
      </c>
      <c r="J751" t="s">
        <v>254</v>
      </c>
      <c r="K751" t="s">
        <v>48</v>
      </c>
      <c r="L751" t="s">
        <v>49</v>
      </c>
      <c r="M751" t="s">
        <v>74</v>
      </c>
      <c r="O751" t="s">
        <v>39</v>
      </c>
      <c r="P751" t="s">
        <v>39</v>
      </c>
      <c r="Q751" t="s">
        <v>39</v>
      </c>
      <c r="R751" t="s">
        <v>41</v>
      </c>
      <c r="S751" t="s">
        <v>40</v>
      </c>
      <c r="T751" t="s">
        <v>41</v>
      </c>
      <c r="U751" t="s">
        <v>39</v>
      </c>
      <c r="V751" t="s">
        <v>39</v>
      </c>
      <c r="W751" t="s">
        <v>39</v>
      </c>
      <c r="AB751" t="s">
        <v>255</v>
      </c>
      <c r="AC751" t="s">
        <v>256</v>
      </c>
      <c r="AD751" t="s">
        <v>257</v>
      </c>
    </row>
    <row r="752" spans="1:31" x14ac:dyDescent="0.2">
      <c r="A752">
        <v>45472546</v>
      </c>
      <c r="B752" t="s">
        <v>258</v>
      </c>
      <c r="C752" t="s">
        <v>3085</v>
      </c>
      <c r="D752" t="s">
        <v>32</v>
      </c>
      <c r="E752" s="9">
        <v>45877</v>
      </c>
      <c r="G752" t="s">
        <v>45</v>
      </c>
      <c r="H752" t="s">
        <v>72</v>
      </c>
      <c r="I752" t="s">
        <v>173</v>
      </c>
      <c r="J752" t="s">
        <v>54</v>
      </c>
      <c r="K752" t="s">
        <v>48</v>
      </c>
      <c r="L752" t="s">
        <v>49</v>
      </c>
      <c r="M752" t="s">
        <v>74</v>
      </c>
      <c r="O752" t="s">
        <v>39</v>
      </c>
      <c r="P752" t="s">
        <v>39</v>
      </c>
      <c r="Q752" t="s">
        <v>39</v>
      </c>
      <c r="R752" t="s">
        <v>41</v>
      </c>
      <c r="S752" t="s">
        <v>40</v>
      </c>
      <c r="T752" t="s">
        <v>41</v>
      </c>
      <c r="U752" t="s">
        <v>39</v>
      </c>
      <c r="V752" t="s">
        <v>39</v>
      </c>
      <c r="W752" t="s">
        <v>40</v>
      </c>
      <c r="X752" t="s">
        <v>1959</v>
      </c>
      <c r="AB752" t="s">
        <v>260</v>
      </c>
      <c r="AC752" t="s">
        <v>261</v>
      </c>
      <c r="AD752" t="s">
        <v>262</v>
      </c>
    </row>
    <row r="753" spans="1:31" x14ac:dyDescent="0.2">
      <c r="A753">
        <v>45472971</v>
      </c>
      <c r="B753" t="s">
        <v>263</v>
      </c>
      <c r="C753" t="s">
        <v>264</v>
      </c>
      <c r="D753" t="s">
        <v>3505</v>
      </c>
      <c r="E753" s="9">
        <v>45877</v>
      </c>
      <c r="F753" s="9">
        <v>45980</v>
      </c>
      <c r="G753" t="s">
        <v>45</v>
      </c>
      <c r="H753" t="s">
        <v>68</v>
      </c>
      <c r="I753" t="s">
        <v>46</v>
      </c>
      <c r="J753" t="s">
        <v>60</v>
      </c>
      <c r="K753" t="s">
        <v>48</v>
      </c>
      <c r="L753" t="s">
        <v>49</v>
      </c>
      <c r="M753" t="s">
        <v>50</v>
      </c>
      <c r="O753" t="s">
        <v>39</v>
      </c>
      <c r="P753" t="s">
        <v>39</v>
      </c>
      <c r="Q753" t="s">
        <v>39</v>
      </c>
      <c r="R753" t="s">
        <v>41</v>
      </c>
      <c r="S753" t="s">
        <v>40</v>
      </c>
      <c r="T753" t="s">
        <v>41</v>
      </c>
      <c r="U753" t="s">
        <v>39</v>
      </c>
      <c r="V753" t="s">
        <v>39</v>
      </c>
      <c r="W753" t="s">
        <v>40</v>
      </c>
      <c r="AB753" t="s">
        <v>265</v>
      </c>
      <c r="AC753" t="s">
        <v>266</v>
      </c>
      <c r="AD753" t="s">
        <v>267</v>
      </c>
      <c r="AE753" t="s">
        <v>268</v>
      </c>
    </row>
    <row r="754" spans="1:31" x14ac:dyDescent="0.2">
      <c r="A754">
        <v>45472968</v>
      </c>
      <c r="B754" t="s">
        <v>6015</v>
      </c>
      <c r="C754" t="s">
        <v>6016</v>
      </c>
      <c r="D754" t="s">
        <v>3505</v>
      </c>
      <c r="E754" s="9">
        <v>45877</v>
      </c>
      <c r="F754" s="9">
        <v>45890</v>
      </c>
      <c r="G754" t="s">
        <v>45</v>
      </c>
      <c r="H754" t="s">
        <v>3533</v>
      </c>
      <c r="I754" t="s">
        <v>80</v>
      </c>
      <c r="J754" t="s">
        <v>203</v>
      </c>
      <c r="K754" t="s">
        <v>36</v>
      </c>
      <c r="L754" t="s">
        <v>37</v>
      </c>
      <c r="M754" t="s">
        <v>74</v>
      </c>
      <c r="O754" t="s">
        <v>39</v>
      </c>
      <c r="P754" t="s">
        <v>41</v>
      </c>
      <c r="Q754" t="s">
        <v>39</v>
      </c>
      <c r="R754" t="s">
        <v>41</v>
      </c>
      <c r="S754" t="s">
        <v>40</v>
      </c>
      <c r="T754" t="s">
        <v>41</v>
      </c>
      <c r="U754" t="s">
        <v>39</v>
      </c>
      <c r="V754" t="s">
        <v>39</v>
      </c>
      <c r="W754" t="s">
        <v>39</v>
      </c>
      <c r="AB754" t="s">
        <v>6017</v>
      </c>
      <c r="AC754" t="s">
        <v>6018</v>
      </c>
      <c r="AD754" t="s">
        <v>6019</v>
      </c>
      <c r="AE754" t="s">
        <v>6020</v>
      </c>
    </row>
    <row r="755" spans="1:31" x14ac:dyDescent="0.2">
      <c r="A755">
        <v>45473015</v>
      </c>
      <c r="B755" t="s">
        <v>6021</v>
      </c>
      <c r="C755" t="s">
        <v>2563</v>
      </c>
      <c r="D755" t="s">
        <v>3505</v>
      </c>
      <c r="E755" s="9">
        <v>45877</v>
      </c>
      <c r="F755" s="9">
        <v>45886</v>
      </c>
      <c r="G755" t="s">
        <v>45</v>
      </c>
      <c r="H755" t="s">
        <v>46</v>
      </c>
      <c r="I755" t="s">
        <v>53</v>
      </c>
      <c r="J755" t="s">
        <v>47</v>
      </c>
      <c r="K755" t="s">
        <v>36</v>
      </c>
      <c r="L755" t="s">
        <v>37</v>
      </c>
      <c r="M755" t="s">
        <v>50</v>
      </c>
      <c r="O755" t="s">
        <v>39</v>
      </c>
      <c r="P755" t="s">
        <v>41</v>
      </c>
      <c r="Q755" t="s">
        <v>39</v>
      </c>
      <c r="R755" t="s">
        <v>41</v>
      </c>
      <c r="S755" t="s">
        <v>40</v>
      </c>
      <c r="T755" t="s">
        <v>41</v>
      </c>
      <c r="U755" t="s">
        <v>39</v>
      </c>
      <c r="V755" t="s">
        <v>39</v>
      </c>
      <c r="W755" t="s">
        <v>40</v>
      </c>
      <c r="AB755" t="s">
        <v>6022</v>
      </c>
      <c r="AC755" t="s">
        <v>6023</v>
      </c>
      <c r="AD755" t="s">
        <v>6024</v>
      </c>
      <c r="AE755" t="s">
        <v>6025</v>
      </c>
    </row>
    <row r="756" spans="1:31" x14ac:dyDescent="0.2">
      <c r="A756">
        <v>45472755</v>
      </c>
      <c r="B756" t="s">
        <v>6026</v>
      </c>
      <c r="C756" t="s">
        <v>6027</v>
      </c>
      <c r="D756" t="s">
        <v>3505</v>
      </c>
      <c r="E756" s="9">
        <v>45877</v>
      </c>
      <c r="F756" s="9">
        <v>45941</v>
      </c>
      <c r="G756" t="s">
        <v>45</v>
      </c>
      <c r="H756" t="s">
        <v>80</v>
      </c>
      <c r="I756" t="s">
        <v>96</v>
      </c>
      <c r="J756" t="s">
        <v>203</v>
      </c>
      <c r="K756" t="s">
        <v>48</v>
      </c>
      <c r="L756" t="s">
        <v>49</v>
      </c>
      <c r="M756" t="s">
        <v>74</v>
      </c>
      <c r="O756" t="s">
        <v>39</v>
      </c>
      <c r="P756" t="s">
        <v>39</v>
      </c>
      <c r="Q756" t="s">
        <v>39</v>
      </c>
      <c r="R756" t="s">
        <v>41</v>
      </c>
      <c r="S756" t="s">
        <v>40</v>
      </c>
      <c r="T756" t="s">
        <v>41</v>
      </c>
      <c r="U756" t="s">
        <v>39</v>
      </c>
      <c r="V756" t="s">
        <v>39</v>
      </c>
      <c r="W756" t="s">
        <v>40</v>
      </c>
      <c r="AB756" t="s">
        <v>6028</v>
      </c>
      <c r="AC756" t="s">
        <v>6029</v>
      </c>
      <c r="AD756" t="s">
        <v>6030</v>
      </c>
      <c r="AE756" t="s">
        <v>6031</v>
      </c>
    </row>
    <row r="757" spans="1:31" x14ac:dyDescent="0.2">
      <c r="A757">
        <v>45472996</v>
      </c>
      <c r="B757" t="s">
        <v>269</v>
      </c>
      <c r="C757" t="s">
        <v>1960</v>
      </c>
      <c r="D757" t="s">
        <v>3505</v>
      </c>
      <c r="E757" s="9">
        <v>45877</v>
      </c>
      <c r="F757" s="9">
        <v>45974</v>
      </c>
      <c r="G757" t="s">
        <v>45</v>
      </c>
      <c r="H757" t="s">
        <v>271</v>
      </c>
      <c r="I757" t="s">
        <v>90</v>
      </c>
      <c r="J757" t="s">
        <v>65</v>
      </c>
      <c r="K757" t="s">
        <v>48</v>
      </c>
      <c r="L757" t="s">
        <v>49</v>
      </c>
      <c r="M757" t="s">
        <v>50</v>
      </c>
      <c r="O757" t="s">
        <v>39</v>
      </c>
      <c r="P757" t="s">
        <v>39</v>
      </c>
      <c r="Q757" t="s">
        <v>39</v>
      </c>
      <c r="R757" t="s">
        <v>41</v>
      </c>
      <c r="S757" t="s">
        <v>40</v>
      </c>
      <c r="T757" t="s">
        <v>41</v>
      </c>
      <c r="U757" t="s">
        <v>39</v>
      </c>
      <c r="V757" t="s">
        <v>39</v>
      </c>
      <c r="W757" t="s">
        <v>40</v>
      </c>
      <c r="X757" t="s">
        <v>6032</v>
      </c>
      <c r="AB757" t="s">
        <v>6033</v>
      </c>
      <c r="AC757" t="s">
        <v>6034</v>
      </c>
      <c r="AD757" t="s">
        <v>6035</v>
      </c>
      <c r="AE757" t="s">
        <v>6036</v>
      </c>
    </row>
    <row r="758" spans="1:31" x14ac:dyDescent="0.2">
      <c r="A758">
        <v>45473034</v>
      </c>
      <c r="B758" t="s">
        <v>6037</v>
      </c>
      <c r="C758" t="s">
        <v>3593</v>
      </c>
      <c r="D758" t="s">
        <v>3505</v>
      </c>
      <c r="E758" s="9">
        <v>45877</v>
      </c>
      <c r="F758" s="9">
        <v>45879</v>
      </c>
      <c r="G758" t="s">
        <v>45</v>
      </c>
      <c r="H758" t="s">
        <v>90</v>
      </c>
      <c r="I758" t="s">
        <v>132</v>
      </c>
      <c r="J758" t="s">
        <v>138</v>
      </c>
      <c r="K758" t="s">
        <v>48</v>
      </c>
      <c r="L758" t="s">
        <v>37</v>
      </c>
      <c r="M758" t="s">
        <v>50</v>
      </c>
      <c r="O758" t="s">
        <v>39</v>
      </c>
      <c r="P758" t="s">
        <v>41</v>
      </c>
      <c r="Q758" t="s">
        <v>39</v>
      </c>
      <c r="R758" t="s">
        <v>41</v>
      </c>
      <c r="S758" t="s">
        <v>40</v>
      </c>
      <c r="T758" t="s">
        <v>41</v>
      </c>
      <c r="U758" t="s">
        <v>39</v>
      </c>
      <c r="V758" t="s">
        <v>39</v>
      </c>
      <c r="W758" t="s">
        <v>40</v>
      </c>
      <c r="AB758" t="s">
        <v>6038</v>
      </c>
      <c r="AC758" t="s">
        <v>6039</v>
      </c>
      <c r="AD758" t="s">
        <v>6040</v>
      </c>
      <c r="AE758" t="s">
        <v>6041</v>
      </c>
    </row>
    <row r="759" spans="1:31" x14ac:dyDescent="0.2">
      <c r="A759">
        <v>45472654</v>
      </c>
      <c r="B759" t="s">
        <v>272</v>
      </c>
      <c r="C759" t="s">
        <v>273</v>
      </c>
      <c r="D759" t="s">
        <v>32</v>
      </c>
      <c r="E759" s="9">
        <v>45877</v>
      </c>
      <c r="G759" t="s">
        <v>45</v>
      </c>
      <c r="H759" t="s">
        <v>90</v>
      </c>
      <c r="J759" t="s">
        <v>138</v>
      </c>
      <c r="K759" t="s">
        <v>48</v>
      </c>
      <c r="L759" t="s">
        <v>49</v>
      </c>
      <c r="M759" t="s">
        <v>74</v>
      </c>
      <c r="O759" t="s">
        <v>39</v>
      </c>
      <c r="P759" t="s">
        <v>39</v>
      </c>
      <c r="Q759" t="s">
        <v>39</v>
      </c>
      <c r="R759" t="s">
        <v>41</v>
      </c>
      <c r="S759" t="s">
        <v>40</v>
      </c>
      <c r="T759" t="s">
        <v>41</v>
      </c>
      <c r="U759" t="s">
        <v>39</v>
      </c>
      <c r="V759" t="s">
        <v>39</v>
      </c>
      <c r="W759" t="s">
        <v>40</v>
      </c>
      <c r="X759" t="s">
        <v>1961</v>
      </c>
      <c r="AB759" t="s">
        <v>274</v>
      </c>
      <c r="AC759" t="s">
        <v>275</v>
      </c>
      <c r="AD759" t="s">
        <v>276</v>
      </c>
      <c r="AE759" t="s">
        <v>277</v>
      </c>
    </row>
    <row r="760" spans="1:31" x14ac:dyDescent="0.2">
      <c r="A760">
        <v>45472979</v>
      </c>
      <c r="B760" t="s">
        <v>278</v>
      </c>
      <c r="C760" t="s">
        <v>279</v>
      </c>
      <c r="D760" t="s">
        <v>32</v>
      </c>
      <c r="E760" s="9">
        <v>45877</v>
      </c>
      <c r="G760" t="s">
        <v>45</v>
      </c>
      <c r="H760" t="s">
        <v>72</v>
      </c>
      <c r="I760" t="s">
        <v>90</v>
      </c>
      <c r="J760" t="s">
        <v>203</v>
      </c>
      <c r="K760" t="s">
        <v>36</v>
      </c>
      <c r="L760" t="s">
        <v>37</v>
      </c>
      <c r="M760" t="s">
        <v>50</v>
      </c>
      <c r="O760" t="s">
        <v>39</v>
      </c>
      <c r="P760" t="s">
        <v>39</v>
      </c>
      <c r="Q760" t="s">
        <v>39</v>
      </c>
      <c r="R760" t="s">
        <v>41</v>
      </c>
      <c r="S760" t="s">
        <v>40</v>
      </c>
      <c r="T760" t="s">
        <v>41</v>
      </c>
      <c r="U760" t="s">
        <v>39</v>
      </c>
      <c r="V760" t="s">
        <v>39</v>
      </c>
      <c r="W760" t="s">
        <v>40</v>
      </c>
      <c r="AB760" t="s">
        <v>280</v>
      </c>
      <c r="AC760" t="s">
        <v>281</v>
      </c>
      <c r="AD760" t="s">
        <v>282</v>
      </c>
    </row>
    <row r="761" spans="1:31" x14ac:dyDescent="0.2">
      <c r="A761">
        <v>45472688</v>
      </c>
      <c r="B761" t="s">
        <v>6042</v>
      </c>
      <c r="C761" t="s">
        <v>6043</v>
      </c>
      <c r="D761" t="s">
        <v>3505</v>
      </c>
      <c r="E761" s="9">
        <v>45877</v>
      </c>
      <c r="F761" s="9">
        <v>45886</v>
      </c>
      <c r="G761" t="s">
        <v>45</v>
      </c>
      <c r="H761" t="s">
        <v>253</v>
      </c>
      <c r="I761" t="s">
        <v>252</v>
      </c>
      <c r="J761" t="s">
        <v>123</v>
      </c>
      <c r="K761" t="s">
        <v>36</v>
      </c>
      <c r="L761" t="s">
        <v>49</v>
      </c>
      <c r="M761" t="s">
        <v>50</v>
      </c>
      <c r="O761" t="s">
        <v>39</v>
      </c>
      <c r="P761" t="s">
        <v>39</v>
      </c>
      <c r="Q761" t="s">
        <v>39</v>
      </c>
      <c r="R761" t="s">
        <v>41</v>
      </c>
      <c r="S761" t="s">
        <v>40</v>
      </c>
      <c r="T761" t="s">
        <v>41</v>
      </c>
      <c r="U761" t="s">
        <v>39</v>
      </c>
      <c r="V761" t="s">
        <v>39</v>
      </c>
      <c r="W761" t="s">
        <v>40</v>
      </c>
      <c r="AB761" t="s">
        <v>6044</v>
      </c>
      <c r="AC761" t="s">
        <v>6045</v>
      </c>
      <c r="AD761" t="s">
        <v>6046</v>
      </c>
      <c r="AE761" t="s">
        <v>6047</v>
      </c>
    </row>
    <row r="762" spans="1:31" x14ac:dyDescent="0.2">
      <c r="A762">
        <v>45484582</v>
      </c>
      <c r="B762" t="s">
        <v>6048</v>
      </c>
      <c r="C762" t="s">
        <v>6049</v>
      </c>
      <c r="D762" t="s">
        <v>3505</v>
      </c>
      <c r="E762" s="9">
        <v>45879</v>
      </c>
      <c r="F762" s="9">
        <v>45891</v>
      </c>
      <c r="G762" t="s">
        <v>45</v>
      </c>
      <c r="H762" t="s">
        <v>105</v>
      </c>
      <c r="I762" t="s">
        <v>46</v>
      </c>
      <c r="J762" t="s">
        <v>112</v>
      </c>
      <c r="K762" t="s">
        <v>48</v>
      </c>
      <c r="L762" t="s">
        <v>386</v>
      </c>
      <c r="M762" t="s">
        <v>50</v>
      </c>
      <c r="O762" t="s">
        <v>39</v>
      </c>
      <c r="P762" t="s">
        <v>39</v>
      </c>
      <c r="Q762" t="s">
        <v>39</v>
      </c>
      <c r="R762" t="s">
        <v>41</v>
      </c>
      <c r="S762" t="s">
        <v>40</v>
      </c>
      <c r="T762" t="s">
        <v>41</v>
      </c>
      <c r="U762" t="s">
        <v>39</v>
      </c>
      <c r="V762" t="s">
        <v>39</v>
      </c>
      <c r="W762" t="s">
        <v>39</v>
      </c>
      <c r="AB762" t="s">
        <v>6050</v>
      </c>
      <c r="AC762" t="s">
        <v>6051</v>
      </c>
      <c r="AD762" t="s">
        <v>6052</v>
      </c>
      <c r="AE762" t="s">
        <v>6053</v>
      </c>
    </row>
    <row r="763" spans="1:31" x14ac:dyDescent="0.2">
      <c r="A763">
        <v>45491280</v>
      </c>
      <c r="B763" t="s">
        <v>6054</v>
      </c>
      <c r="C763" t="s">
        <v>6055</v>
      </c>
      <c r="D763" t="s">
        <v>3505</v>
      </c>
      <c r="E763" s="9">
        <v>45880</v>
      </c>
      <c r="F763" s="9">
        <v>45909</v>
      </c>
      <c r="G763" t="s">
        <v>45</v>
      </c>
      <c r="H763" t="s">
        <v>6056</v>
      </c>
      <c r="I763" t="s">
        <v>4959</v>
      </c>
      <c r="J763" t="s">
        <v>6057</v>
      </c>
      <c r="K763" t="s">
        <v>48</v>
      </c>
      <c r="L763" t="s">
        <v>49</v>
      </c>
      <c r="M763" t="s">
        <v>74</v>
      </c>
      <c r="O763" t="s">
        <v>39</v>
      </c>
      <c r="P763" t="s">
        <v>39</v>
      </c>
      <c r="Q763" t="s">
        <v>39</v>
      </c>
      <c r="R763" t="s">
        <v>41</v>
      </c>
      <c r="S763" t="s">
        <v>40</v>
      </c>
      <c r="T763" t="s">
        <v>41</v>
      </c>
      <c r="U763" t="s">
        <v>39</v>
      </c>
      <c r="V763" t="s">
        <v>39</v>
      </c>
      <c r="W763" t="s">
        <v>40</v>
      </c>
      <c r="X763" t="s">
        <v>6058</v>
      </c>
      <c r="AB763" t="s">
        <v>6059</v>
      </c>
      <c r="AC763" t="s">
        <v>6060</v>
      </c>
      <c r="AD763" t="s">
        <v>6061</v>
      </c>
      <c r="AE763" t="s">
        <v>6062</v>
      </c>
    </row>
    <row r="764" spans="1:31" x14ac:dyDescent="0.2">
      <c r="A764">
        <v>45500219</v>
      </c>
      <c r="B764" t="s">
        <v>6063</v>
      </c>
      <c r="C764" t="s">
        <v>6064</v>
      </c>
      <c r="D764" t="s">
        <v>3505</v>
      </c>
      <c r="E764" s="9">
        <v>45881</v>
      </c>
      <c r="F764" s="9">
        <v>45893</v>
      </c>
      <c r="G764" t="s">
        <v>45</v>
      </c>
      <c r="H764" t="s">
        <v>46</v>
      </c>
      <c r="I764" t="s">
        <v>53</v>
      </c>
      <c r="J764" t="s">
        <v>154</v>
      </c>
      <c r="K764" t="s">
        <v>36</v>
      </c>
      <c r="L764" t="s">
        <v>386</v>
      </c>
      <c r="M764" t="s">
        <v>289</v>
      </c>
      <c r="O764" t="s">
        <v>39</v>
      </c>
      <c r="P764" t="s">
        <v>39</v>
      </c>
      <c r="Q764" t="s">
        <v>39</v>
      </c>
      <c r="R764" t="s">
        <v>41</v>
      </c>
      <c r="S764" t="s">
        <v>40</v>
      </c>
      <c r="T764" t="s">
        <v>41</v>
      </c>
      <c r="U764" t="s">
        <v>39</v>
      </c>
      <c r="V764" t="s">
        <v>39</v>
      </c>
      <c r="W764" t="s">
        <v>40</v>
      </c>
      <c r="AB764" t="s">
        <v>6065</v>
      </c>
      <c r="AC764" t="s">
        <v>6066</v>
      </c>
      <c r="AD764" t="s">
        <v>6067</v>
      </c>
    </row>
    <row r="765" spans="1:31" x14ac:dyDescent="0.2">
      <c r="A765">
        <v>45500251</v>
      </c>
      <c r="B765" t="s">
        <v>283</v>
      </c>
      <c r="C765" t="s">
        <v>284</v>
      </c>
      <c r="D765" t="s">
        <v>32</v>
      </c>
      <c r="E765" s="9">
        <v>45881</v>
      </c>
      <c r="G765" t="s">
        <v>45</v>
      </c>
      <c r="H765" t="s">
        <v>46</v>
      </c>
      <c r="I765" t="s">
        <v>285</v>
      </c>
      <c r="J765" t="s">
        <v>286</v>
      </c>
      <c r="K765" t="s">
        <v>48</v>
      </c>
      <c r="L765" t="s">
        <v>49</v>
      </c>
      <c r="M765" t="s">
        <v>50</v>
      </c>
      <c r="O765" t="s">
        <v>39</v>
      </c>
      <c r="P765" t="s">
        <v>39</v>
      </c>
      <c r="Q765" t="s">
        <v>39</v>
      </c>
      <c r="R765" t="s">
        <v>39</v>
      </c>
      <c r="S765" t="s">
        <v>40</v>
      </c>
      <c r="T765" t="s">
        <v>41</v>
      </c>
      <c r="U765" t="s">
        <v>39</v>
      </c>
      <c r="V765" t="s">
        <v>39</v>
      </c>
      <c r="W765" t="s">
        <v>39</v>
      </c>
      <c r="X765" t="s">
        <v>3086</v>
      </c>
      <c r="AB765" t="s">
        <v>3087</v>
      </c>
      <c r="AC765" t="s">
        <v>3088</v>
      </c>
      <c r="AD765" t="s">
        <v>3089</v>
      </c>
    </row>
    <row r="766" spans="1:31" x14ac:dyDescent="0.2">
      <c r="A766">
        <v>45539396</v>
      </c>
      <c r="B766" t="s">
        <v>6068</v>
      </c>
      <c r="C766" t="s">
        <v>6069</v>
      </c>
      <c r="D766" t="s">
        <v>3505</v>
      </c>
      <c r="E766" s="9">
        <v>45884</v>
      </c>
      <c r="F766" s="9">
        <v>45923</v>
      </c>
      <c r="G766" t="s">
        <v>33</v>
      </c>
      <c r="H766" t="s">
        <v>34</v>
      </c>
      <c r="J766" t="s">
        <v>303</v>
      </c>
      <c r="K766" t="s">
        <v>48</v>
      </c>
      <c r="L766" t="s">
        <v>164</v>
      </c>
      <c r="N766" t="s">
        <v>38</v>
      </c>
      <c r="O766" t="s">
        <v>40</v>
      </c>
      <c r="P766" t="s">
        <v>39</v>
      </c>
      <c r="Q766" t="s">
        <v>39</v>
      </c>
      <c r="R766" t="s">
        <v>40</v>
      </c>
      <c r="S766" t="s">
        <v>41</v>
      </c>
      <c r="T766" t="s">
        <v>41</v>
      </c>
      <c r="U766" t="s">
        <v>39</v>
      </c>
      <c r="V766" t="s">
        <v>39</v>
      </c>
      <c r="W766" t="s">
        <v>39</v>
      </c>
      <c r="AB766" t="s">
        <v>6070</v>
      </c>
      <c r="AC766" t="s">
        <v>6071</v>
      </c>
      <c r="AD766" t="s">
        <v>6072</v>
      </c>
    </row>
    <row r="767" spans="1:31" x14ac:dyDescent="0.2">
      <c r="A767">
        <v>45606391</v>
      </c>
      <c r="B767" t="s">
        <v>287</v>
      </c>
      <c r="C767" t="s">
        <v>288</v>
      </c>
      <c r="D767" t="s">
        <v>3505</v>
      </c>
      <c r="E767" s="9">
        <v>45890</v>
      </c>
      <c r="F767" s="9">
        <v>45963</v>
      </c>
      <c r="G767" t="s">
        <v>45</v>
      </c>
      <c r="H767" t="s">
        <v>53</v>
      </c>
      <c r="I767" t="s">
        <v>89</v>
      </c>
      <c r="J767" t="s">
        <v>54</v>
      </c>
      <c r="K767" t="s">
        <v>48</v>
      </c>
      <c r="L767" t="s">
        <v>37</v>
      </c>
      <c r="M767" t="s">
        <v>289</v>
      </c>
      <c r="O767" t="s">
        <v>39</v>
      </c>
      <c r="P767" t="s">
        <v>39</v>
      </c>
      <c r="Q767" t="s">
        <v>39</v>
      </c>
      <c r="R767" t="s">
        <v>41</v>
      </c>
      <c r="S767" t="s">
        <v>40</v>
      </c>
      <c r="T767" t="s">
        <v>41</v>
      </c>
      <c r="U767" t="s">
        <v>39</v>
      </c>
      <c r="V767" t="s">
        <v>39</v>
      </c>
      <c r="W767" t="s">
        <v>40</v>
      </c>
      <c r="AB767" t="s">
        <v>6073</v>
      </c>
      <c r="AC767" t="s">
        <v>6074</v>
      </c>
      <c r="AD767" t="s">
        <v>6075</v>
      </c>
      <c r="AE767" t="s">
        <v>6076</v>
      </c>
    </row>
    <row r="768" spans="1:31" x14ac:dyDescent="0.2">
      <c r="A768">
        <v>45606275</v>
      </c>
      <c r="B768" t="s">
        <v>6077</v>
      </c>
      <c r="C768" t="s">
        <v>6078</v>
      </c>
      <c r="D768" t="s">
        <v>3505</v>
      </c>
      <c r="E768" s="9">
        <v>45890</v>
      </c>
      <c r="F768" s="9">
        <v>45893</v>
      </c>
      <c r="G768" t="s">
        <v>45</v>
      </c>
      <c r="H768" t="s">
        <v>90</v>
      </c>
      <c r="I768" t="s">
        <v>46</v>
      </c>
      <c r="J768" t="s">
        <v>154</v>
      </c>
      <c r="K768" t="s">
        <v>48</v>
      </c>
      <c r="L768" t="s">
        <v>386</v>
      </c>
      <c r="M768" t="s">
        <v>289</v>
      </c>
      <c r="O768" t="s">
        <v>39</v>
      </c>
      <c r="P768" t="s">
        <v>39</v>
      </c>
      <c r="Q768" t="s">
        <v>39</v>
      </c>
      <c r="R768" t="s">
        <v>39</v>
      </c>
      <c r="S768" t="s">
        <v>40</v>
      </c>
      <c r="T768" t="s">
        <v>41</v>
      </c>
      <c r="U768" t="s">
        <v>39</v>
      </c>
      <c r="V768" t="s">
        <v>39</v>
      </c>
      <c r="W768" t="s">
        <v>39</v>
      </c>
      <c r="AB768" t="s">
        <v>6079</v>
      </c>
      <c r="AC768" t="s">
        <v>6080</v>
      </c>
      <c r="AD768" t="s">
        <v>6081</v>
      </c>
      <c r="AE768" t="s">
        <v>6082</v>
      </c>
    </row>
    <row r="769" spans="1:31" x14ac:dyDescent="0.2">
      <c r="A769">
        <v>45606411</v>
      </c>
      <c r="B769" t="s">
        <v>290</v>
      </c>
      <c r="C769" t="s">
        <v>291</v>
      </c>
      <c r="D769" t="s">
        <v>3505</v>
      </c>
      <c r="E769" s="9">
        <v>45890</v>
      </c>
      <c r="F769" s="9">
        <v>45949</v>
      </c>
      <c r="G769" t="s">
        <v>45</v>
      </c>
      <c r="H769" t="s">
        <v>53</v>
      </c>
      <c r="I769" t="s">
        <v>89</v>
      </c>
      <c r="J769" t="s">
        <v>54</v>
      </c>
      <c r="K769" t="s">
        <v>48</v>
      </c>
      <c r="L769" t="s">
        <v>37</v>
      </c>
      <c r="M769" t="s">
        <v>289</v>
      </c>
      <c r="O769" t="s">
        <v>39</v>
      </c>
      <c r="P769" t="s">
        <v>39</v>
      </c>
      <c r="Q769" t="s">
        <v>39</v>
      </c>
      <c r="R769" t="s">
        <v>41</v>
      </c>
      <c r="S769" t="s">
        <v>40</v>
      </c>
      <c r="T769" t="s">
        <v>41</v>
      </c>
      <c r="U769" t="s">
        <v>39</v>
      </c>
      <c r="V769" t="s">
        <v>39</v>
      </c>
      <c r="W769" t="s">
        <v>40</v>
      </c>
      <c r="AB769" t="s">
        <v>6083</v>
      </c>
      <c r="AC769" t="s">
        <v>6084</v>
      </c>
      <c r="AD769" t="s">
        <v>6085</v>
      </c>
      <c r="AE769" t="s">
        <v>6086</v>
      </c>
    </row>
    <row r="770" spans="1:31" x14ac:dyDescent="0.2">
      <c r="A770">
        <v>45606646</v>
      </c>
      <c r="B770" t="s">
        <v>6087</v>
      </c>
      <c r="C770" t="s">
        <v>6088</v>
      </c>
      <c r="D770" t="s">
        <v>3505</v>
      </c>
      <c r="E770" s="9">
        <v>45890</v>
      </c>
      <c r="F770" s="9">
        <v>45913</v>
      </c>
      <c r="G770" t="s">
        <v>45</v>
      </c>
      <c r="H770" t="s">
        <v>53</v>
      </c>
      <c r="I770" t="s">
        <v>90</v>
      </c>
      <c r="J770" t="s">
        <v>154</v>
      </c>
      <c r="K770" t="s">
        <v>48</v>
      </c>
      <c r="L770" t="s">
        <v>386</v>
      </c>
      <c r="M770" t="s">
        <v>50</v>
      </c>
      <c r="O770" t="s">
        <v>39</v>
      </c>
      <c r="P770" t="s">
        <v>39</v>
      </c>
      <c r="Q770" t="s">
        <v>39</v>
      </c>
      <c r="R770" t="s">
        <v>39</v>
      </c>
      <c r="S770" t="s">
        <v>40</v>
      </c>
      <c r="T770" t="s">
        <v>41</v>
      </c>
      <c r="U770" t="s">
        <v>39</v>
      </c>
      <c r="V770" t="s">
        <v>39</v>
      </c>
      <c r="W770" t="s">
        <v>39</v>
      </c>
      <c r="AB770" t="s">
        <v>6089</v>
      </c>
      <c r="AC770" t="s">
        <v>6090</v>
      </c>
      <c r="AD770" t="s">
        <v>6091</v>
      </c>
    </row>
    <row r="771" spans="1:31" x14ac:dyDescent="0.2">
      <c r="A771">
        <v>45606697</v>
      </c>
      <c r="B771" t="s">
        <v>6092</v>
      </c>
      <c r="C771" t="s">
        <v>6093</v>
      </c>
      <c r="D771" t="s">
        <v>3505</v>
      </c>
      <c r="E771" s="9">
        <v>45890</v>
      </c>
      <c r="F771" s="9">
        <v>45893</v>
      </c>
      <c r="G771" t="s">
        <v>45</v>
      </c>
      <c r="H771" t="s">
        <v>53</v>
      </c>
      <c r="I771" t="s">
        <v>90</v>
      </c>
      <c r="J771" t="s">
        <v>154</v>
      </c>
      <c r="K771" t="s">
        <v>36</v>
      </c>
      <c r="L771" t="s">
        <v>386</v>
      </c>
      <c r="M771" t="s">
        <v>50</v>
      </c>
      <c r="O771" t="s">
        <v>39</v>
      </c>
      <c r="P771" t="s">
        <v>39</v>
      </c>
      <c r="Q771" t="s">
        <v>39</v>
      </c>
      <c r="R771" t="s">
        <v>39</v>
      </c>
      <c r="S771" t="s">
        <v>40</v>
      </c>
      <c r="T771" t="s">
        <v>41</v>
      </c>
      <c r="U771" t="s">
        <v>39</v>
      </c>
      <c r="V771" t="s">
        <v>39</v>
      </c>
      <c r="W771" t="s">
        <v>39</v>
      </c>
      <c r="AB771" t="s">
        <v>6094</v>
      </c>
      <c r="AC771" t="s">
        <v>6095</v>
      </c>
      <c r="AD771" t="s">
        <v>6096</v>
      </c>
    </row>
    <row r="772" spans="1:31" x14ac:dyDescent="0.2">
      <c r="A772">
        <v>45606729</v>
      </c>
      <c r="B772" t="s">
        <v>292</v>
      </c>
      <c r="C772" t="s">
        <v>1230</v>
      </c>
      <c r="D772" t="s">
        <v>32</v>
      </c>
      <c r="E772" s="9">
        <v>45890</v>
      </c>
      <c r="G772" t="s">
        <v>45</v>
      </c>
      <c r="H772" t="s">
        <v>53</v>
      </c>
      <c r="J772" t="s">
        <v>146</v>
      </c>
      <c r="K772" t="s">
        <v>36</v>
      </c>
      <c r="L772" t="s">
        <v>37</v>
      </c>
      <c r="M772" t="s">
        <v>50</v>
      </c>
      <c r="O772" t="s">
        <v>39</v>
      </c>
      <c r="P772" t="s">
        <v>39</v>
      </c>
      <c r="Q772" t="s">
        <v>39</v>
      </c>
      <c r="R772" t="s">
        <v>41</v>
      </c>
      <c r="S772" t="s">
        <v>40</v>
      </c>
      <c r="T772" t="s">
        <v>41</v>
      </c>
      <c r="U772" t="s">
        <v>39</v>
      </c>
      <c r="V772" t="s">
        <v>39</v>
      </c>
      <c r="W772" t="s">
        <v>40</v>
      </c>
      <c r="X772" t="s">
        <v>1962</v>
      </c>
      <c r="AB772" t="s">
        <v>294</v>
      </c>
      <c r="AC772" t="s">
        <v>295</v>
      </c>
      <c r="AD772" t="s">
        <v>296</v>
      </c>
      <c r="AE772" t="s">
        <v>297</v>
      </c>
    </row>
    <row r="773" spans="1:31" x14ac:dyDescent="0.2">
      <c r="A773">
        <v>45619048</v>
      </c>
      <c r="B773" t="s">
        <v>6097</v>
      </c>
      <c r="C773" t="s">
        <v>6098</v>
      </c>
      <c r="D773" t="s">
        <v>3505</v>
      </c>
      <c r="E773" s="9">
        <v>45891</v>
      </c>
      <c r="F773" s="9">
        <v>45923</v>
      </c>
      <c r="G773" t="s">
        <v>33</v>
      </c>
      <c r="H773" t="s">
        <v>242</v>
      </c>
      <c r="J773" t="s">
        <v>3501</v>
      </c>
      <c r="K773" t="s">
        <v>48</v>
      </c>
      <c r="L773" t="s">
        <v>164</v>
      </c>
      <c r="N773" t="s">
        <v>235</v>
      </c>
      <c r="O773" t="s">
        <v>40</v>
      </c>
      <c r="P773" t="s">
        <v>39</v>
      </c>
      <c r="Q773" t="s">
        <v>39</v>
      </c>
      <c r="R773" t="s">
        <v>40</v>
      </c>
      <c r="S773" t="s">
        <v>41</v>
      </c>
      <c r="T773" t="s">
        <v>41</v>
      </c>
      <c r="U773" t="s">
        <v>39</v>
      </c>
      <c r="V773" t="s">
        <v>39</v>
      </c>
      <c r="W773" t="s">
        <v>39</v>
      </c>
      <c r="AB773" t="s">
        <v>6099</v>
      </c>
      <c r="AC773" t="s">
        <v>6100</v>
      </c>
    </row>
    <row r="774" spans="1:31" x14ac:dyDescent="0.2">
      <c r="A774">
        <v>45619106</v>
      </c>
      <c r="B774" t="s">
        <v>298</v>
      </c>
      <c r="C774" t="s">
        <v>299</v>
      </c>
      <c r="D774" t="s">
        <v>32</v>
      </c>
      <c r="E774" s="9">
        <v>45891</v>
      </c>
      <c r="G774" t="s">
        <v>33</v>
      </c>
      <c r="H774" t="s">
        <v>210</v>
      </c>
      <c r="J774" t="s">
        <v>222</v>
      </c>
      <c r="K774" t="s">
        <v>36</v>
      </c>
      <c r="L774" t="s">
        <v>164</v>
      </c>
      <c r="N774" t="s">
        <v>38</v>
      </c>
      <c r="O774" t="s">
        <v>40</v>
      </c>
      <c r="P774" t="s">
        <v>39</v>
      </c>
      <c r="Q774" t="s">
        <v>39</v>
      </c>
      <c r="R774" t="s">
        <v>40</v>
      </c>
      <c r="S774" t="s">
        <v>41</v>
      </c>
      <c r="T774" t="s">
        <v>41</v>
      </c>
      <c r="U774" t="s">
        <v>39</v>
      </c>
      <c r="V774" t="s">
        <v>39</v>
      </c>
      <c r="W774" t="s">
        <v>39</v>
      </c>
      <c r="X774" t="s">
        <v>1421</v>
      </c>
      <c r="AB774" t="s">
        <v>300</v>
      </c>
      <c r="AC774" t="s">
        <v>1231</v>
      </c>
    </row>
    <row r="775" spans="1:31" x14ac:dyDescent="0.2">
      <c r="A775">
        <v>45619099</v>
      </c>
      <c r="B775" t="s">
        <v>301</v>
      </c>
      <c r="C775" t="s">
        <v>302</v>
      </c>
      <c r="D775" t="s">
        <v>32</v>
      </c>
      <c r="E775" s="9">
        <v>45891</v>
      </c>
      <c r="G775" t="s">
        <v>33</v>
      </c>
      <c r="H775" t="s">
        <v>34</v>
      </c>
      <c r="J775" t="s">
        <v>303</v>
      </c>
      <c r="K775" t="s">
        <v>48</v>
      </c>
      <c r="L775" t="s">
        <v>164</v>
      </c>
      <c r="N775" t="s">
        <v>38</v>
      </c>
      <c r="O775" t="s">
        <v>40</v>
      </c>
      <c r="P775" t="s">
        <v>39</v>
      </c>
      <c r="Q775" t="s">
        <v>39</v>
      </c>
      <c r="R775" t="s">
        <v>40</v>
      </c>
      <c r="S775" t="s">
        <v>41</v>
      </c>
      <c r="T775" t="s">
        <v>41</v>
      </c>
      <c r="U775" t="s">
        <v>39</v>
      </c>
      <c r="V775" t="s">
        <v>39</v>
      </c>
      <c r="W775" t="s">
        <v>39</v>
      </c>
      <c r="X775" t="s">
        <v>1422</v>
      </c>
      <c r="AB775" t="s">
        <v>304</v>
      </c>
      <c r="AC775" t="s">
        <v>1232</v>
      </c>
    </row>
    <row r="776" spans="1:31" x14ac:dyDescent="0.2">
      <c r="A776">
        <v>45762303</v>
      </c>
      <c r="B776" t="s">
        <v>6101</v>
      </c>
      <c r="C776" t="s">
        <v>6102</v>
      </c>
      <c r="D776" t="s">
        <v>3505</v>
      </c>
      <c r="E776" s="9">
        <v>45905</v>
      </c>
      <c r="F776" s="9">
        <v>45941</v>
      </c>
      <c r="G776" t="s">
        <v>33</v>
      </c>
      <c r="H776" t="s">
        <v>210</v>
      </c>
      <c r="J776" t="s">
        <v>236</v>
      </c>
      <c r="K776" t="s">
        <v>36</v>
      </c>
      <c r="L776" t="s">
        <v>164</v>
      </c>
      <c r="N776" t="s">
        <v>38</v>
      </c>
      <c r="O776" t="s">
        <v>40</v>
      </c>
      <c r="P776" t="s">
        <v>41</v>
      </c>
      <c r="Q776" t="s">
        <v>39</v>
      </c>
      <c r="R776" t="s">
        <v>40</v>
      </c>
      <c r="S776" t="s">
        <v>41</v>
      </c>
      <c r="T776" t="s">
        <v>41</v>
      </c>
      <c r="U776" t="s">
        <v>39</v>
      </c>
      <c r="V776" t="s">
        <v>39</v>
      </c>
      <c r="W776" t="s">
        <v>39</v>
      </c>
      <c r="AB776" t="s">
        <v>6103</v>
      </c>
      <c r="AC776" t="s">
        <v>6104</v>
      </c>
      <c r="AD776" t="s">
        <v>6105</v>
      </c>
    </row>
    <row r="777" spans="1:31" x14ac:dyDescent="0.2">
      <c r="A777">
        <v>45763878</v>
      </c>
      <c r="B777" t="s">
        <v>305</v>
      </c>
      <c r="C777" t="s">
        <v>306</v>
      </c>
      <c r="D777" t="s">
        <v>32</v>
      </c>
      <c r="E777" s="9">
        <v>45905</v>
      </c>
      <c r="G777" t="s">
        <v>45</v>
      </c>
      <c r="H777" t="s">
        <v>53</v>
      </c>
      <c r="I777" t="s">
        <v>59</v>
      </c>
      <c r="J777" t="s">
        <v>307</v>
      </c>
      <c r="K777" t="s">
        <v>36</v>
      </c>
      <c r="L777" t="s">
        <v>49</v>
      </c>
      <c r="M777" t="s">
        <v>74</v>
      </c>
      <c r="O777" t="s">
        <v>39</v>
      </c>
      <c r="P777" t="s">
        <v>39</v>
      </c>
      <c r="Q777" t="s">
        <v>39</v>
      </c>
      <c r="R777" t="s">
        <v>39</v>
      </c>
      <c r="S777" t="s">
        <v>40</v>
      </c>
      <c r="T777" t="s">
        <v>41</v>
      </c>
      <c r="U777" t="s">
        <v>39</v>
      </c>
      <c r="V777" t="s">
        <v>39</v>
      </c>
      <c r="W777" t="s">
        <v>39</v>
      </c>
      <c r="X777" t="s">
        <v>1423</v>
      </c>
      <c r="AB777" t="s">
        <v>308</v>
      </c>
      <c r="AC777" t="s">
        <v>309</v>
      </c>
      <c r="AD777" t="s">
        <v>310</v>
      </c>
    </row>
    <row r="778" spans="1:31" x14ac:dyDescent="0.2">
      <c r="A778">
        <v>45762331</v>
      </c>
      <c r="B778" t="s">
        <v>6106</v>
      </c>
      <c r="C778" t="s">
        <v>6107</v>
      </c>
      <c r="D778" t="s">
        <v>3505</v>
      </c>
      <c r="E778" s="9">
        <v>45905</v>
      </c>
      <c r="F778" s="9">
        <v>45923</v>
      </c>
      <c r="G778" t="s">
        <v>45</v>
      </c>
      <c r="H778" t="s">
        <v>90</v>
      </c>
      <c r="I778" t="s">
        <v>4008</v>
      </c>
      <c r="J778" t="s">
        <v>123</v>
      </c>
      <c r="K778" t="s">
        <v>48</v>
      </c>
      <c r="L778" t="s">
        <v>386</v>
      </c>
      <c r="M778" t="s">
        <v>289</v>
      </c>
      <c r="O778" t="s">
        <v>39</v>
      </c>
      <c r="P778" t="s">
        <v>39</v>
      </c>
      <c r="Q778" t="s">
        <v>39</v>
      </c>
      <c r="R778" t="s">
        <v>41</v>
      </c>
      <c r="S778" t="s">
        <v>40</v>
      </c>
      <c r="T778" t="s">
        <v>41</v>
      </c>
      <c r="U778" t="s">
        <v>39</v>
      </c>
      <c r="V778" t="s">
        <v>39</v>
      </c>
      <c r="W778" t="s">
        <v>40</v>
      </c>
      <c r="X778" t="s">
        <v>6108</v>
      </c>
      <c r="AB778" t="s">
        <v>6109</v>
      </c>
      <c r="AC778" t="s">
        <v>6110</v>
      </c>
      <c r="AD778" t="s">
        <v>6111</v>
      </c>
      <c r="AE778" t="s">
        <v>6112</v>
      </c>
    </row>
    <row r="779" spans="1:31" x14ac:dyDescent="0.2">
      <c r="A779">
        <v>45763896</v>
      </c>
      <c r="B779" t="s">
        <v>311</v>
      </c>
      <c r="C779" t="s">
        <v>3090</v>
      </c>
      <c r="D779" t="s">
        <v>32</v>
      </c>
      <c r="E779" s="9">
        <v>45905</v>
      </c>
      <c r="G779" t="s">
        <v>45</v>
      </c>
      <c r="H779" t="s">
        <v>68</v>
      </c>
      <c r="I779" t="s">
        <v>59</v>
      </c>
      <c r="J779" t="s">
        <v>138</v>
      </c>
      <c r="K779" t="s">
        <v>48</v>
      </c>
      <c r="L779" t="s">
        <v>49</v>
      </c>
      <c r="M779" t="s">
        <v>50</v>
      </c>
      <c r="O779" t="s">
        <v>39</v>
      </c>
      <c r="P779" t="s">
        <v>39</v>
      </c>
      <c r="Q779" t="s">
        <v>39</v>
      </c>
      <c r="R779" t="s">
        <v>41</v>
      </c>
      <c r="S779" t="s">
        <v>40</v>
      </c>
      <c r="T779" t="s">
        <v>41</v>
      </c>
      <c r="U779" t="s">
        <v>39</v>
      </c>
      <c r="V779" t="s">
        <v>39</v>
      </c>
      <c r="W779" t="s">
        <v>40</v>
      </c>
      <c r="AB779" t="s">
        <v>313</v>
      </c>
      <c r="AC779" t="s">
        <v>314</v>
      </c>
      <c r="AD779" t="s">
        <v>315</v>
      </c>
    </row>
    <row r="780" spans="1:31" x14ac:dyDescent="0.2">
      <c r="A780">
        <v>45763997</v>
      </c>
      <c r="B780" t="s">
        <v>316</v>
      </c>
      <c r="C780" t="s">
        <v>317</v>
      </c>
      <c r="D780" t="s">
        <v>32</v>
      </c>
      <c r="E780" s="9">
        <v>45905</v>
      </c>
      <c r="G780" t="s">
        <v>45</v>
      </c>
      <c r="H780" t="s">
        <v>96</v>
      </c>
      <c r="I780" t="s">
        <v>122</v>
      </c>
      <c r="J780" t="s">
        <v>123</v>
      </c>
      <c r="K780" t="s">
        <v>48</v>
      </c>
      <c r="L780" t="s">
        <v>37</v>
      </c>
      <c r="M780" t="s">
        <v>50</v>
      </c>
      <c r="O780" t="s">
        <v>39</v>
      </c>
      <c r="P780" t="s">
        <v>39</v>
      </c>
      <c r="Q780" t="s">
        <v>39</v>
      </c>
      <c r="R780" t="s">
        <v>41</v>
      </c>
      <c r="S780" t="s">
        <v>40</v>
      </c>
      <c r="T780" t="s">
        <v>41</v>
      </c>
      <c r="U780" t="s">
        <v>39</v>
      </c>
      <c r="V780" t="s">
        <v>39</v>
      </c>
      <c r="W780" t="s">
        <v>40</v>
      </c>
      <c r="X780" t="s">
        <v>2192</v>
      </c>
      <c r="AB780" t="s">
        <v>318</v>
      </c>
      <c r="AC780" t="s">
        <v>319</v>
      </c>
      <c r="AD780" t="s">
        <v>320</v>
      </c>
    </row>
    <row r="781" spans="1:31" x14ac:dyDescent="0.2">
      <c r="A781">
        <v>45764004</v>
      </c>
      <c r="B781" t="s">
        <v>321</v>
      </c>
      <c r="C781" t="s">
        <v>322</v>
      </c>
      <c r="D781" t="s">
        <v>32</v>
      </c>
      <c r="E781" s="9">
        <v>45905</v>
      </c>
      <c r="G781" t="s">
        <v>45</v>
      </c>
      <c r="H781" t="s">
        <v>53</v>
      </c>
      <c r="I781" t="s">
        <v>46</v>
      </c>
      <c r="J781" t="s">
        <v>60</v>
      </c>
      <c r="K781" t="s">
        <v>48</v>
      </c>
      <c r="L781" t="s">
        <v>49</v>
      </c>
      <c r="M781" t="s">
        <v>50</v>
      </c>
      <c r="O781" t="s">
        <v>39</v>
      </c>
      <c r="P781" t="s">
        <v>39</v>
      </c>
      <c r="Q781" t="s">
        <v>39</v>
      </c>
      <c r="R781" t="s">
        <v>41</v>
      </c>
      <c r="S781" t="s">
        <v>40</v>
      </c>
      <c r="T781" t="s">
        <v>41</v>
      </c>
      <c r="U781" t="s">
        <v>39</v>
      </c>
      <c r="V781" t="s">
        <v>39</v>
      </c>
      <c r="W781" t="s">
        <v>39</v>
      </c>
      <c r="AB781" t="s">
        <v>323</v>
      </c>
      <c r="AC781" t="s">
        <v>324</v>
      </c>
      <c r="AD781" t="s">
        <v>325</v>
      </c>
      <c r="AE781" t="s">
        <v>326</v>
      </c>
    </row>
    <row r="782" spans="1:31" x14ac:dyDescent="0.2">
      <c r="A782">
        <v>45764020</v>
      </c>
      <c r="B782" t="s">
        <v>327</v>
      </c>
      <c r="C782" t="s">
        <v>2193</v>
      </c>
      <c r="D782" t="s">
        <v>32</v>
      </c>
      <c r="E782" s="9">
        <v>45905</v>
      </c>
      <c r="G782" t="s">
        <v>45</v>
      </c>
      <c r="H782" t="s">
        <v>253</v>
      </c>
      <c r="I782" t="s">
        <v>252</v>
      </c>
      <c r="J782" t="s">
        <v>254</v>
      </c>
      <c r="K782" t="s">
        <v>48</v>
      </c>
      <c r="L782" t="s">
        <v>49</v>
      </c>
      <c r="M782" t="s">
        <v>50</v>
      </c>
      <c r="O782" t="s">
        <v>39</v>
      </c>
      <c r="P782" t="s">
        <v>39</v>
      </c>
      <c r="Q782" t="s">
        <v>39</v>
      </c>
      <c r="R782" t="s">
        <v>41</v>
      </c>
      <c r="S782" t="s">
        <v>40</v>
      </c>
      <c r="T782" t="s">
        <v>41</v>
      </c>
      <c r="U782" t="s">
        <v>39</v>
      </c>
      <c r="V782" t="s">
        <v>39</v>
      </c>
      <c r="W782" t="s">
        <v>40</v>
      </c>
      <c r="AB782" t="s">
        <v>329</v>
      </c>
      <c r="AC782" t="s">
        <v>330</v>
      </c>
      <c r="AD782" t="s">
        <v>331</v>
      </c>
      <c r="AE782" t="s">
        <v>332</v>
      </c>
    </row>
    <row r="783" spans="1:31" x14ac:dyDescent="0.2">
      <c r="A783">
        <v>45764028</v>
      </c>
      <c r="B783" t="s">
        <v>333</v>
      </c>
      <c r="C783" t="s">
        <v>334</v>
      </c>
      <c r="D783" t="s">
        <v>32</v>
      </c>
      <c r="E783" s="9">
        <v>45905</v>
      </c>
      <c r="G783" t="s">
        <v>45</v>
      </c>
      <c r="H783" t="s">
        <v>335</v>
      </c>
      <c r="I783" t="s">
        <v>336</v>
      </c>
      <c r="J783" t="s">
        <v>117</v>
      </c>
      <c r="K783" t="s">
        <v>48</v>
      </c>
      <c r="L783" t="s">
        <v>49</v>
      </c>
      <c r="M783" t="s">
        <v>50</v>
      </c>
      <c r="O783" t="s">
        <v>39</v>
      </c>
      <c r="P783" t="s">
        <v>39</v>
      </c>
      <c r="Q783" t="s">
        <v>39</v>
      </c>
      <c r="R783" t="s">
        <v>41</v>
      </c>
      <c r="S783" t="s">
        <v>40</v>
      </c>
      <c r="T783" t="s">
        <v>41</v>
      </c>
      <c r="U783" t="s">
        <v>39</v>
      </c>
      <c r="V783" t="s">
        <v>39</v>
      </c>
      <c r="W783" t="s">
        <v>40</v>
      </c>
      <c r="AB783" t="s">
        <v>337</v>
      </c>
      <c r="AC783" t="s">
        <v>338</v>
      </c>
      <c r="AD783" t="s">
        <v>339</v>
      </c>
      <c r="AE783" t="s">
        <v>340</v>
      </c>
    </row>
    <row r="784" spans="1:31" x14ac:dyDescent="0.2">
      <c r="A784">
        <v>45756215</v>
      </c>
      <c r="B784" t="s">
        <v>6113</v>
      </c>
      <c r="C784" t="s">
        <v>6114</v>
      </c>
      <c r="D784" t="s">
        <v>3505</v>
      </c>
      <c r="E784" s="9">
        <v>45905</v>
      </c>
      <c r="F784" s="9">
        <v>45923</v>
      </c>
      <c r="G784" t="s">
        <v>45</v>
      </c>
      <c r="H784" t="s">
        <v>385</v>
      </c>
      <c r="I784" t="s">
        <v>2312</v>
      </c>
      <c r="J784" t="s">
        <v>98</v>
      </c>
      <c r="K784" t="s">
        <v>36</v>
      </c>
      <c r="L784" t="s">
        <v>386</v>
      </c>
      <c r="M784" t="s">
        <v>50</v>
      </c>
      <c r="O784" t="s">
        <v>39</v>
      </c>
      <c r="P784" t="s">
        <v>41</v>
      </c>
      <c r="Q784" t="s">
        <v>39</v>
      </c>
      <c r="R784" t="s">
        <v>39</v>
      </c>
      <c r="S784" t="s">
        <v>40</v>
      </c>
      <c r="T784" t="s">
        <v>41</v>
      </c>
      <c r="U784" t="s">
        <v>39</v>
      </c>
      <c r="V784" t="s">
        <v>39</v>
      </c>
      <c r="W784" t="s">
        <v>39</v>
      </c>
      <c r="AB784" t="s">
        <v>6115</v>
      </c>
      <c r="AC784" t="s">
        <v>6116</v>
      </c>
    </row>
    <row r="785" spans="1:31" x14ac:dyDescent="0.2">
      <c r="A785">
        <v>45763858</v>
      </c>
      <c r="B785" t="s">
        <v>6117</v>
      </c>
      <c r="C785" t="s">
        <v>6118</v>
      </c>
      <c r="D785" t="s">
        <v>3505</v>
      </c>
      <c r="E785" s="9">
        <v>45905</v>
      </c>
      <c r="F785" s="9">
        <v>45948</v>
      </c>
      <c r="G785" t="s">
        <v>45</v>
      </c>
      <c r="H785" t="s">
        <v>90</v>
      </c>
      <c r="I785" t="s">
        <v>341</v>
      </c>
      <c r="J785" t="s">
        <v>342</v>
      </c>
      <c r="K785" t="s">
        <v>36</v>
      </c>
      <c r="L785" t="s">
        <v>37</v>
      </c>
      <c r="M785" t="s">
        <v>50</v>
      </c>
      <c r="O785" t="s">
        <v>39</v>
      </c>
      <c r="P785" t="s">
        <v>39</v>
      </c>
      <c r="Q785" t="s">
        <v>39</v>
      </c>
      <c r="R785" t="s">
        <v>41</v>
      </c>
      <c r="S785" t="s">
        <v>40</v>
      </c>
      <c r="T785" t="s">
        <v>41</v>
      </c>
      <c r="U785" t="s">
        <v>39</v>
      </c>
      <c r="V785" t="s">
        <v>39</v>
      </c>
      <c r="W785" t="s">
        <v>40</v>
      </c>
      <c r="AB785" t="s">
        <v>6119</v>
      </c>
      <c r="AC785" t="s">
        <v>6120</v>
      </c>
      <c r="AD785" t="s">
        <v>6121</v>
      </c>
    </row>
    <row r="786" spans="1:31" x14ac:dyDescent="0.2">
      <c r="A786">
        <v>45764081</v>
      </c>
      <c r="B786" t="s">
        <v>6122</v>
      </c>
      <c r="C786" t="s">
        <v>6123</v>
      </c>
      <c r="D786" t="s">
        <v>3505</v>
      </c>
      <c r="E786" s="9">
        <v>45906</v>
      </c>
      <c r="F786" s="9">
        <v>45923</v>
      </c>
      <c r="G786" t="s">
        <v>33</v>
      </c>
      <c r="H786" t="s">
        <v>242</v>
      </c>
      <c r="J786" t="s">
        <v>1245</v>
      </c>
      <c r="K786" t="s">
        <v>36</v>
      </c>
      <c r="L786" t="s">
        <v>164</v>
      </c>
      <c r="N786" t="s">
        <v>235</v>
      </c>
      <c r="O786" t="s">
        <v>40</v>
      </c>
      <c r="P786" t="s">
        <v>39</v>
      </c>
      <c r="Q786" t="s">
        <v>39</v>
      </c>
      <c r="R786" t="s">
        <v>40</v>
      </c>
      <c r="S786" t="s">
        <v>41</v>
      </c>
      <c r="T786" t="s">
        <v>41</v>
      </c>
      <c r="U786" t="s">
        <v>39</v>
      </c>
      <c r="V786" t="s">
        <v>39</v>
      </c>
      <c r="W786" t="s">
        <v>39</v>
      </c>
      <c r="AB786" t="s">
        <v>6124</v>
      </c>
    </row>
    <row r="787" spans="1:31" x14ac:dyDescent="0.2">
      <c r="A787">
        <v>45764084</v>
      </c>
      <c r="B787" t="s">
        <v>6125</v>
      </c>
      <c r="C787" t="s">
        <v>6126</v>
      </c>
      <c r="D787" t="s">
        <v>3505</v>
      </c>
      <c r="E787" s="9">
        <v>45906</v>
      </c>
      <c r="F787" s="9">
        <v>45946</v>
      </c>
      <c r="G787" t="s">
        <v>33</v>
      </c>
      <c r="H787" t="s">
        <v>34</v>
      </c>
      <c r="J787" t="s">
        <v>211</v>
      </c>
      <c r="K787" t="s">
        <v>36</v>
      </c>
      <c r="L787" t="s">
        <v>164</v>
      </c>
      <c r="N787" t="s">
        <v>38</v>
      </c>
      <c r="O787" t="s">
        <v>40</v>
      </c>
      <c r="P787" t="s">
        <v>39</v>
      </c>
      <c r="Q787" t="s">
        <v>39</v>
      </c>
      <c r="R787" t="s">
        <v>40</v>
      </c>
      <c r="S787" t="s">
        <v>41</v>
      </c>
      <c r="T787" t="s">
        <v>41</v>
      </c>
      <c r="U787" t="s">
        <v>39</v>
      </c>
      <c r="V787" t="s">
        <v>39</v>
      </c>
      <c r="W787" t="s">
        <v>39</v>
      </c>
      <c r="AB787" t="s">
        <v>6127</v>
      </c>
    </row>
    <row r="788" spans="1:31" x14ac:dyDescent="0.2">
      <c r="A788">
        <v>45764087</v>
      </c>
      <c r="B788" t="s">
        <v>6128</v>
      </c>
      <c r="C788" t="s">
        <v>6129</v>
      </c>
      <c r="D788" t="s">
        <v>3505</v>
      </c>
      <c r="E788" s="9">
        <v>45906</v>
      </c>
      <c r="F788" s="9">
        <v>45946</v>
      </c>
      <c r="G788" t="s">
        <v>33</v>
      </c>
      <c r="H788" t="s">
        <v>34</v>
      </c>
      <c r="J788" t="s">
        <v>236</v>
      </c>
      <c r="K788" t="s">
        <v>48</v>
      </c>
      <c r="L788" t="s">
        <v>164</v>
      </c>
      <c r="N788" t="s">
        <v>38</v>
      </c>
      <c r="O788" t="s">
        <v>40</v>
      </c>
      <c r="P788" t="s">
        <v>39</v>
      </c>
      <c r="Q788" t="s">
        <v>39</v>
      </c>
      <c r="R788" t="s">
        <v>40</v>
      </c>
      <c r="S788" t="s">
        <v>41</v>
      </c>
      <c r="T788" t="s">
        <v>41</v>
      </c>
      <c r="U788" t="s">
        <v>39</v>
      </c>
      <c r="V788" t="s">
        <v>39</v>
      </c>
      <c r="W788" t="s">
        <v>39</v>
      </c>
      <c r="AB788" t="s">
        <v>6130</v>
      </c>
    </row>
    <row r="789" spans="1:31" x14ac:dyDescent="0.2">
      <c r="A789">
        <v>45764180</v>
      </c>
      <c r="B789" t="s">
        <v>6131</v>
      </c>
      <c r="C789" t="s">
        <v>6132</v>
      </c>
      <c r="D789" t="s">
        <v>3505</v>
      </c>
      <c r="E789" s="9">
        <v>45906</v>
      </c>
      <c r="F789" s="9">
        <v>45927</v>
      </c>
      <c r="G789" t="s">
        <v>33</v>
      </c>
      <c r="H789" t="s">
        <v>210</v>
      </c>
      <c r="J789" t="s">
        <v>211</v>
      </c>
      <c r="K789" t="s">
        <v>36</v>
      </c>
      <c r="L789" t="s">
        <v>164</v>
      </c>
      <c r="N789" t="s">
        <v>38</v>
      </c>
      <c r="O789" t="s">
        <v>40</v>
      </c>
      <c r="P789" t="s">
        <v>39</v>
      </c>
      <c r="Q789" t="s">
        <v>39</v>
      </c>
      <c r="R789" t="s">
        <v>40</v>
      </c>
      <c r="S789" t="s">
        <v>41</v>
      </c>
      <c r="T789" t="s">
        <v>41</v>
      </c>
      <c r="U789" t="s">
        <v>39</v>
      </c>
      <c r="V789" t="s">
        <v>39</v>
      </c>
      <c r="W789" t="s">
        <v>39</v>
      </c>
      <c r="X789" t="s">
        <v>6133</v>
      </c>
      <c r="AB789" t="s">
        <v>6134</v>
      </c>
      <c r="AC789" t="s">
        <v>6135</v>
      </c>
      <c r="AD789" t="s">
        <v>6136</v>
      </c>
      <c r="AE789" t="s">
        <v>6137</v>
      </c>
    </row>
    <row r="790" spans="1:31" x14ac:dyDescent="0.2">
      <c r="A790">
        <v>45764037</v>
      </c>
      <c r="B790" t="s">
        <v>6138</v>
      </c>
      <c r="C790" t="s">
        <v>6139</v>
      </c>
      <c r="D790" t="s">
        <v>3505</v>
      </c>
      <c r="E790" s="9">
        <v>45906</v>
      </c>
      <c r="F790" s="9">
        <v>45913</v>
      </c>
      <c r="G790" t="s">
        <v>45</v>
      </c>
      <c r="H790" t="s">
        <v>59</v>
      </c>
      <c r="I790" t="s">
        <v>46</v>
      </c>
      <c r="J790" t="s">
        <v>54</v>
      </c>
      <c r="K790" t="s">
        <v>48</v>
      </c>
      <c r="L790" t="s">
        <v>37</v>
      </c>
      <c r="M790" t="s">
        <v>50</v>
      </c>
      <c r="O790" t="s">
        <v>39</v>
      </c>
      <c r="P790" t="s">
        <v>41</v>
      </c>
      <c r="Q790" t="s">
        <v>39</v>
      </c>
      <c r="R790" t="s">
        <v>41</v>
      </c>
      <c r="S790" t="s">
        <v>40</v>
      </c>
      <c r="T790" t="s">
        <v>41</v>
      </c>
      <c r="U790" t="s">
        <v>39</v>
      </c>
      <c r="V790" t="s">
        <v>39</v>
      </c>
      <c r="W790" t="s">
        <v>40</v>
      </c>
      <c r="AB790" t="s">
        <v>6140</v>
      </c>
      <c r="AC790" t="s">
        <v>6141</v>
      </c>
      <c r="AD790" t="s">
        <v>6142</v>
      </c>
      <c r="AE790" t="s">
        <v>6143</v>
      </c>
    </row>
    <row r="791" spans="1:31" x14ac:dyDescent="0.2">
      <c r="A791">
        <v>45767897</v>
      </c>
      <c r="B791" t="s">
        <v>343</v>
      </c>
      <c r="C791" t="s">
        <v>344</v>
      </c>
      <c r="D791" t="s">
        <v>32</v>
      </c>
      <c r="E791" s="9">
        <v>45906</v>
      </c>
      <c r="G791" t="s">
        <v>33</v>
      </c>
      <c r="H791" t="s">
        <v>34</v>
      </c>
      <c r="J791" t="s">
        <v>234</v>
      </c>
      <c r="K791" t="s">
        <v>48</v>
      </c>
      <c r="L791" t="s">
        <v>37</v>
      </c>
      <c r="N791" t="s">
        <v>38</v>
      </c>
      <c r="O791" t="s">
        <v>40</v>
      </c>
      <c r="P791" t="s">
        <v>39</v>
      </c>
      <c r="Q791" t="s">
        <v>39</v>
      </c>
      <c r="R791" t="s">
        <v>40</v>
      </c>
      <c r="S791" t="s">
        <v>41</v>
      </c>
      <c r="T791" t="s">
        <v>41</v>
      </c>
      <c r="U791" t="s">
        <v>39</v>
      </c>
      <c r="V791" t="s">
        <v>39</v>
      </c>
      <c r="W791" t="s">
        <v>39</v>
      </c>
      <c r="X791" t="s">
        <v>345</v>
      </c>
      <c r="AB791" t="s">
        <v>346</v>
      </c>
      <c r="AC791" t="s">
        <v>347</v>
      </c>
      <c r="AD791" t="s">
        <v>348</v>
      </c>
      <c r="AE791" t="s">
        <v>349</v>
      </c>
    </row>
    <row r="792" spans="1:31" x14ac:dyDescent="0.2">
      <c r="A792">
        <v>45764059</v>
      </c>
      <c r="B792" t="s">
        <v>6144</v>
      </c>
      <c r="C792" t="s">
        <v>6145</v>
      </c>
      <c r="D792" t="s">
        <v>3505</v>
      </c>
      <c r="E792" s="9">
        <v>45906</v>
      </c>
      <c r="F792" s="9">
        <v>45937</v>
      </c>
      <c r="G792" t="s">
        <v>45</v>
      </c>
      <c r="H792" t="s">
        <v>4738</v>
      </c>
      <c r="I792" t="s">
        <v>350</v>
      </c>
      <c r="J792" t="s">
        <v>1440</v>
      </c>
      <c r="K792" t="s">
        <v>36</v>
      </c>
      <c r="L792" t="s">
        <v>37</v>
      </c>
      <c r="M792" t="s">
        <v>289</v>
      </c>
      <c r="O792" t="s">
        <v>39</v>
      </c>
      <c r="P792" t="s">
        <v>39</v>
      </c>
      <c r="Q792" t="s">
        <v>39</v>
      </c>
      <c r="R792" t="s">
        <v>41</v>
      </c>
      <c r="S792" t="s">
        <v>40</v>
      </c>
      <c r="T792" t="s">
        <v>41</v>
      </c>
      <c r="U792" t="s">
        <v>39</v>
      </c>
      <c r="V792" t="s">
        <v>39</v>
      </c>
      <c r="W792" t="s">
        <v>40</v>
      </c>
      <c r="AB792" t="s">
        <v>6146</v>
      </c>
      <c r="AC792" t="s">
        <v>6147</v>
      </c>
      <c r="AD792" t="s">
        <v>6148</v>
      </c>
      <c r="AE792" t="s">
        <v>6149</v>
      </c>
    </row>
    <row r="793" spans="1:31" x14ac:dyDescent="0.2">
      <c r="A793">
        <v>45764063</v>
      </c>
      <c r="B793" t="s">
        <v>351</v>
      </c>
      <c r="C793" t="s">
        <v>1233</v>
      </c>
      <c r="D793" t="s">
        <v>3505</v>
      </c>
      <c r="E793" s="9">
        <v>45906</v>
      </c>
      <c r="F793" s="9">
        <v>45963</v>
      </c>
      <c r="G793" t="s">
        <v>45</v>
      </c>
      <c r="H793" t="s">
        <v>90</v>
      </c>
      <c r="I793" t="s">
        <v>96</v>
      </c>
      <c r="J793" t="s">
        <v>123</v>
      </c>
      <c r="K793" t="s">
        <v>36</v>
      </c>
      <c r="L793" t="s">
        <v>49</v>
      </c>
      <c r="M793" t="s">
        <v>74</v>
      </c>
      <c r="O793" t="s">
        <v>39</v>
      </c>
      <c r="P793" t="s">
        <v>39</v>
      </c>
      <c r="Q793" t="s">
        <v>39</v>
      </c>
      <c r="R793" t="s">
        <v>41</v>
      </c>
      <c r="S793" t="s">
        <v>40</v>
      </c>
      <c r="T793" t="s">
        <v>41</v>
      </c>
      <c r="U793" t="s">
        <v>39</v>
      </c>
      <c r="V793" t="s">
        <v>39</v>
      </c>
      <c r="W793" t="s">
        <v>40</v>
      </c>
      <c r="AB793" t="s">
        <v>6150</v>
      </c>
      <c r="AC793" t="s">
        <v>6151</v>
      </c>
      <c r="AD793" t="s">
        <v>6152</v>
      </c>
      <c r="AE793" t="s">
        <v>6153</v>
      </c>
    </row>
    <row r="794" spans="1:31" x14ac:dyDescent="0.2">
      <c r="A794">
        <v>45764075</v>
      </c>
      <c r="B794" t="s">
        <v>353</v>
      </c>
      <c r="C794" t="s">
        <v>354</v>
      </c>
      <c r="D794" t="s">
        <v>3505</v>
      </c>
      <c r="E794" s="9">
        <v>45906</v>
      </c>
      <c r="F794" s="9">
        <v>45963</v>
      </c>
      <c r="G794" t="s">
        <v>45</v>
      </c>
      <c r="H794" t="s">
        <v>53</v>
      </c>
      <c r="I794" t="s">
        <v>46</v>
      </c>
      <c r="J794" t="s">
        <v>307</v>
      </c>
      <c r="K794" t="s">
        <v>36</v>
      </c>
      <c r="L794" t="s">
        <v>49</v>
      </c>
      <c r="M794" t="s">
        <v>50</v>
      </c>
      <c r="O794" t="s">
        <v>39</v>
      </c>
      <c r="P794" t="s">
        <v>41</v>
      </c>
      <c r="Q794" t="s">
        <v>39</v>
      </c>
      <c r="R794" t="s">
        <v>41</v>
      </c>
      <c r="S794" t="s">
        <v>40</v>
      </c>
      <c r="T794" t="s">
        <v>41</v>
      </c>
      <c r="U794" t="s">
        <v>39</v>
      </c>
      <c r="V794" t="s">
        <v>39</v>
      </c>
      <c r="W794" t="s">
        <v>40</v>
      </c>
      <c r="X794" t="s">
        <v>6154</v>
      </c>
      <c r="AB794" t="s">
        <v>6155</v>
      </c>
      <c r="AC794" t="s">
        <v>6156</v>
      </c>
      <c r="AD794" t="s">
        <v>6157</v>
      </c>
    </row>
    <row r="795" spans="1:31" x14ac:dyDescent="0.2">
      <c r="A795">
        <v>45764080</v>
      </c>
      <c r="B795" t="s">
        <v>355</v>
      </c>
      <c r="C795" t="s">
        <v>356</v>
      </c>
      <c r="D795" t="s">
        <v>32</v>
      </c>
      <c r="E795" s="9">
        <v>45906</v>
      </c>
      <c r="G795" t="s">
        <v>45</v>
      </c>
      <c r="H795" t="s">
        <v>46</v>
      </c>
      <c r="I795" t="s">
        <v>53</v>
      </c>
      <c r="J795" t="s">
        <v>133</v>
      </c>
      <c r="K795" t="s">
        <v>36</v>
      </c>
      <c r="L795" t="s">
        <v>49</v>
      </c>
      <c r="M795" t="s">
        <v>50</v>
      </c>
      <c r="O795" t="s">
        <v>39</v>
      </c>
      <c r="P795" t="s">
        <v>39</v>
      </c>
      <c r="Q795" t="s">
        <v>39</v>
      </c>
      <c r="R795" t="s">
        <v>41</v>
      </c>
      <c r="S795" t="s">
        <v>40</v>
      </c>
      <c r="T795" t="s">
        <v>41</v>
      </c>
      <c r="U795" t="s">
        <v>39</v>
      </c>
      <c r="V795" t="s">
        <v>39</v>
      </c>
      <c r="W795" t="s">
        <v>40</v>
      </c>
      <c r="AB795" t="s">
        <v>357</v>
      </c>
      <c r="AC795" t="s">
        <v>358</v>
      </c>
      <c r="AD795" t="s">
        <v>359</v>
      </c>
      <c r="AE795" t="s">
        <v>360</v>
      </c>
    </row>
    <row r="796" spans="1:31" x14ac:dyDescent="0.2">
      <c r="A796">
        <v>45764095</v>
      </c>
      <c r="B796" t="s">
        <v>6158</v>
      </c>
      <c r="C796" t="s">
        <v>6159</v>
      </c>
      <c r="D796" t="s">
        <v>3505</v>
      </c>
      <c r="E796" s="9">
        <v>45906</v>
      </c>
      <c r="F796" s="9">
        <v>45923</v>
      </c>
      <c r="G796" t="s">
        <v>33</v>
      </c>
      <c r="H796" t="s">
        <v>242</v>
      </c>
      <c r="J796" t="s">
        <v>4173</v>
      </c>
      <c r="K796" t="s">
        <v>36</v>
      </c>
      <c r="L796" t="s">
        <v>37</v>
      </c>
      <c r="N796" t="s">
        <v>235</v>
      </c>
      <c r="O796" t="s">
        <v>40</v>
      </c>
      <c r="P796" t="s">
        <v>39</v>
      </c>
      <c r="Q796" t="s">
        <v>39</v>
      </c>
      <c r="R796" t="s">
        <v>40</v>
      </c>
      <c r="S796" t="s">
        <v>41</v>
      </c>
      <c r="T796" t="s">
        <v>41</v>
      </c>
      <c r="U796" t="s">
        <v>39</v>
      </c>
      <c r="V796" t="s">
        <v>40</v>
      </c>
      <c r="W796" t="s">
        <v>40</v>
      </c>
      <c r="AB796" t="s">
        <v>6160</v>
      </c>
    </row>
    <row r="797" spans="1:31" x14ac:dyDescent="0.2">
      <c r="A797">
        <v>45764097</v>
      </c>
      <c r="B797" t="s">
        <v>6161</v>
      </c>
      <c r="C797" t="s">
        <v>4806</v>
      </c>
      <c r="D797" t="s">
        <v>3505</v>
      </c>
      <c r="E797" s="9">
        <v>45906</v>
      </c>
      <c r="F797" s="9">
        <v>45941</v>
      </c>
      <c r="G797" t="s">
        <v>33</v>
      </c>
      <c r="H797" t="s">
        <v>34</v>
      </c>
      <c r="J797" t="s">
        <v>211</v>
      </c>
      <c r="K797" t="s">
        <v>48</v>
      </c>
      <c r="L797" t="s">
        <v>49</v>
      </c>
      <c r="N797" t="s">
        <v>38</v>
      </c>
      <c r="O797" t="s">
        <v>40</v>
      </c>
      <c r="P797" t="s">
        <v>39</v>
      </c>
      <c r="Q797" t="s">
        <v>39</v>
      </c>
      <c r="R797" t="s">
        <v>40</v>
      </c>
      <c r="S797" t="s">
        <v>41</v>
      </c>
      <c r="T797" t="s">
        <v>41</v>
      </c>
      <c r="U797" t="s">
        <v>39</v>
      </c>
      <c r="V797" t="s">
        <v>40</v>
      </c>
      <c r="W797" t="s">
        <v>40</v>
      </c>
      <c r="AB797" t="s">
        <v>6162</v>
      </c>
      <c r="AC797" t="s">
        <v>6163</v>
      </c>
    </row>
    <row r="798" spans="1:31" x14ac:dyDescent="0.2">
      <c r="A798">
        <v>45793976</v>
      </c>
      <c r="B798" t="s">
        <v>361</v>
      </c>
      <c r="C798" t="s">
        <v>362</v>
      </c>
      <c r="D798" t="s">
        <v>3505</v>
      </c>
      <c r="E798" s="9">
        <v>45909</v>
      </c>
      <c r="F798" s="9">
        <v>45974</v>
      </c>
      <c r="G798" t="s">
        <v>45</v>
      </c>
      <c r="H798" t="s">
        <v>46</v>
      </c>
      <c r="I798" t="s">
        <v>105</v>
      </c>
      <c r="J798" t="s">
        <v>112</v>
      </c>
      <c r="K798" t="s">
        <v>48</v>
      </c>
      <c r="L798" t="s">
        <v>37</v>
      </c>
      <c r="M798" t="s">
        <v>50</v>
      </c>
      <c r="O798" t="s">
        <v>39</v>
      </c>
      <c r="P798" t="s">
        <v>39</v>
      </c>
      <c r="Q798" t="s">
        <v>39</v>
      </c>
      <c r="R798" t="s">
        <v>41</v>
      </c>
      <c r="S798" t="s">
        <v>40</v>
      </c>
      <c r="T798" t="s">
        <v>41</v>
      </c>
      <c r="U798" t="s">
        <v>39</v>
      </c>
      <c r="V798" t="s">
        <v>39</v>
      </c>
      <c r="W798" t="s">
        <v>40</v>
      </c>
      <c r="X798" t="s">
        <v>6164</v>
      </c>
      <c r="AB798" t="s">
        <v>6165</v>
      </c>
      <c r="AC798" t="s">
        <v>6166</v>
      </c>
      <c r="AD798" t="s">
        <v>6167</v>
      </c>
      <c r="AE798" t="s">
        <v>6168</v>
      </c>
    </row>
    <row r="799" spans="1:31" x14ac:dyDescent="0.2">
      <c r="A799">
        <v>45794015</v>
      </c>
      <c r="B799" t="s">
        <v>363</v>
      </c>
      <c r="C799" t="s">
        <v>364</v>
      </c>
      <c r="D799" t="s">
        <v>3505</v>
      </c>
      <c r="E799" s="9">
        <v>45909</v>
      </c>
      <c r="F799" s="9">
        <v>45948</v>
      </c>
      <c r="G799" t="s">
        <v>45</v>
      </c>
      <c r="H799" t="s">
        <v>252</v>
      </c>
      <c r="I799" t="s">
        <v>253</v>
      </c>
      <c r="J799" t="s">
        <v>254</v>
      </c>
      <c r="K799" t="s">
        <v>48</v>
      </c>
      <c r="L799" t="s">
        <v>49</v>
      </c>
      <c r="M799" t="s">
        <v>50</v>
      </c>
      <c r="O799" t="s">
        <v>39</v>
      </c>
      <c r="P799" t="s">
        <v>39</v>
      </c>
      <c r="Q799" t="s">
        <v>39</v>
      </c>
      <c r="R799" t="s">
        <v>41</v>
      </c>
      <c r="S799" t="s">
        <v>40</v>
      </c>
      <c r="T799" t="s">
        <v>41</v>
      </c>
      <c r="U799" t="s">
        <v>39</v>
      </c>
      <c r="V799" t="s">
        <v>39</v>
      </c>
      <c r="W799" t="s">
        <v>40</v>
      </c>
      <c r="AB799" t="s">
        <v>6169</v>
      </c>
      <c r="AC799" t="s">
        <v>6170</v>
      </c>
      <c r="AD799" t="s">
        <v>6171</v>
      </c>
    </row>
    <row r="800" spans="1:31" x14ac:dyDescent="0.2">
      <c r="A800">
        <v>45970157</v>
      </c>
      <c r="B800" t="s">
        <v>365</v>
      </c>
      <c r="C800" t="s">
        <v>366</v>
      </c>
      <c r="D800" t="s">
        <v>3505</v>
      </c>
      <c r="E800" s="9">
        <v>45927</v>
      </c>
      <c r="F800" s="9">
        <v>45948</v>
      </c>
      <c r="G800" t="s">
        <v>45</v>
      </c>
      <c r="H800" t="s">
        <v>46</v>
      </c>
      <c r="I800" t="s">
        <v>90</v>
      </c>
      <c r="J800" t="s">
        <v>342</v>
      </c>
      <c r="K800" t="s">
        <v>36</v>
      </c>
      <c r="L800" t="s">
        <v>49</v>
      </c>
      <c r="M800" t="s">
        <v>50</v>
      </c>
      <c r="O800" t="s">
        <v>39</v>
      </c>
      <c r="P800" t="s">
        <v>41</v>
      </c>
      <c r="Q800" t="s">
        <v>39</v>
      </c>
      <c r="R800" t="s">
        <v>41</v>
      </c>
      <c r="S800" t="s">
        <v>40</v>
      </c>
      <c r="T800" t="s">
        <v>41</v>
      </c>
      <c r="U800" t="s">
        <v>39</v>
      </c>
      <c r="V800" t="s">
        <v>39</v>
      </c>
      <c r="W800" t="s">
        <v>40</v>
      </c>
      <c r="AB800" t="s">
        <v>6172</v>
      </c>
      <c r="AC800" t="s">
        <v>6173</v>
      </c>
      <c r="AD800" t="s">
        <v>6174</v>
      </c>
      <c r="AE800" t="s">
        <v>6175</v>
      </c>
    </row>
    <row r="801" spans="1:31" x14ac:dyDescent="0.2">
      <c r="A801">
        <v>45968523</v>
      </c>
      <c r="B801" t="s">
        <v>6176</v>
      </c>
      <c r="C801" t="s">
        <v>6177</v>
      </c>
      <c r="D801" t="s">
        <v>3505</v>
      </c>
      <c r="E801" s="9">
        <v>45927</v>
      </c>
      <c r="F801" s="9">
        <v>45936</v>
      </c>
      <c r="G801" t="s">
        <v>45</v>
      </c>
      <c r="H801" t="s">
        <v>4433</v>
      </c>
      <c r="I801" t="s">
        <v>46</v>
      </c>
      <c r="J801" t="s">
        <v>342</v>
      </c>
      <c r="K801" t="s">
        <v>36</v>
      </c>
      <c r="L801" t="s">
        <v>49</v>
      </c>
      <c r="M801" t="s">
        <v>50</v>
      </c>
      <c r="O801" t="s">
        <v>39</v>
      </c>
      <c r="P801" t="s">
        <v>41</v>
      </c>
      <c r="Q801" t="s">
        <v>39</v>
      </c>
      <c r="R801" t="s">
        <v>41</v>
      </c>
      <c r="S801" t="s">
        <v>40</v>
      </c>
      <c r="T801" t="s">
        <v>41</v>
      </c>
      <c r="U801" t="s">
        <v>39</v>
      </c>
      <c r="V801" t="s">
        <v>39</v>
      </c>
      <c r="W801" t="s">
        <v>40</v>
      </c>
      <c r="AB801" t="s">
        <v>6178</v>
      </c>
      <c r="AC801" t="s">
        <v>6179</v>
      </c>
      <c r="AD801" t="s">
        <v>6180</v>
      </c>
      <c r="AE801" t="s">
        <v>6181</v>
      </c>
    </row>
    <row r="802" spans="1:31" x14ac:dyDescent="0.2">
      <c r="A802">
        <v>45968241</v>
      </c>
      <c r="B802" t="s">
        <v>367</v>
      </c>
      <c r="C802" t="s">
        <v>368</v>
      </c>
      <c r="D802" t="s">
        <v>3505</v>
      </c>
      <c r="E802" s="9">
        <v>45927</v>
      </c>
      <c r="F802" s="9">
        <v>45978</v>
      </c>
      <c r="G802" t="s">
        <v>45</v>
      </c>
      <c r="H802" t="s">
        <v>341</v>
      </c>
      <c r="I802" t="s">
        <v>369</v>
      </c>
      <c r="J802" t="s">
        <v>47</v>
      </c>
      <c r="K802" t="s">
        <v>48</v>
      </c>
      <c r="L802" t="s">
        <v>37</v>
      </c>
      <c r="M802" t="s">
        <v>50</v>
      </c>
      <c r="O802" t="s">
        <v>39</v>
      </c>
      <c r="P802" t="s">
        <v>39</v>
      </c>
      <c r="Q802" t="s">
        <v>39</v>
      </c>
      <c r="R802" t="s">
        <v>41</v>
      </c>
      <c r="S802" t="s">
        <v>40</v>
      </c>
      <c r="T802" t="s">
        <v>41</v>
      </c>
      <c r="U802" t="s">
        <v>39</v>
      </c>
      <c r="V802" t="s">
        <v>39</v>
      </c>
      <c r="W802" t="s">
        <v>40</v>
      </c>
      <c r="X802" t="s">
        <v>6182</v>
      </c>
      <c r="AB802" t="s">
        <v>6183</v>
      </c>
      <c r="AC802" t="s">
        <v>6184</v>
      </c>
      <c r="AD802" t="s">
        <v>6185</v>
      </c>
      <c r="AE802" t="s">
        <v>6186</v>
      </c>
    </row>
    <row r="803" spans="1:31" x14ac:dyDescent="0.2">
      <c r="A803">
        <v>45970439</v>
      </c>
      <c r="B803" t="s">
        <v>370</v>
      </c>
      <c r="C803" t="s">
        <v>1963</v>
      </c>
      <c r="D803" t="s">
        <v>32</v>
      </c>
      <c r="E803" s="9">
        <v>45927</v>
      </c>
      <c r="G803" t="s">
        <v>45</v>
      </c>
      <c r="H803" t="s">
        <v>372</v>
      </c>
      <c r="I803" t="s">
        <v>53</v>
      </c>
      <c r="J803" t="s">
        <v>98</v>
      </c>
      <c r="K803" t="s">
        <v>48</v>
      </c>
      <c r="L803" t="s">
        <v>37</v>
      </c>
      <c r="M803" t="s">
        <v>50</v>
      </c>
      <c r="O803" t="s">
        <v>39</v>
      </c>
      <c r="P803" t="s">
        <v>39</v>
      </c>
      <c r="Q803" t="s">
        <v>39</v>
      </c>
      <c r="R803" t="s">
        <v>41</v>
      </c>
      <c r="S803" t="s">
        <v>40</v>
      </c>
      <c r="T803" t="s">
        <v>41</v>
      </c>
      <c r="U803" t="s">
        <v>39</v>
      </c>
      <c r="V803" t="s">
        <v>39</v>
      </c>
      <c r="W803" t="s">
        <v>40</v>
      </c>
      <c r="X803" t="s">
        <v>1964</v>
      </c>
      <c r="AB803" t="s">
        <v>373</v>
      </c>
      <c r="AC803" t="s">
        <v>374</v>
      </c>
      <c r="AD803" t="s">
        <v>375</v>
      </c>
      <c r="AE803" t="s">
        <v>376</v>
      </c>
    </row>
    <row r="804" spans="1:31" x14ac:dyDescent="0.2">
      <c r="A804">
        <v>45970461</v>
      </c>
      <c r="B804" t="s">
        <v>6187</v>
      </c>
      <c r="C804" t="s">
        <v>6188</v>
      </c>
      <c r="D804" t="s">
        <v>3505</v>
      </c>
      <c r="E804" s="9">
        <v>45927</v>
      </c>
      <c r="F804" s="9">
        <v>45944</v>
      </c>
      <c r="G804" t="s">
        <v>45</v>
      </c>
      <c r="H804" t="s">
        <v>59</v>
      </c>
      <c r="I804" t="s">
        <v>53</v>
      </c>
      <c r="J804" t="s">
        <v>98</v>
      </c>
      <c r="K804" t="s">
        <v>48</v>
      </c>
      <c r="L804" t="s">
        <v>49</v>
      </c>
      <c r="M804" t="s">
        <v>50</v>
      </c>
      <c r="O804" t="s">
        <v>39</v>
      </c>
      <c r="P804" t="s">
        <v>41</v>
      </c>
      <c r="Q804" t="s">
        <v>39</v>
      </c>
      <c r="R804" t="s">
        <v>41</v>
      </c>
      <c r="S804" t="s">
        <v>40</v>
      </c>
      <c r="T804" t="s">
        <v>41</v>
      </c>
      <c r="U804" t="s">
        <v>39</v>
      </c>
      <c r="V804" t="s">
        <v>39</v>
      </c>
      <c r="W804" t="s">
        <v>40</v>
      </c>
      <c r="AB804" t="s">
        <v>6189</v>
      </c>
      <c r="AC804" t="s">
        <v>6190</v>
      </c>
      <c r="AD804" t="s">
        <v>6191</v>
      </c>
      <c r="AE804" t="s">
        <v>6192</v>
      </c>
    </row>
    <row r="805" spans="1:31" x14ac:dyDescent="0.2">
      <c r="A805">
        <v>45968065</v>
      </c>
      <c r="B805" t="s">
        <v>377</v>
      </c>
      <c r="C805" t="s">
        <v>1965</v>
      </c>
      <c r="D805" t="s">
        <v>3505</v>
      </c>
      <c r="E805" s="9">
        <v>45927</v>
      </c>
      <c r="F805" s="9">
        <v>45980</v>
      </c>
      <c r="G805" t="s">
        <v>45</v>
      </c>
      <c r="H805" t="s">
        <v>46</v>
      </c>
      <c r="I805" t="s">
        <v>90</v>
      </c>
      <c r="J805" t="s">
        <v>117</v>
      </c>
      <c r="K805" t="s">
        <v>36</v>
      </c>
      <c r="L805" t="s">
        <v>37</v>
      </c>
      <c r="M805" t="s">
        <v>50</v>
      </c>
      <c r="O805" t="s">
        <v>39</v>
      </c>
      <c r="P805" t="s">
        <v>39</v>
      </c>
      <c r="Q805" t="s">
        <v>39</v>
      </c>
      <c r="R805" t="s">
        <v>41</v>
      </c>
      <c r="S805" t="s">
        <v>40</v>
      </c>
      <c r="T805" t="s">
        <v>41</v>
      </c>
      <c r="U805" t="s">
        <v>39</v>
      </c>
      <c r="V805" t="s">
        <v>39</v>
      </c>
      <c r="W805" t="s">
        <v>40</v>
      </c>
      <c r="X805" t="s">
        <v>1966</v>
      </c>
      <c r="AB805" t="s">
        <v>379</v>
      </c>
      <c r="AC805" t="s">
        <v>380</v>
      </c>
      <c r="AD805" t="s">
        <v>381</v>
      </c>
      <c r="AE805" t="s">
        <v>382</v>
      </c>
    </row>
    <row r="806" spans="1:31" x14ac:dyDescent="0.2">
      <c r="A806">
        <v>45970275</v>
      </c>
      <c r="B806" t="s">
        <v>383</v>
      </c>
      <c r="C806" t="s">
        <v>384</v>
      </c>
      <c r="D806" t="s">
        <v>3505</v>
      </c>
      <c r="E806" s="9">
        <v>45927</v>
      </c>
      <c r="F806" s="9">
        <v>45963</v>
      </c>
      <c r="G806" t="s">
        <v>45</v>
      </c>
      <c r="H806" t="s">
        <v>372</v>
      </c>
      <c r="I806" t="s">
        <v>385</v>
      </c>
      <c r="J806" t="s">
        <v>98</v>
      </c>
      <c r="K806" t="s">
        <v>48</v>
      </c>
      <c r="L806" t="s">
        <v>386</v>
      </c>
      <c r="M806" t="s">
        <v>50</v>
      </c>
      <c r="O806" t="s">
        <v>39</v>
      </c>
      <c r="P806" t="s">
        <v>39</v>
      </c>
      <c r="Q806" t="s">
        <v>39</v>
      </c>
      <c r="R806" t="s">
        <v>41</v>
      </c>
      <c r="S806" t="s">
        <v>40</v>
      </c>
      <c r="T806" t="s">
        <v>41</v>
      </c>
      <c r="U806" t="s">
        <v>39</v>
      </c>
      <c r="V806" t="s">
        <v>39</v>
      </c>
      <c r="W806" t="s">
        <v>39</v>
      </c>
      <c r="AB806" t="s">
        <v>6193</v>
      </c>
      <c r="AC806" t="s">
        <v>6194</v>
      </c>
      <c r="AD806" t="s">
        <v>6195</v>
      </c>
      <c r="AE806" t="s">
        <v>6196</v>
      </c>
    </row>
    <row r="807" spans="1:31" x14ac:dyDescent="0.2">
      <c r="A807">
        <v>45968028</v>
      </c>
      <c r="B807" t="s">
        <v>387</v>
      </c>
      <c r="C807" t="s">
        <v>388</v>
      </c>
      <c r="D807" t="s">
        <v>32</v>
      </c>
      <c r="E807" s="9">
        <v>45927</v>
      </c>
      <c r="G807" t="s">
        <v>45</v>
      </c>
      <c r="H807" t="s">
        <v>80</v>
      </c>
      <c r="J807" t="s">
        <v>203</v>
      </c>
      <c r="K807" t="s">
        <v>36</v>
      </c>
      <c r="L807" t="s">
        <v>49</v>
      </c>
      <c r="M807" t="s">
        <v>50</v>
      </c>
      <c r="O807" t="s">
        <v>39</v>
      </c>
      <c r="P807" t="s">
        <v>41</v>
      </c>
      <c r="Q807" t="s">
        <v>39</v>
      </c>
      <c r="R807" t="s">
        <v>41</v>
      </c>
      <c r="S807" t="s">
        <v>40</v>
      </c>
      <c r="T807" t="s">
        <v>41</v>
      </c>
      <c r="U807" t="s">
        <v>39</v>
      </c>
      <c r="V807" t="s">
        <v>39</v>
      </c>
      <c r="W807" t="s">
        <v>40</v>
      </c>
      <c r="AB807" t="s">
        <v>389</v>
      </c>
      <c r="AC807" t="s">
        <v>390</v>
      </c>
      <c r="AD807" t="s">
        <v>391</v>
      </c>
      <c r="AE807" t="s">
        <v>392</v>
      </c>
    </row>
    <row r="808" spans="1:31" x14ac:dyDescent="0.2">
      <c r="A808">
        <v>45969544</v>
      </c>
      <c r="B808" t="s">
        <v>393</v>
      </c>
      <c r="C808" t="s">
        <v>394</v>
      </c>
      <c r="D808" t="s">
        <v>3505</v>
      </c>
      <c r="E808" s="9">
        <v>45927</v>
      </c>
      <c r="F808" s="9">
        <v>45948</v>
      </c>
      <c r="G808" t="s">
        <v>45</v>
      </c>
      <c r="H808" t="s">
        <v>46</v>
      </c>
      <c r="I808" t="s">
        <v>53</v>
      </c>
      <c r="J808" t="s">
        <v>146</v>
      </c>
      <c r="K808" t="s">
        <v>36</v>
      </c>
      <c r="L808" t="s">
        <v>37</v>
      </c>
      <c r="M808" t="s">
        <v>289</v>
      </c>
      <c r="O808" t="s">
        <v>39</v>
      </c>
      <c r="P808" t="s">
        <v>41</v>
      </c>
      <c r="Q808" t="s">
        <v>39</v>
      </c>
      <c r="R808" t="s">
        <v>41</v>
      </c>
      <c r="S808" t="s">
        <v>40</v>
      </c>
      <c r="T808" t="s">
        <v>41</v>
      </c>
      <c r="U808" t="s">
        <v>39</v>
      </c>
      <c r="V808" t="s">
        <v>39</v>
      </c>
      <c r="W808" t="s">
        <v>39</v>
      </c>
      <c r="AB808" t="s">
        <v>6197</v>
      </c>
      <c r="AC808" t="s">
        <v>6198</v>
      </c>
      <c r="AD808" t="s">
        <v>6199</v>
      </c>
      <c r="AE808" t="s">
        <v>6200</v>
      </c>
    </row>
    <row r="809" spans="1:31" x14ac:dyDescent="0.2">
      <c r="A809">
        <v>45969286</v>
      </c>
      <c r="B809" t="s">
        <v>395</v>
      </c>
      <c r="C809" t="s">
        <v>396</v>
      </c>
      <c r="D809" t="s">
        <v>32</v>
      </c>
      <c r="E809" s="9">
        <v>45927</v>
      </c>
      <c r="G809" t="s">
        <v>45</v>
      </c>
      <c r="H809" t="s">
        <v>397</v>
      </c>
      <c r="I809" t="s">
        <v>398</v>
      </c>
      <c r="J809" t="s">
        <v>133</v>
      </c>
      <c r="K809" t="s">
        <v>48</v>
      </c>
      <c r="L809" t="s">
        <v>49</v>
      </c>
      <c r="M809" t="s">
        <v>50</v>
      </c>
      <c r="O809" t="s">
        <v>39</v>
      </c>
      <c r="P809" t="s">
        <v>39</v>
      </c>
      <c r="Q809" t="s">
        <v>39</v>
      </c>
      <c r="R809" t="s">
        <v>41</v>
      </c>
      <c r="S809" t="s">
        <v>40</v>
      </c>
      <c r="T809" t="s">
        <v>41</v>
      </c>
      <c r="U809" t="s">
        <v>39</v>
      </c>
      <c r="V809" t="s">
        <v>39</v>
      </c>
      <c r="W809" t="s">
        <v>40</v>
      </c>
      <c r="AB809" t="s">
        <v>2194</v>
      </c>
      <c r="AC809" t="s">
        <v>399</v>
      </c>
      <c r="AD809" t="s">
        <v>2195</v>
      </c>
      <c r="AE809" t="s">
        <v>2196</v>
      </c>
    </row>
    <row r="810" spans="1:31" x14ac:dyDescent="0.2">
      <c r="A810">
        <v>45969536</v>
      </c>
      <c r="B810" t="s">
        <v>400</v>
      </c>
      <c r="C810" t="s">
        <v>1083</v>
      </c>
      <c r="D810" t="s">
        <v>3505</v>
      </c>
      <c r="E810" s="9">
        <v>45927</v>
      </c>
      <c r="F810" s="9">
        <v>45963</v>
      </c>
      <c r="G810" t="s">
        <v>45</v>
      </c>
      <c r="H810" t="s">
        <v>59</v>
      </c>
      <c r="I810" t="s">
        <v>53</v>
      </c>
      <c r="J810" t="s">
        <v>154</v>
      </c>
      <c r="K810" t="s">
        <v>36</v>
      </c>
      <c r="L810" t="s">
        <v>49</v>
      </c>
      <c r="M810" t="s">
        <v>50</v>
      </c>
      <c r="O810" t="s">
        <v>39</v>
      </c>
      <c r="P810" t="s">
        <v>41</v>
      </c>
      <c r="Q810" t="s">
        <v>39</v>
      </c>
      <c r="R810" t="s">
        <v>41</v>
      </c>
      <c r="S810" t="s">
        <v>40</v>
      </c>
      <c r="T810" t="s">
        <v>41</v>
      </c>
      <c r="U810" t="s">
        <v>39</v>
      </c>
      <c r="V810" t="s">
        <v>39</v>
      </c>
      <c r="W810" t="s">
        <v>40</v>
      </c>
      <c r="X810" t="s">
        <v>6201</v>
      </c>
      <c r="AB810" t="s">
        <v>6202</v>
      </c>
      <c r="AC810" t="s">
        <v>6203</v>
      </c>
      <c r="AD810" t="s">
        <v>6204</v>
      </c>
      <c r="AE810" t="s">
        <v>6205</v>
      </c>
    </row>
    <row r="811" spans="1:31" x14ac:dyDescent="0.2">
      <c r="A811">
        <v>45970242</v>
      </c>
      <c r="B811" t="s">
        <v>401</v>
      </c>
      <c r="C811" t="s">
        <v>402</v>
      </c>
      <c r="D811" t="s">
        <v>3505</v>
      </c>
      <c r="E811" s="9">
        <v>45927</v>
      </c>
      <c r="F811" s="9">
        <v>45963</v>
      </c>
      <c r="G811" t="s">
        <v>45</v>
      </c>
      <c r="H811" t="s">
        <v>372</v>
      </c>
      <c r="I811" t="s">
        <v>385</v>
      </c>
      <c r="J811" t="s">
        <v>98</v>
      </c>
      <c r="K811" t="s">
        <v>48</v>
      </c>
      <c r="L811" t="s">
        <v>386</v>
      </c>
      <c r="M811" t="s">
        <v>50</v>
      </c>
      <c r="O811" t="s">
        <v>39</v>
      </c>
      <c r="P811" t="s">
        <v>39</v>
      </c>
      <c r="Q811" t="s">
        <v>39</v>
      </c>
      <c r="R811" t="s">
        <v>41</v>
      </c>
      <c r="S811" t="s">
        <v>40</v>
      </c>
      <c r="T811" t="s">
        <v>41</v>
      </c>
      <c r="U811" t="s">
        <v>39</v>
      </c>
      <c r="V811" t="s">
        <v>39</v>
      </c>
      <c r="W811" t="s">
        <v>39</v>
      </c>
      <c r="AB811" t="s">
        <v>6206</v>
      </c>
      <c r="AC811" t="s">
        <v>6207</v>
      </c>
      <c r="AD811" t="s">
        <v>6208</v>
      </c>
      <c r="AE811" t="s">
        <v>6209</v>
      </c>
    </row>
    <row r="812" spans="1:31" x14ac:dyDescent="0.2">
      <c r="A812">
        <v>45969485</v>
      </c>
      <c r="B812" t="s">
        <v>403</v>
      </c>
      <c r="C812" t="s">
        <v>1234</v>
      </c>
      <c r="D812" t="s">
        <v>32</v>
      </c>
      <c r="E812" s="9">
        <v>45927</v>
      </c>
      <c r="G812" t="s">
        <v>45</v>
      </c>
      <c r="H812" t="s">
        <v>46</v>
      </c>
      <c r="I812" t="s">
        <v>53</v>
      </c>
      <c r="J812" t="s">
        <v>286</v>
      </c>
      <c r="K812" t="s">
        <v>36</v>
      </c>
      <c r="L812" t="s">
        <v>37</v>
      </c>
      <c r="M812" t="s">
        <v>50</v>
      </c>
      <c r="O812" t="s">
        <v>39</v>
      </c>
      <c r="P812" t="s">
        <v>39</v>
      </c>
      <c r="Q812" t="s">
        <v>39</v>
      </c>
      <c r="R812" t="s">
        <v>41</v>
      </c>
      <c r="S812" t="s">
        <v>40</v>
      </c>
      <c r="T812" t="s">
        <v>41</v>
      </c>
      <c r="U812" t="s">
        <v>39</v>
      </c>
      <c r="V812" t="s">
        <v>39</v>
      </c>
      <c r="W812" t="s">
        <v>39</v>
      </c>
      <c r="AB812" t="s">
        <v>2197</v>
      </c>
      <c r="AC812" t="s">
        <v>405</v>
      </c>
      <c r="AD812" t="s">
        <v>2198</v>
      </c>
      <c r="AE812" t="s">
        <v>2199</v>
      </c>
    </row>
    <row r="813" spans="1:31" x14ac:dyDescent="0.2">
      <c r="A813">
        <v>45968036</v>
      </c>
      <c r="B813" t="s">
        <v>406</v>
      </c>
      <c r="C813" t="s">
        <v>407</v>
      </c>
      <c r="D813" t="s">
        <v>32</v>
      </c>
      <c r="E813" s="9">
        <v>45927</v>
      </c>
      <c r="G813" t="s">
        <v>45</v>
      </c>
      <c r="H813" t="s">
        <v>80</v>
      </c>
      <c r="I813" t="s">
        <v>72</v>
      </c>
      <c r="J813" t="s">
        <v>203</v>
      </c>
      <c r="K813" t="s">
        <v>48</v>
      </c>
      <c r="L813" t="s">
        <v>49</v>
      </c>
      <c r="M813" t="s">
        <v>74</v>
      </c>
      <c r="O813" t="s">
        <v>39</v>
      </c>
      <c r="P813" t="s">
        <v>39</v>
      </c>
      <c r="Q813" t="s">
        <v>39</v>
      </c>
      <c r="R813" t="s">
        <v>41</v>
      </c>
      <c r="S813" t="s">
        <v>40</v>
      </c>
      <c r="T813" t="s">
        <v>41</v>
      </c>
      <c r="U813" t="s">
        <v>39</v>
      </c>
      <c r="V813" t="s">
        <v>39</v>
      </c>
      <c r="W813" t="s">
        <v>40</v>
      </c>
      <c r="AB813" t="s">
        <v>408</v>
      </c>
      <c r="AC813" t="s">
        <v>409</v>
      </c>
      <c r="AD813" t="s">
        <v>410</v>
      </c>
      <c r="AE813" t="s">
        <v>411</v>
      </c>
    </row>
    <row r="814" spans="1:31" x14ac:dyDescent="0.2">
      <c r="A814">
        <v>45969340</v>
      </c>
      <c r="B814" t="s">
        <v>412</v>
      </c>
      <c r="C814" t="s">
        <v>1235</v>
      </c>
      <c r="D814" t="s">
        <v>3505</v>
      </c>
      <c r="E814" s="9">
        <v>45927</v>
      </c>
      <c r="F814" s="9">
        <v>45963</v>
      </c>
      <c r="G814" t="s">
        <v>45</v>
      </c>
      <c r="H814" t="s">
        <v>46</v>
      </c>
      <c r="I814" t="s">
        <v>53</v>
      </c>
      <c r="J814" t="s">
        <v>69</v>
      </c>
      <c r="K814" t="s">
        <v>36</v>
      </c>
      <c r="L814" t="s">
        <v>37</v>
      </c>
      <c r="M814" t="s">
        <v>50</v>
      </c>
      <c r="O814" t="s">
        <v>39</v>
      </c>
      <c r="P814" t="s">
        <v>41</v>
      </c>
      <c r="Q814" t="s">
        <v>39</v>
      </c>
      <c r="R814" t="s">
        <v>41</v>
      </c>
      <c r="S814" t="s">
        <v>40</v>
      </c>
      <c r="T814" t="s">
        <v>41</v>
      </c>
      <c r="U814" t="s">
        <v>39</v>
      </c>
      <c r="V814" t="s">
        <v>39</v>
      </c>
      <c r="W814" t="s">
        <v>39</v>
      </c>
      <c r="AB814" t="s">
        <v>6210</v>
      </c>
      <c r="AC814" t="s">
        <v>6211</v>
      </c>
      <c r="AD814" t="s">
        <v>6212</v>
      </c>
      <c r="AE814" t="s">
        <v>6213</v>
      </c>
    </row>
    <row r="815" spans="1:31" x14ac:dyDescent="0.2">
      <c r="A815">
        <v>45970198</v>
      </c>
      <c r="B815" t="s">
        <v>414</v>
      </c>
      <c r="C815" t="s">
        <v>1967</v>
      </c>
      <c r="D815" t="s">
        <v>32</v>
      </c>
      <c r="E815" s="9">
        <v>45927</v>
      </c>
      <c r="G815" t="s">
        <v>45</v>
      </c>
      <c r="H815" t="s">
        <v>252</v>
      </c>
      <c r="I815" t="s">
        <v>200</v>
      </c>
      <c r="J815" t="s">
        <v>203</v>
      </c>
      <c r="K815" t="s">
        <v>48</v>
      </c>
      <c r="L815" t="s">
        <v>49</v>
      </c>
      <c r="M815" t="s">
        <v>50</v>
      </c>
      <c r="O815" t="s">
        <v>39</v>
      </c>
      <c r="P815" t="s">
        <v>39</v>
      </c>
      <c r="Q815" t="s">
        <v>39</v>
      </c>
      <c r="R815" t="s">
        <v>41</v>
      </c>
      <c r="S815" t="s">
        <v>40</v>
      </c>
      <c r="T815" t="s">
        <v>41</v>
      </c>
      <c r="U815" t="s">
        <v>39</v>
      </c>
      <c r="V815" t="s">
        <v>39</v>
      </c>
      <c r="W815" t="s">
        <v>40</v>
      </c>
      <c r="AB815" t="s">
        <v>416</v>
      </c>
      <c r="AC815" t="s">
        <v>417</v>
      </c>
      <c r="AD815" t="s">
        <v>418</v>
      </c>
      <c r="AE815" t="s">
        <v>419</v>
      </c>
    </row>
    <row r="816" spans="1:31" x14ac:dyDescent="0.2">
      <c r="A816">
        <v>45969556</v>
      </c>
      <c r="B816" t="s">
        <v>420</v>
      </c>
      <c r="C816" t="s">
        <v>421</v>
      </c>
      <c r="D816" t="s">
        <v>3505</v>
      </c>
      <c r="E816" s="9">
        <v>45927</v>
      </c>
      <c r="F816" s="9">
        <v>45948</v>
      </c>
      <c r="G816" t="s">
        <v>45</v>
      </c>
      <c r="H816" t="s">
        <v>46</v>
      </c>
      <c r="I816" t="s">
        <v>53</v>
      </c>
      <c r="J816" t="s">
        <v>69</v>
      </c>
      <c r="K816" t="s">
        <v>48</v>
      </c>
      <c r="L816" t="s">
        <v>37</v>
      </c>
      <c r="M816" t="s">
        <v>289</v>
      </c>
      <c r="O816" t="s">
        <v>39</v>
      </c>
      <c r="P816" t="s">
        <v>41</v>
      </c>
      <c r="Q816" t="s">
        <v>39</v>
      </c>
      <c r="R816" t="s">
        <v>41</v>
      </c>
      <c r="S816" t="s">
        <v>40</v>
      </c>
      <c r="T816" t="s">
        <v>41</v>
      </c>
      <c r="U816" t="s">
        <v>39</v>
      </c>
      <c r="V816" t="s">
        <v>39</v>
      </c>
      <c r="W816" t="s">
        <v>39</v>
      </c>
      <c r="AB816" t="s">
        <v>6214</v>
      </c>
      <c r="AC816" t="s">
        <v>6215</v>
      </c>
      <c r="AD816" t="s">
        <v>6216</v>
      </c>
      <c r="AE816" t="s">
        <v>6217</v>
      </c>
    </row>
    <row r="817" spans="1:31" x14ac:dyDescent="0.2">
      <c r="A817">
        <v>45969530</v>
      </c>
      <c r="B817" t="s">
        <v>422</v>
      </c>
      <c r="C817" t="s">
        <v>1082</v>
      </c>
      <c r="D817" t="s">
        <v>32</v>
      </c>
      <c r="E817" s="9">
        <v>45927</v>
      </c>
      <c r="G817" t="s">
        <v>45</v>
      </c>
      <c r="H817" t="s">
        <v>53</v>
      </c>
      <c r="J817" t="s">
        <v>47</v>
      </c>
      <c r="K817" t="s">
        <v>36</v>
      </c>
      <c r="L817" t="s">
        <v>49</v>
      </c>
      <c r="M817" t="s">
        <v>50</v>
      </c>
      <c r="O817" t="s">
        <v>39</v>
      </c>
      <c r="P817" t="s">
        <v>39</v>
      </c>
      <c r="Q817" t="s">
        <v>39</v>
      </c>
      <c r="R817" t="s">
        <v>39</v>
      </c>
      <c r="S817" t="s">
        <v>40</v>
      </c>
      <c r="T817" t="s">
        <v>41</v>
      </c>
      <c r="U817" t="s">
        <v>39</v>
      </c>
      <c r="V817" t="s">
        <v>39</v>
      </c>
      <c r="W817" t="s">
        <v>40</v>
      </c>
      <c r="X817" t="s">
        <v>1968</v>
      </c>
      <c r="AB817" t="s">
        <v>423</v>
      </c>
      <c r="AC817" t="s">
        <v>424</v>
      </c>
      <c r="AD817" t="s">
        <v>425</v>
      </c>
      <c r="AE817" t="s">
        <v>426</v>
      </c>
    </row>
    <row r="818" spans="1:31" x14ac:dyDescent="0.2">
      <c r="A818">
        <v>45970222</v>
      </c>
      <c r="B818" t="s">
        <v>427</v>
      </c>
      <c r="C818" t="s">
        <v>428</v>
      </c>
      <c r="D818" t="s">
        <v>3505</v>
      </c>
      <c r="E818" s="9">
        <v>45927</v>
      </c>
      <c r="F818" s="9">
        <v>45948</v>
      </c>
      <c r="G818" t="s">
        <v>45</v>
      </c>
      <c r="H818" t="s">
        <v>429</v>
      </c>
      <c r="I818" t="s">
        <v>96</v>
      </c>
      <c r="J818" t="s">
        <v>307</v>
      </c>
      <c r="K818" t="s">
        <v>36</v>
      </c>
      <c r="L818" t="s">
        <v>49</v>
      </c>
      <c r="M818" t="s">
        <v>50</v>
      </c>
      <c r="O818" t="s">
        <v>39</v>
      </c>
      <c r="P818" t="s">
        <v>39</v>
      </c>
      <c r="Q818" t="s">
        <v>39</v>
      </c>
      <c r="R818" t="s">
        <v>41</v>
      </c>
      <c r="S818" t="s">
        <v>40</v>
      </c>
      <c r="T818" t="s">
        <v>41</v>
      </c>
      <c r="U818" t="s">
        <v>39</v>
      </c>
      <c r="V818" t="s">
        <v>39</v>
      </c>
      <c r="W818" t="s">
        <v>40</v>
      </c>
      <c r="AB818" t="s">
        <v>6218</v>
      </c>
      <c r="AC818" t="s">
        <v>6219</v>
      </c>
      <c r="AD818" t="s">
        <v>6220</v>
      </c>
      <c r="AE818" t="s">
        <v>6221</v>
      </c>
    </row>
    <row r="819" spans="1:31" x14ac:dyDescent="0.2">
      <c r="A819">
        <v>45968103</v>
      </c>
      <c r="B819" t="s">
        <v>430</v>
      </c>
      <c r="C819" t="s">
        <v>431</v>
      </c>
      <c r="D819" t="s">
        <v>32</v>
      </c>
      <c r="E819" s="9">
        <v>45927</v>
      </c>
      <c r="G819" t="s">
        <v>45</v>
      </c>
      <c r="H819" t="s">
        <v>46</v>
      </c>
      <c r="J819" t="s">
        <v>138</v>
      </c>
      <c r="K819" t="s">
        <v>48</v>
      </c>
      <c r="L819" t="s">
        <v>49</v>
      </c>
      <c r="M819" t="s">
        <v>50</v>
      </c>
      <c r="O819" t="s">
        <v>39</v>
      </c>
      <c r="P819" t="s">
        <v>39</v>
      </c>
      <c r="Q819" t="s">
        <v>39</v>
      </c>
      <c r="R819" t="s">
        <v>41</v>
      </c>
      <c r="S819" t="s">
        <v>40</v>
      </c>
      <c r="T819" t="s">
        <v>41</v>
      </c>
      <c r="U819" t="s">
        <v>39</v>
      </c>
      <c r="V819" t="s">
        <v>39</v>
      </c>
      <c r="W819" t="s">
        <v>40</v>
      </c>
      <c r="AB819" t="s">
        <v>432</v>
      </c>
      <c r="AC819" t="s">
        <v>433</v>
      </c>
      <c r="AD819" t="s">
        <v>434</v>
      </c>
    </row>
    <row r="820" spans="1:31" x14ac:dyDescent="0.2">
      <c r="A820">
        <v>45968075</v>
      </c>
      <c r="B820" t="s">
        <v>435</v>
      </c>
      <c r="C820" t="s">
        <v>436</v>
      </c>
      <c r="D820" t="s">
        <v>32</v>
      </c>
      <c r="E820" s="9">
        <v>45927</v>
      </c>
      <c r="G820" t="s">
        <v>45</v>
      </c>
      <c r="H820" t="s">
        <v>437</v>
      </c>
      <c r="I820" t="s">
        <v>350</v>
      </c>
      <c r="J820" t="s">
        <v>286</v>
      </c>
      <c r="K820" t="s">
        <v>36</v>
      </c>
      <c r="L820" t="s">
        <v>37</v>
      </c>
      <c r="M820" t="s">
        <v>50</v>
      </c>
      <c r="O820" t="s">
        <v>39</v>
      </c>
      <c r="P820" t="s">
        <v>39</v>
      </c>
      <c r="Q820" t="s">
        <v>39</v>
      </c>
      <c r="R820" t="s">
        <v>41</v>
      </c>
      <c r="S820" t="s">
        <v>40</v>
      </c>
      <c r="T820" t="s">
        <v>41</v>
      </c>
      <c r="U820" t="s">
        <v>39</v>
      </c>
      <c r="V820" t="s">
        <v>39</v>
      </c>
      <c r="W820" t="s">
        <v>40</v>
      </c>
      <c r="AB820" t="s">
        <v>438</v>
      </c>
      <c r="AC820" t="s">
        <v>439</v>
      </c>
      <c r="AD820" t="s">
        <v>440</v>
      </c>
      <c r="AE820" t="s">
        <v>441</v>
      </c>
    </row>
    <row r="821" spans="1:31" x14ac:dyDescent="0.2">
      <c r="A821">
        <v>46105050</v>
      </c>
      <c r="B821" t="s">
        <v>560</v>
      </c>
      <c r="C821" t="s">
        <v>559</v>
      </c>
      <c r="D821" t="s">
        <v>32</v>
      </c>
      <c r="E821" s="9">
        <v>45941</v>
      </c>
      <c r="G821" t="s">
        <v>33</v>
      </c>
      <c r="H821" t="s">
        <v>1236</v>
      </c>
      <c r="J821" t="s">
        <v>234</v>
      </c>
      <c r="K821" t="s">
        <v>36</v>
      </c>
      <c r="L821" t="s">
        <v>49</v>
      </c>
      <c r="N821" t="s">
        <v>1237</v>
      </c>
      <c r="O821" t="s">
        <v>40</v>
      </c>
      <c r="P821" t="s">
        <v>39</v>
      </c>
      <c r="Q821" t="s">
        <v>39</v>
      </c>
      <c r="R821" t="s">
        <v>40</v>
      </c>
      <c r="S821" t="s">
        <v>41</v>
      </c>
      <c r="T821" t="s">
        <v>41</v>
      </c>
      <c r="U821" t="s">
        <v>40</v>
      </c>
      <c r="V821" t="s">
        <v>40</v>
      </c>
      <c r="W821" t="s">
        <v>39</v>
      </c>
      <c r="AB821" t="s">
        <v>1238</v>
      </c>
    </row>
    <row r="822" spans="1:31" x14ac:dyDescent="0.2">
      <c r="A822">
        <v>46106152</v>
      </c>
      <c r="B822" t="s">
        <v>613</v>
      </c>
      <c r="C822" t="s">
        <v>612</v>
      </c>
      <c r="D822" t="s">
        <v>32</v>
      </c>
      <c r="E822" s="9">
        <v>45941</v>
      </c>
      <c r="G822" t="s">
        <v>33</v>
      </c>
      <c r="H822" t="s">
        <v>34</v>
      </c>
      <c r="J822" t="s">
        <v>225</v>
      </c>
      <c r="K822" t="s">
        <v>36</v>
      </c>
      <c r="L822" t="s">
        <v>49</v>
      </c>
      <c r="N822" t="s">
        <v>38</v>
      </c>
      <c r="O822" t="s">
        <v>40</v>
      </c>
      <c r="P822" t="s">
        <v>39</v>
      </c>
      <c r="Q822" t="s">
        <v>39</v>
      </c>
      <c r="R822" t="s">
        <v>40</v>
      </c>
      <c r="S822" t="s">
        <v>41</v>
      </c>
      <c r="T822" t="s">
        <v>41</v>
      </c>
      <c r="U822" t="s">
        <v>39</v>
      </c>
      <c r="V822" t="s">
        <v>40</v>
      </c>
      <c r="W822" t="s">
        <v>39</v>
      </c>
      <c r="AB822" t="s">
        <v>1239</v>
      </c>
    </row>
    <row r="823" spans="1:31" x14ac:dyDescent="0.2">
      <c r="A823">
        <v>46105251</v>
      </c>
      <c r="B823" t="s">
        <v>592</v>
      </c>
      <c r="C823" t="s">
        <v>591</v>
      </c>
      <c r="D823" t="s">
        <v>32</v>
      </c>
      <c r="E823" s="9">
        <v>45941</v>
      </c>
      <c r="G823" t="s">
        <v>33</v>
      </c>
      <c r="H823" t="s">
        <v>210</v>
      </c>
      <c r="J823" t="s">
        <v>236</v>
      </c>
      <c r="K823" t="s">
        <v>48</v>
      </c>
      <c r="L823" t="s">
        <v>37</v>
      </c>
      <c r="N823" t="s">
        <v>38</v>
      </c>
      <c r="O823" t="s">
        <v>40</v>
      </c>
      <c r="P823" t="s">
        <v>39</v>
      </c>
      <c r="Q823" t="s">
        <v>39</v>
      </c>
      <c r="R823" t="s">
        <v>40</v>
      </c>
      <c r="S823" t="s">
        <v>41</v>
      </c>
      <c r="T823" t="s">
        <v>41</v>
      </c>
      <c r="U823" t="s">
        <v>39</v>
      </c>
      <c r="V823" t="s">
        <v>40</v>
      </c>
      <c r="W823" t="s">
        <v>39</v>
      </c>
      <c r="AB823" t="s">
        <v>1240</v>
      </c>
      <c r="AC823" t="s">
        <v>1241</v>
      </c>
      <c r="AD823" t="s">
        <v>1242</v>
      </c>
      <c r="AE823" t="s">
        <v>1243</v>
      </c>
    </row>
    <row r="824" spans="1:31" x14ac:dyDescent="0.2">
      <c r="A824">
        <v>46105343</v>
      </c>
      <c r="B824" t="s">
        <v>554</v>
      </c>
      <c r="C824" t="s">
        <v>553</v>
      </c>
      <c r="D824" t="s">
        <v>32</v>
      </c>
      <c r="E824" s="9">
        <v>45941</v>
      </c>
      <c r="G824" t="s">
        <v>33</v>
      </c>
      <c r="H824" t="s">
        <v>242</v>
      </c>
      <c r="J824" t="s">
        <v>234</v>
      </c>
      <c r="K824" t="s">
        <v>36</v>
      </c>
      <c r="L824" t="s">
        <v>49</v>
      </c>
      <c r="N824" t="s">
        <v>235</v>
      </c>
      <c r="O824" t="s">
        <v>40</v>
      </c>
      <c r="P824" t="s">
        <v>39</v>
      </c>
      <c r="Q824" t="s">
        <v>39</v>
      </c>
      <c r="R824" t="s">
        <v>40</v>
      </c>
      <c r="S824" t="s">
        <v>41</v>
      </c>
      <c r="T824" t="s">
        <v>41</v>
      </c>
      <c r="U824" t="s">
        <v>40</v>
      </c>
      <c r="V824" t="s">
        <v>40</v>
      </c>
      <c r="W824" t="s">
        <v>39</v>
      </c>
      <c r="AB824" t="s">
        <v>1244</v>
      </c>
    </row>
    <row r="825" spans="1:31" x14ac:dyDescent="0.2">
      <c r="A825">
        <v>46105322</v>
      </c>
      <c r="B825" t="s">
        <v>488</v>
      </c>
      <c r="C825" t="s">
        <v>487</v>
      </c>
      <c r="D825" t="s">
        <v>32</v>
      </c>
      <c r="E825" s="9">
        <v>45941</v>
      </c>
      <c r="G825" t="s">
        <v>33</v>
      </c>
      <c r="H825" t="s">
        <v>34</v>
      </c>
      <c r="J825" t="s">
        <v>1245</v>
      </c>
      <c r="K825" t="s">
        <v>36</v>
      </c>
      <c r="L825" t="s">
        <v>49</v>
      </c>
      <c r="N825" t="s">
        <v>38</v>
      </c>
      <c r="O825" t="s">
        <v>40</v>
      </c>
      <c r="P825" t="s">
        <v>39</v>
      </c>
      <c r="Q825" t="s">
        <v>39</v>
      </c>
      <c r="R825" t="s">
        <v>40</v>
      </c>
      <c r="S825" t="s">
        <v>41</v>
      </c>
      <c r="T825" t="s">
        <v>41</v>
      </c>
      <c r="U825" t="s">
        <v>40</v>
      </c>
      <c r="V825" t="s">
        <v>40</v>
      </c>
      <c r="W825" t="s">
        <v>39</v>
      </c>
      <c r="AB825" t="s">
        <v>1246</v>
      </c>
    </row>
    <row r="826" spans="1:31" x14ac:dyDescent="0.2">
      <c r="A826">
        <v>46105354</v>
      </c>
      <c r="B826" t="s">
        <v>549</v>
      </c>
      <c r="C826" t="s">
        <v>547</v>
      </c>
      <c r="D826" t="s">
        <v>32</v>
      </c>
      <c r="E826" s="9">
        <v>45941</v>
      </c>
      <c r="G826" t="s">
        <v>33</v>
      </c>
      <c r="H826" t="s">
        <v>1236</v>
      </c>
      <c r="J826" t="s">
        <v>234</v>
      </c>
      <c r="K826" t="s">
        <v>36</v>
      </c>
      <c r="L826" t="s">
        <v>49</v>
      </c>
      <c r="N826" t="s">
        <v>1237</v>
      </c>
      <c r="O826" t="s">
        <v>40</v>
      </c>
      <c r="P826" t="s">
        <v>39</v>
      </c>
      <c r="Q826" t="s">
        <v>39</v>
      </c>
      <c r="R826" t="s">
        <v>40</v>
      </c>
      <c r="S826" t="s">
        <v>41</v>
      </c>
      <c r="T826" t="s">
        <v>41</v>
      </c>
      <c r="U826" t="s">
        <v>40</v>
      </c>
      <c r="V826" t="s">
        <v>40</v>
      </c>
      <c r="W826" t="s">
        <v>39</v>
      </c>
      <c r="AB826" t="s">
        <v>1247</v>
      </c>
    </row>
    <row r="827" spans="1:31" x14ac:dyDescent="0.2">
      <c r="A827">
        <v>46105301</v>
      </c>
      <c r="B827" t="s">
        <v>730</v>
      </c>
      <c r="C827" t="s">
        <v>729</v>
      </c>
      <c r="D827" t="s">
        <v>32</v>
      </c>
      <c r="E827" s="9">
        <v>45941</v>
      </c>
      <c r="G827" t="s">
        <v>33</v>
      </c>
      <c r="H827" t="s">
        <v>210</v>
      </c>
      <c r="J827" t="s">
        <v>222</v>
      </c>
      <c r="K827" t="s">
        <v>48</v>
      </c>
      <c r="L827" t="s">
        <v>49</v>
      </c>
      <c r="N827" t="s">
        <v>38</v>
      </c>
      <c r="O827" t="s">
        <v>40</v>
      </c>
      <c r="P827" t="s">
        <v>39</v>
      </c>
      <c r="Q827" t="s">
        <v>39</v>
      </c>
      <c r="R827" t="s">
        <v>40</v>
      </c>
      <c r="S827" t="s">
        <v>41</v>
      </c>
      <c r="T827" t="s">
        <v>41</v>
      </c>
      <c r="U827" t="s">
        <v>39</v>
      </c>
      <c r="V827" t="s">
        <v>40</v>
      </c>
      <c r="W827" t="s">
        <v>39</v>
      </c>
      <c r="X827" t="s">
        <v>1248</v>
      </c>
      <c r="AB827" t="s">
        <v>1249</v>
      </c>
      <c r="AC827" t="s">
        <v>1250</v>
      </c>
      <c r="AD827" t="s">
        <v>1251</v>
      </c>
      <c r="AE827" t="s">
        <v>1252</v>
      </c>
    </row>
    <row r="828" spans="1:31" x14ac:dyDescent="0.2">
      <c r="A828">
        <v>46106073</v>
      </c>
      <c r="B828" t="s">
        <v>726</v>
      </c>
      <c r="C828" t="s">
        <v>725</v>
      </c>
      <c r="D828" t="s">
        <v>32</v>
      </c>
      <c r="E828" s="9">
        <v>45941</v>
      </c>
      <c r="G828" t="s">
        <v>33</v>
      </c>
      <c r="H828" t="s">
        <v>242</v>
      </c>
      <c r="J828" t="s">
        <v>225</v>
      </c>
      <c r="K828" t="s">
        <v>36</v>
      </c>
      <c r="L828" t="s">
        <v>37</v>
      </c>
      <c r="N828" t="s">
        <v>235</v>
      </c>
      <c r="O828" t="s">
        <v>40</v>
      </c>
      <c r="P828" t="s">
        <v>39</v>
      </c>
      <c r="Q828" t="s">
        <v>39</v>
      </c>
      <c r="R828" t="s">
        <v>40</v>
      </c>
      <c r="S828" t="s">
        <v>41</v>
      </c>
      <c r="T828" t="s">
        <v>41</v>
      </c>
      <c r="U828" t="s">
        <v>40</v>
      </c>
      <c r="V828" t="s">
        <v>40</v>
      </c>
      <c r="W828" t="s">
        <v>39</v>
      </c>
      <c r="AB828" t="s">
        <v>1253</v>
      </c>
    </row>
    <row r="829" spans="1:31" x14ac:dyDescent="0.2">
      <c r="A829">
        <v>46105255</v>
      </c>
      <c r="B829" t="s">
        <v>597</v>
      </c>
      <c r="C829" t="s">
        <v>596</v>
      </c>
      <c r="D829" t="s">
        <v>32</v>
      </c>
      <c r="E829" s="9">
        <v>45941</v>
      </c>
      <c r="G829" t="s">
        <v>33</v>
      </c>
      <c r="H829" t="s">
        <v>210</v>
      </c>
      <c r="J829" t="s">
        <v>1254</v>
      </c>
      <c r="K829" t="s">
        <v>36</v>
      </c>
      <c r="L829" t="s">
        <v>164</v>
      </c>
      <c r="N829" t="s">
        <v>38</v>
      </c>
      <c r="O829" t="s">
        <v>40</v>
      </c>
      <c r="P829" t="s">
        <v>39</v>
      </c>
      <c r="Q829" t="s">
        <v>39</v>
      </c>
      <c r="R829" t="s">
        <v>40</v>
      </c>
      <c r="S829" t="s">
        <v>41</v>
      </c>
      <c r="T829" t="s">
        <v>41</v>
      </c>
      <c r="U829" t="s">
        <v>39</v>
      </c>
      <c r="V829" t="s">
        <v>40</v>
      </c>
      <c r="W829" t="s">
        <v>39</v>
      </c>
      <c r="AB829" t="s">
        <v>1255</v>
      </c>
      <c r="AC829" t="s">
        <v>1256</v>
      </c>
      <c r="AD829" t="s">
        <v>1257</v>
      </c>
    </row>
    <row r="830" spans="1:31" x14ac:dyDescent="0.2">
      <c r="A830">
        <v>46105288</v>
      </c>
      <c r="B830" t="s">
        <v>628</v>
      </c>
      <c r="C830" t="s">
        <v>627</v>
      </c>
      <c r="D830" t="s">
        <v>32</v>
      </c>
      <c r="E830" s="9">
        <v>45941</v>
      </c>
      <c r="G830" t="s">
        <v>33</v>
      </c>
      <c r="H830" t="s">
        <v>34</v>
      </c>
      <c r="J830" t="s">
        <v>225</v>
      </c>
      <c r="K830" t="s">
        <v>36</v>
      </c>
      <c r="L830" t="s">
        <v>37</v>
      </c>
      <c r="N830" t="s">
        <v>38</v>
      </c>
      <c r="O830" t="s">
        <v>40</v>
      </c>
      <c r="P830" t="s">
        <v>39</v>
      </c>
      <c r="Q830" t="s">
        <v>39</v>
      </c>
      <c r="R830" t="s">
        <v>40</v>
      </c>
      <c r="S830" t="s">
        <v>41</v>
      </c>
      <c r="T830" t="s">
        <v>41</v>
      </c>
      <c r="U830" t="s">
        <v>39</v>
      </c>
      <c r="V830" t="s">
        <v>40</v>
      </c>
      <c r="W830" t="s">
        <v>39</v>
      </c>
      <c r="AB830" t="s">
        <v>1258</v>
      </c>
      <c r="AC830" t="s">
        <v>1259</v>
      </c>
      <c r="AD830" t="s">
        <v>1260</v>
      </c>
    </row>
    <row r="831" spans="1:31" x14ac:dyDescent="0.2">
      <c r="A831">
        <v>46106131</v>
      </c>
      <c r="B831" t="s">
        <v>610</v>
      </c>
      <c r="C831" t="s">
        <v>609</v>
      </c>
      <c r="D831" t="s">
        <v>32</v>
      </c>
      <c r="E831" s="9">
        <v>45941</v>
      </c>
      <c r="G831" t="s">
        <v>33</v>
      </c>
      <c r="H831" t="s">
        <v>242</v>
      </c>
      <c r="J831" t="s">
        <v>1261</v>
      </c>
      <c r="K831" t="s">
        <v>48</v>
      </c>
      <c r="L831" t="s">
        <v>49</v>
      </c>
      <c r="N831" t="s">
        <v>235</v>
      </c>
      <c r="O831" t="s">
        <v>40</v>
      </c>
      <c r="P831" t="s">
        <v>39</v>
      </c>
      <c r="Q831" t="s">
        <v>39</v>
      </c>
      <c r="R831" t="s">
        <v>40</v>
      </c>
      <c r="S831" t="s">
        <v>41</v>
      </c>
      <c r="T831" t="s">
        <v>41</v>
      </c>
      <c r="U831" t="s">
        <v>40</v>
      </c>
      <c r="V831" t="s">
        <v>40</v>
      </c>
      <c r="W831" t="s">
        <v>39</v>
      </c>
      <c r="AB831" t="s">
        <v>1262</v>
      </c>
    </row>
    <row r="832" spans="1:31" x14ac:dyDescent="0.2">
      <c r="A832">
        <v>46184776</v>
      </c>
      <c r="B832" t="s">
        <v>836</v>
      </c>
      <c r="C832" t="s">
        <v>835</v>
      </c>
      <c r="D832" t="s">
        <v>3505</v>
      </c>
      <c r="E832" s="9">
        <v>45949</v>
      </c>
      <c r="F832" s="9">
        <v>45974</v>
      </c>
      <c r="G832" t="s">
        <v>45</v>
      </c>
      <c r="H832" t="s">
        <v>68</v>
      </c>
      <c r="I832" t="s">
        <v>59</v>
      </c>
      <c r="J832" t="s">
        <v>133</v>
      </c>
      <c r="K832" t="s">
        <v>48</v>
      </c>
      <c r="L832" t="s">
        <v>49</v>
      </c>
      <c r="M832" t="s">
        <v>50</v>
      </c>
      <c r="O832" t="s">
        <v>39</v>
      </c>
      <c r="P832" t="s">
        <v>39</v>
      </c>
      <c r="Q832" t="s">
        <v>39</v>
      </c>
      <c r="R832" t="s">
        <v>41</v>
      </c>
      <c r="S832" t="s">
        <v>40</v>
      </c>
      <c r="T832" t="s">
        <v>41</v>
      </c>
      <c r="U832" t="s">
        <v>39</v>
      </c>
      <c r="V832" t="s">
        <v>39</v>
      </c>
      <c r="W832" t="s">
        <v>40</v>
      </c>
      <c r="AB832" t="s">
        <v>6222</v>
      </c>
      <c r="AC832" t="s">
        <v>6223</v>
      </c>
      <c r="AD832" t="s">
        <v>6224</v>
      </c>
    </row>
    <row r="833" spans="1:31" x14ac:dyDescent="0.2">
      <c r="A833">
        <v>46184787</v>
      </c>
      <c r="B833" t="s">
        <v>849</v>
      </c>
      <c r="C833" t="s">
        <v>848</v>
      </c>
      <c r="D833" t="s">
        <v>32</v>
      </c>
      <c r="E833" s="9">
        <v>45949</v>
      </c>
      <c r="G833" t="s">
        <v>45</v>
      </c>
      <c r="H833" t="s">
        <v>89</v>
      </c>
      <c r="I833" t="s">
        <v>90</v>
      </c>
      <c r="J833" t="s">
        <v>47</v>
      </c>
      <c r="K833" t="s">
        <v>48</v>
      </c>
      <c r="L833" t="s">
        <v>49</v>
      </c>
      <c r="M833" t="s">
        <v>74</v>
      </c>
      <c r="O833" t="s">
        <v>39</v>
      </c>
      <c r="P833" t="s">
        <v>39</v>
      </c>
      <c r="Q833" t="s">
        <v>39</v>
      </c>
      <c r="R833" t="s">
        <v>41</v>
      </c>
      <c r="S833" t="s">
        <v>40</v>
      </c>
      <c r="T833" t="s">
        <v>41</v>
      </c>
      <c r="U833" t="s">
        <v>39</v>
      </c>
      <c r="V833" t="s">
        <v>39</v>
      </c>
      <c r="W833" t="s">
        <v>40</v>
      </c>
      <c r="X833" t="s">
        <v>2200</v>
      </c>
      <c r="AB833" t="s">
        <v>1424</v>
      </c>
      <c r="AC833" t="s">
        <v>1425</v>
      </c>
      <c r="AD833" t="s">
        <v>1426</v>
      </c>
      <c r="AE833" t="s">
        <v>1427</v>
      </c>
    </row>
    <row r="834" spans="1:31" x14ac:dyDescent="0.2">
      <c r="A834">
        <v>46184800</v>
      </c>
      <c r="B834" t="s">
        <v>867</v>
      </c>
      <c r="C834" t="s">
        <v>866</v>
      </c>
      <c r="D834" t="s">
        <v>3505</v>
      </c>
      <c r="E834" s="9">
        <v>45949</v>
      </c>
      <c r="F834" s="9">
        <v>45963</v>
      </c>
      <c r="G834" t="s">
        <v>45</v>
      </c>
      <c r="H834" t="s">
        <v>1428</v>
      </c>
      <c r="I834" t="s">
        <v>1429</v>
      </c>
      <c r="J834" t="s">
        <v>154</v>
      </c>
      <c r="K834" t="s">
        <v>48</v>
      </c>
      <c r="L834" t="s">
        <v>49</v>
      </c>
      <c r="M834" t="s">
        <v>74</v>
      </c>
      <c r="O834" t="s">
        <v>39</v>
      </c>
      <c r="P834" t="s">
        <v>39</v>
      </c>
      <c r="Q834" t="s">
        <v>39</v>
      </c>
      <c r="R834" t="s">
        <v>41</v>
      </c>
      <c r="S834" t="s">
        <v>40</v>
      </c>
      <c r="T834" t="s">
        <v>41</v>
      </c>
      <c r="U834" t="s">
        <v>39</v>
      </c>
      <c r="V834" t="s">
        <v>39</v>
      </c>
      <c r="W834" t="s">
        <v>40</v>
      </c>
      <c r="AB834" t="s">
        <v>6225</v>
      </c>
      <c r="AC834" t="s">
        <v>6226</v>
      </c>
      <c r="AD834" t="s">
        <v>6227</v>
      </c>
      <c r="AE834" t="s">
        <v>6228</v>
      </c>
    </row>
    <row r="835" spans="1:31" x14ac:dyDescent="0.2">
      <c r="A835">
        <v>46184805</v>
      </c>
      <c r="B835" t="s">
        <v>1152</v>
      </c>
      <c r="C835" t="s">
        <v>1969</v>
      </c>
      <c r="D835" t="s">
        <v>3505</v>
      </c>
      <c r="E835" s="9">
        <v>45949</v>
      </c>
      <c r="F835" s="9">
        <v>45974</v>
      </c>
      <c r="G835" t="s">
        <v>45</v>
      </c>
      <c r="H835" t="s">
        <v>252</v>
      </c>
      <c r="I835" t="s">
        <v>253</v>
      </c>
      <c r="J835" t="s">
        <v>254</v>
      </c>
      <c r="K835" t="s">
        <v>36</v>
      </c>
      <c r="L835" t="s">
        <v>49</v>
      </c>
      <c r="M835" t="s">
        <v>50</v>
      </c>
      <c r="O835" t="s">
        <v>39</v>
      </c>
      <c r="P835" t="s">
        <v>41</v>
      </c>
      <c r="Q835" t="s">
        <v>39</v>
      </c>
      <c r="R835" t="s">
        <v>41</v>
      </c>
      <c r="S835" t="s">
        <v>40</v>
      </c>
      <c r="T835" t="s">
        <v>41</v>
      </c>
      <c r="U835" t="s">
        <v>39</v>
      </c>
      <c r="V835" t="s">
        <v>39</v>
      </c>
      <c r="W835" t="s">
        <v>40</v>
      </c>
      <c r="X835" t="s">
        <v>6229</v>
      </c>
      <c r="AB835" t="s">
        <v>6230</v>
      </c>
      <c r="AC835" t="s">
        <v>6231</v>
      </c>
      <c r="AD835" t="s">
        <v>6232</v>
      </c>
      <c r="AE835" t="s">
        <v>6233</v>
      </c>
    </row>
    <row r="836" spans="1:31" x14ac:dyDescent="0.2">
      <c r="A836">
        <v>46184679</v>
      </c>
      <c r="B836" t="s">
        <v>843</v>
      </c>
      <c r="C836" t="s">
        <v>1970</v>
      </c>
      <c r="D836" t="s">
        <v>3505</v>
      </c>
      <c r="E836" s="9">
        <v>45949</v>
      </c>
      <c r="F836" s="9">
        <v>45974</v>
      </c>
      <c r="G836" t="s">
        <v>45</v>
      </c>
      <c r="H836" t="s">
        <v>90</v>
      </c>
      <c r="I836" t="s">
        <v>1158</v>
      </c>
      <c r="J836" t="s">
        <v>154</v>
      </c>
      <c r="K836" t="s">
        <v>48</v>
      </c>
      <c r="L836" t="s">
        <v>37</v>
      </c>
      <c r="M836" t="s">
        <v>50</v>
      </c>
      <c r="O836" t="s">
        <v>39</v>
      </c>
      <c r="P836" t="s">
        <v>39</v>
      </c>
      <c r="Q836" t="s">
        <v>39</v>
      </c>
      <c r="R836" t="s">
        <v>39</v>
      </c>
      <c r="S836" t="s">
        <v>40</v>
      </c>
      <c r="T836" t="s">
        <v>41</v>
      </c>
      <c r="U836" t="s">
        <v>39</v>
      </c>
      <c r="V836" t="s">
        <v>39</v>
      </c>
      <c r="W836" t="s">
        <v>40</v>
      </c>
      <c r="AB836" t="s">
        <v>6234</v>
      </c>
      <c r="AC836" t="s">
        <v>6235</v>
      </c>
      <c r="AD836" t="s">
        <v>6236</v>
      </c>
      <c r="AE836" t="s">
        <v>6237</v>
      </c>
    </row>
    <row r="837" spans="1:31" x14ac:dyDescent="0.2">
      <c r="A837">
        <v>46184656</v>
      </c>
      <c r="B837" t="s">
        <v>775</v>
      </c>
      <c r="C837" t="s">
        <v>774</v>
      </c>
      <c r="D837" t="s">
        <v>3505</v>
      </c>
      <c r="E837" s="9">
        <v>45949</v>
      </c>
      <c r="F837" s="9">
        <v>45963</v>
      </c>
      <c r="G837" t="s">
        <v>45</v>
      </c>
      <c r="H837" t="s">
        <v>90</v>
      </c>
      <c r="J837" t="s">
        <v>138</v>
      </c>
      <c r="K837" t="s">
        <v>48</v>
      </c>
      <c r="L837" t="s">
        <v>49</v>
      </c>
      <c r="M837" t="s">
        <v>50</v>
      </c>
      <c r="O837" t="s">
        <v>39</v>
      </c>
      <c r="P837" t="s">
        <v>39</v>
      </c>
      <c r="Q837" t="s">
        <v>39</v>
      </c>
      <c r="R837" t="s">
        <v>41</v>
      </c>
      <c r="S837" t="s">
        <v>40</v>
      </c>
      <c r="T837" t="s">
        <v>41</v>
      </c>
      <c r="U837" t="s">
        <v>39</v>
      </c>
      <c r="V837" t="s">
        <v>39</v>
      </c>
      <c r="W837" t="s">
        <v>40</v>
      </c>
      <c r="X837" t="s">
        <v>6238</v>
      </c>
      <c r="AB837" t="s">
        <v>6239</v>
      </c>
      <c r="AC837" t="s">
        <v>6240</v>
      </c>
      <c r="AD837" t="s">
        <v>6241</v>
      </c>
    </row>
    <row r="838" spans="1:31" x14ac:dyDescent="0.2">
      <c r="A838">
        <v>46184864</v>
      </c>
      <c r="B838" t="s">
        <v>827</v>
      </c>
      <c r="C838" t="s">
        <v>826</v>
      </c>
      <c r="D838" t="s">
        <v>32</v>
      </c>
      <c r="E838" s="9">
        <v>45949</v>
      </c>
      <c r="G838" t="s">
        <v>45</v>
      </c>
      <c r="H838" t="s">
        <v>46</v>
      </c>
      <c r="I838" t="s">
        <v>90</v>
      </c>
      <c r="J838" t="s">
        <v>154</v>
      </c>
      <c r="K838" t="s">
        <v>48</v>
      </c>
      <c r="L838" t="s">
        <v>37</v>
      </c>
      <c r="M838" t="s">
        <v>50</v>
      </c>
      <c r="O838" t="s">
        <v>39</v>
      </c>
      <c r="P838" t="s">
        <v>39</v>
      </c>
      <c r="Q838" t="s">
        <v>39</v>
      </c>
      <c r="R838" t="s">
        <v>41</v>
      </c>
      <c r="S838" t="s">
        <v>40</v>
      </c>
      <c r="T838" t="s">
        <v>41</v>
      </c>
      <c r="U838" t="s">
        <v>39</v>
      </c>
      <c r="V838" t="s">
        <v>39</v>
      </c>
      <c r="W838" t="s">
        <v>40</v>
      </c>
      <c r="AB838" t="s">
        <v>1430</v>
      </c>
      <c r="AC838" t="s">
        <v>1431</v>
      </c>
      <c r="AD838" t="s">
        <v>1432</v>
      </c>
      <c r="AE838" t="s">
        <v>1433</v>
      </c>
    </row>
    <row r="839" spans="1:31" x14ac:dyDescent="0.2">
      <c r="A839">
        <v>46184910</v>
      </c>
      <c r="B839" t="s">
        <v>802</v>
      </c>
      <c r="C839" t="s">
        <v>2201</v>
      </c>
      <c r="D839" t="s">
        <v>3505</v>
      </c>
      <c r="E839" s="9">
        <v>45949</v>
      </c>
      <c r="F839" s="9">
        <v>45980</v>
      </c>
      <c r="G839" t="s">
        <v>45</v>
      </c>
      <c r="H839" t="s">
        <v>1428</v>
      </c>
      <c r="I839" t="s">
        <v>90</v>
      </c>
      <c r="J839" t="s">
        <v>146</v>
      </c>
      <c r="K839" t="s">
        <v>48</v>
      </c>
      <c r="L839" t="s">
        <v>37</v>
      </c>
      <c r="M839" t="s">
        <v>50</v>
      </c>
      <c r="O839" t="s">
        <v>39</v>
      </c>
      <c r="P839" t="s">
        <v>39</v>
      </c>
      <c r="Q839" t="s">
        <v>39</v>
      </c>
      <c r="R839" t="s">
        <v>41</v>
      </c>
      <c r="S839" t="s">
        <v>40</v>
      </c>
      <c r="T839" t="s">
        <v>41</v>
      </c>
      <c r="U839" t="s">
        <v>39</v>
      </c>
      <c r="V839" t="s">
        <v>39</v>
      </c>
      <c r="W839" t="s">
        <v>40</v>
      </c>
      <c r="X839" t="s">
        <v>2202</v>
      </c>
      <c r="AB839" t="s">
        <v>1434</v>
      </c>
      <c r="AC839" t="s">
        <v>1435</v>
      </c>
      <c r="AD839" t="s">
        <v>1436</v>
      </c>
      <c r="AE839" t="s">
        <v>1437</v>
      </c>
    </row>
    <row r="840" spans="1:31" x14ac:dyDescent="0.2">
      <c r="A840">
        <v>46184923</v>
      </c>
      <c r="B840" t="s">
        <v>799</v>
      </c>
      <c r="C840" t="s">
        <v>1971</v>
      </c>
      <c r="D840" t="s">
        <v>3505</v>
      </c>
      <c r="E840" s="9">
        <v>45949</v>
      </c>
      <c r="F840" s="9">
        <v>45974</v>
      </c>
      <c r="G840" t="s">
        <v>45</v>
      </c>
      <c r="H840" t="s">
        <v>90</v>
      </c>
      <c r="I840" t="s">
        <v>96</v>
      </c>
      <c r="J840" t="s">
        <v>1438</v>
      </c>
      <c r="K840" t="s">
        <v>48</v>
      </c>
      <c r="L840" t="s">
        <v>37</v>
      </c>
      <c r="M840" t="s">
        <v>50</v>
      </c>
      <c r="O840" t="s">
        <v>39</v>
      </c>
      <c r="P840" t="s">
        <v>39</v>
      </c>
      <c r="Q840" t="s">
        <v>39</v>
      </c>
      <c r="R840" t="s">
        <v>41</v>
      </c>
      <c r="S840" t="s">
        <v>40</v>
      </c>
      <c r="T840" t="s">
        <v>41</v>
      </c>
      <c r="U840" t="s">
        <v>39</v>
      </c>
      <c r="V840" t="s">
        <v>39</v>
      </c>
      <c r="W840" t="s">
        <v>40</v>
      </c>
      <c r="AB840" t="s">
        <v>6242</v>
      </c>
      <c r="AC840" t="s">
        <v>6243</v>
      </c>
      <c r="AD840" t="s">
        <v>6244</v>
      </c>
      <c r="AE840" t="s">
        <v>6245</v>
      </c>
    </row>
    <row r="841" spans="1:31" x14ac:dyDescent="0.2">
      <c r="A841">
        <v>46184930</v>
      </c>
      <c r="B841" t="s">
        <v>768</v>
      </c>
      <c r="C841" t="s">
        <v>767</v>
      </c>
      <c r="D841" t="s">
        <v>3505</v>
      </c>
      <c r="E841" s="9">
        <v>45949</v>
      </c>
      <c r="F841" s="9">
        <v>45963</v>
      </c>
      <c r="G841" t="s">
        <v>45</v>
      </c>
      <c r="H841" t="s">
        <v>46</v>
      </c>
      <c r="I841" t="s">
        <v>59</v>
      </c>
      <c r="J841" t="s">
        <v>123</v>
      </c>
      <c r="K841" t="s">
        <v>36</v>
      </c>
      <c r="L841" t="s">
        <v>37</v>
      </c>
      <c r="M841" t="s">
        <v>50</v>
      </c>
      <c r="O841" t="s">
        <v>39</v>
      </c>
      <c r="P841" t="s">
        <v>39</v>
      </c>
      <c r="Q841" t="s">
        <v>39</v>
      </c>
      <c r="R841" t="s">
        <v>41</v>
      </c>
      <c r="S841" t="s">
        <v>40</v>
      </c>
      <c r="T841" t="s">
        <v>41</v>
      </c>
      <c r="U841" t="s">
        <v>39</v>
      </c>
      <c r="V841" t="s">
        <v>39</v>
      </c>
      <c r="W841" t="s">
        <v>40</v>
      </c>
      <c r="AB841" t="s">
        <v>6246</v>
      </c>
      <c r="AC841" t="s">
        <v>6247</v>
      </c>
      <c r="AD841" t="s">
        <v>6248</v>
      </c>
      <c r="AE841" t="s">
        <v>6249</v>
      </c>
    </row>
    <row r="842" spans="1:31" x14ac:dyDescent="0.2">
      <c r="A842">
        <v>46184949</v>
      </c>
      <c r="B842" t="s">
        <v>792</v>
      </c>
      <c r="C842" t="s">
        <v>791</v>
      </c>
      <c r="D842" t="s">
        <v>3505</v>
      </c>
      <c r="E842" s="9">
        <v>45949</v>
      </c>
      <c r="F842" s="9">
        <v>45963</v>
      </c>
      <c r="G842" t="s">
        <v>45</v>
      </c>
      <c r="H842" t="s">
        <v>80</v>
      </c>
      <c r="I842" t="s">
        <v>1439</v>
      </c>
      <c r="J842" t="s">
        <v>342</v>
      </c>
      <c r="K842" t="s">
        <v>36</v>
      </c>
      <c r="L842" t="s">
        <v>37</v>
      </c>
      <c r="M842" t="s">
        <v>50</v>
      </c>
      <c r="O842" t="s">
        <v>39</v>
      </c>
      <c r="P842" t="s">
        <v>39</v>
      </c>
      <c r="Q842" t="s">
        <v>39</v>
      </c>
      <c r="R842" t="s">
        <v>41</v>
      </c>
      <c r="S842" t="s">
        <v>40</v>
      </c>
      <c r="T842" t="s">
        <v>41</v>
      </c>
      <c r="U842" t="s">
        <v>39</v>
      </c>
      <c r="V842" t="s">
        <v>39</v>
      </c>
      <c r="W842" t="s">
        <v>40</v>
      </c>
      <c r="AB842" t="s">
        <v>6250</v>
      </c>
      <c r="AC842" t="s">
        <v>6251</v>
      </c>
      <c r="AD842" t="s">
        <v>6252</v>
      </c>
      <c r="AE842" t="s">
        <v>6253</v>
      </c>
    </row>
    <row r="843" spans="1:31" x14ac:dyDescent="0.2">
      <c r="A843">
        <v>46184619</v>
      </c>
      <c r="B843" t="s">
        <v>713</v>
      </c>
      <c r="C843" t="s">
        <v>3091</v>
      </c>
      <c r="D843" t="s">
        <v>32</v>
      </c>
      <c r="E843" s="9">
        <v>45949</v>
      </c>
      <c r="G843" t="s">
        <v>45</v>
      </c>
      <c r="H843" t="s">
        <v>46</v>
      </c>
      <c r="I843" t="s">
        <v>53</v>
      </c>
      <c r="J843" t="s">
        <v>1440</v>
      </c>
      <c r="K843" t="s">
        <v>48</v>
      </c>
      <c r="L843" t="s">
        <v>49</v>
      </c>
      <c r="M843" t="s">
        <v>50</v>
      </c>
      <c r="O843" t="s">
        <v>39</v>
      </c>
      <c r="P843" t="s">
        <v>39</v>
      </c>
      <c r="Q843" t="s">
        <v>39</v>
      </c>
      <c r="R843" t="s">
        <v>41</v>
      </c>
      <c r="S843" t="s">
        <v>40</v>
      </c>
      <c r="T843" t="s">
        <v>41</v>
      </c>
      <c r="U843" t="s">
        <v>39</v>
      </c>
      <c r="V843" t="s">
        <v>39</v>
      </c>
      <c r="W843" t="s">
        <v>40</v>
      </c>
      <c r="AB843" t="s">
        <v>1441</v>
      </c>
      <c r="AC843" t="s">
        <v>1442</v>
      </c>
      <c r="AD843" t="s">
        <v>1443</v>
      </c>
    </row>
    <row r="844" spans="1:31" x14ac:dyDescent="0.2">
      <c r="A844">
        <v>46185064</v>
      </c>
      <c r="B844" t="s">
        <v>834</v>
      </c>
      <c r="C844" t="s">
        <v>833</v>
      </c>
      <c r="D844" t="s">
        <v>32</v>
      </c>
      <c r="E844" s="9">
        <v>45949</v>
      </c>
      <c r="G844" t="s">
        <v>45</v>
      </c>
      <c r="H844" t="s">
        <v>46</v>
      </c>
      <c r="I844" t="s">
        <v>1444</v>
      </c>
      <c r="J844" t="s">
        <v>69</v>
      </c>
      <c r="K844" t="s">
        <v>48</v>
      </c>
      <c r="L844" t="s">
        <v>49</v>
      </c>
      <c r="M844" t="s">
        <v>50</v>
      </c>
      <c r="O844" t="s">
        <v>39</v>
      </c>
      <c r="P844" t="s">
        <v>39</v>
      </c>
      <c r="Q844" t="s">
        <v>39</v>
      </c>
      <c r="R844" t="s">
        <v>41</v>
      </c>
      <c r="S844" t="s">
        <v>40</v>
      </c>
      <c r="T844" t="s">
        <v>41</v>
      </c>
      <c r="U844" t="s">
        <v>39</v>
      </c>
      <c r="V844" t="s">
        <v>39</v>
      </c>
      <c r="W844" t="s">
        <v>40</v>
      </c>
      <c r="X844" t="s">
        <v>2203</v>
      </c>
      <c r="AB844" t="s">
        <v>1445</v>
      </c>
      <c r="AC844" t="s">
        <v>1446</v>
      </c>
      <c r="AD844" t="s">
        <v>1447</v>
      </c>
      <c r="AE844" t="s">
        <v>1448</v>
      </c>
    </row>
    <row r="845" spans="1:31" x14ac:dyDescent="0.2">
      <c r="A845">
        <v>46185077</v>
      </c>
      <c r="B845" t="s">
        <v>865</v>
      </c>
      <c r="C845" t="s">
        <v>864</v>
      </c>
      <c r="D845" t="s">
        <v>3505</v>
      </c>
      <c r="E845" s="9">
        <v>45949</v>
      </c>
      <c r="F845" s="9">
        <v>45963</v>
      </c>
      <c r="G845" t="s">
        <v>45</v>
      </c>
      <c r="H845" t="s">
        <v>1428</v>
      </c>
      <c r="I845" t="s">
        <v>1429</v>
      </c>
      <c r="J845" t="s">
        <v>154</v>
      </c>
      <c r="K845" t="s">
        <v>48</v>
      </c>
      <c r="L845" t="s">
        <v>49</v>
      </c>
      <c r="M845" t="s">
        <v>50</v>
      </c>
      <c r="O845" t="s">
        <v>39</v>
      </c>
      <c r="P845" t="s">
        <v>39</v>
      </c>
      <c r="Q845" t="s">
        <v>39</v>
      </c>
      <c r="R845" t="s">
        <v>41</v>
      </c>
      <c r="S845" t="s">
        <v>40</v>
      </c>
      <c r="T845" t="s">
        <v>41</v>
      </c>
      <c r="U845" t="s">
        <v>39</v>
      </c>
      <c r="V845" t="s">
        <v>39</v>
      </c>
      <c r="W845" t="s">
        <v>40</v>
      </c>
      <c r="AB845" t="s">
        <v>6254</v>
      </c>
      <c r="AC845" t="s">
        <v>6255</v>
      </c>
      <c r="AD845" t="s">
        <v>6256</v>
      </c>
      <c r="AE845" t="s">
        <v>6257</v>
      </c>
    </row>
    <row r="846" spans="1:31" x14ac:dyDescent="0.2">
      <c r="A846">
        <v>46270208</v>
      </c>
      <c r="B846" t="s">
        <v>576</v>
      </c>
      <c r="C846" t="s">
        <v>1938</v>
      </c>
      <c r="D846" t="s">
        <v>32</v>
      </c>
      <c r="E846" s="9">
        <v>45958</v>
      </c>
      <c r="G846" t="s">
        <v>1972</v>
      </c>
      <c r="H846" t="s">
        <v>1973</v>
      </c>
      <c r="K846" t="s">
        <v>48</v>
      </c>
      <c r="L846" t="s">
        <v>49</v>
      </c>
      <c r="M846" t="s">
        <v>1974</v>
      </c>
      <c r="O846" t="s">
        <v>40</v>
      </c>
      <c r="P846" t="s">
        <v>40</v>
      </c>
      <c r="Q846" t="s">
        <v>40</v>
      </c>
      <c r="R846" t="s">
        <v>40</v>
      </c>
      <c r="S846" t="s">
        <v>40</v>
      </c>
      <c r="T846" t="s">
        <v>41</v>
      </c>
      <c r="U846" t="s">
        <v>40</v>
      </c>
      <c r="V846" t="s">
        <v>40</v>
      </c>
      <c r="W846" t="s">
        <v>40</v>
      </c>
      <c r="AB846" t="s">
        <v>1975</v>
      </c>
      <c r="AC846" t="s">
        <v>1976</v>
      </c>
    </row>
    <row r="847" spans="1:31" x14ac:dyDescent="0.2">
      <c r="A847">
        <v>46270156</v>
      </c>
      <c r="B847" t="s">
        <v>574</v>
      </c>
      <c r="C847" t="s">
        <v>1977</v>
      </c>
      <c r="D847" t="s">
        <v>32</v>
      </c>
      <c r="E847" s="9">
        <v>45958</v>
      </c>
      <c r="G847" t="s">
        <v>1972</v>
      </c>
      <c r="H847" t="s">
        <v>1973</v>
      </c>
      <c r="K847" t="s">
        <v>36</v>
      </c>
      <c r="L847" t="s">
        <v>49</v>
      </c>
      <c r="M847" t="s">
        <v>1974</v>
      </c>
      <c r="O847" t="s">
        <v>40</v>
      </c>
      <c r="P847" t="s">
        <v>40</v>
      </c>
      <c r="Q847" t="s">
        <v>40</v>
      </c>
      <c r="R847" t="s">
        <v>40</v>
      </c>
      <c r="S847" t="s">
        <v>40</v>
      </c>
      <c r="T847" t="s">
        <v>41</v>
      </c>
      <c r="U847" t="s">
        <v>40</v>
      </c>
      <c r="V847" t="s">
        <v>40</v>
      </c>
      <c r="W847" t="s">
        <v>40</v>
      </c>
      <c r="X847" t="s">
        <v>1978</v>
      </c>
      <c r="AB847" t="s">
        <v>1979</v>
      </c>
      <c r="AC847" t="s">
        <v>1980</v>
      </c>
    </row>
    <row r="848" spans="1:31" x14ac:dyDescent="0.2">
      <c r="A848">
        <v>46269784</v>
      </c>
      <c r="B848" t="s">
        <v>575</v>
      </c>
      <c r="C848" t="s">
        <v>1940</v>
      </c>
      <c r="D848" t="s">
        <v>32</v>
      </c>
      <c r="E848" s="9">
        <v>45958</v>
      </c>
      <c r="G848" t="s">
        <v>1972</v>
      </c>
      <c r="H848" t="s">
        <v>1973</v>
      </c>
      <c r="K848" t="s">
        <v>36</v>
      </c>
      <c r="L848" t="s">
        <v>49</v>
      </c>
      <c r="M848" t="s">
        <v>1974</v>
      </c>
      <c r="O848" t="s">
        <v>40</v>
      </c>
      <c r="P848" t="s">
        <v>40</v>
      </c>
      <c r="Q848" t="s">
        <v>40</v>
      </c>
      <c r="R848" t="s">
        <v>40</v>
      </c>
      <c r="S848" t="s">
        <v>40</v>
      </c>
      <c r="T848" t="s">
        <v>41</v>
      </c>
      <c r="U848" t="s">
        <v>40</v>
      </c>
      <c r="V848" t="s">
        <v>40</v>
      </c>
      <c r="W848" t="s">
        <v>40</v>
      </c>
      <c r="X848" t="s">
        <v>1981</v>
      </c>
      <c r="AB848" t="s">
        <v>1982</v>
      </c>
      <c r="AC848" t="s">
        <v>1983</v>
      </c>
    </row>
    <row r="849" spans="1:31" x14ac:dyDescent="0.2">
      <c r="A849">
        <v>46270119</v>
      </c>
      <c r="B849" t="s">
        <v>581</v>
      </c>
      <c r="C849" t="s">
        <v>1984</v>
      </c>
      <c r="D849" t="s">
        <v>32</v>
      </c>
      <c r="E849" s="9">
        <v>45958</v>
      </c>
      <c r="G849" t="s">
        <v>1972</v>
      </c>
      <c r="H849" t="s">
        <v>1973</v>
      </c>
      <c r="K849" t="s">
        <v>48</v>
      </c>
      <c r="L849" t="s">
        <v>49</v>
      </c>
      <c r="M849" t="s">
        <v>1974</v>
      </c>
      <c r="O849" t="s">
        <v>40</v>
      </c>
      <c r="P849" t="s">
        <v>40</v>
      </c>
      <c r="Q849" t="s">
        <v>40</v>
      </c>
      <c r="R849" t="s">
        <v>40</v>
      </c>
      <c r="S849" t="s">
        <v>40</v>
      </c>
      <c r="T849" t="s">
        <v>41</v>
      </c>
      <c r="U849" t="s">
        <v>40</v>
      </c>
      <c r="V849" t="s">
        <v>40</v>
      </c>
      <c r="W849" t="s">
        <v>40</v>
      </c>
      <c r="X849" t="s">
        <v>1985</v>
      </c>
      <c r="AB849" t="s">
        <v>1986</v>
      </c>
      <c r="AC849" t="s">
        <v>1987</v>
      </c>
    </row>
    <row r="850" spans="1:31" x14ac:dyDescent="0.2">
      <c r="A850">
        <v>46269490</v>
      </c>
      <c r="B850" t="s">
        <v>573</v>
      </c>
      <c r="C850" t="s">
        <v>1941</v>
      </c>
      <c r="D850" t="s">
        <v>32</v>
      </c>
      <c r="E850" s="9">
        <v>45958</v>
      </c>
      <c r="G850" t="s">
        <v>1972</v>
      </c>
      <c r="H850" t="s">
        <v>1973</v>
      </c>
      <c r="K850" t="s">
        <v>48</v>
      </c>
      <c r="L850" t="s">
        <v>49</v>
      </c>
      <c r="M850" t="s">
        <v>1974</v>
      </c>
      <c r="O850" t="s">
        <v>40</v>
      </c>
      <c r="P850" t="s">
        <v>40</v>
      </c>
      <c r="Q850" t="s">
        <v>40</v>
      </c>
      <c r="R850" t="s">
        <v>40</v>
      </c>
      <c r="S850" t="s">
        <v>40</v>
      </c>
      <c r="T850" t="s">
        <v>41</v>
      </c>
      <c r="U850" t="s">
        <v>40</v>
      </c>
      <c r="V850" t="s">
        <v>40</v>
      </c>
      <c r="W850" t="s">
        <v>40</v>
      </c>
      <c r="X850" t="s">
        <v>1988</v>
      </c>
      <c r="AB850" t="s">
        <v>1989</v>
      </c>
      <c r="AC850" t="s">
        <v>1990</v>
      </c>
      <c r="AD850" t="s">
        <v>1991</v>
      </c>
    </row>
    <row r="851" spans="1:31" x14ac:dyDescent="0.2">
      <c r="A851">
        <v>46270457</v>
      </c>
      <c r="B851" t="s">
        <v>572</v>
      </c>
      <c r="C851" t="s">
        <v>1992</v>
      </c>
      <c r="D851" t="s">
        <v>32</v>
      </c>
      <c r="E851" s="9">
        <v>45958</v>
      </c>
      <c r="G851" t="s">
        <v>1972</v>
      </c>
      <c r="H851" t="s">
        <v>1973</v>
      </c>
      <c r="K851" t="s">
        <v>48</v>
      </c>
      <c r="L851" t="s">
        <v>49</v>
      </c>
      <c r="M851" t="s">
        <v>1974</v>
      </c>
      <c r="O851" t="s">
        <v>40</v>
      </c>
      <c r="P851" t="s">
        <v>40</v>
      </c>
      <c r="Q851" t="s">
        <v>40</v>
      </c>
      <c r="R851" t="s">
        <v>40</v>
      </c>
      <c r="S851" t="s">
        <v>40</v>
      </c>
      <c r="T851" t="s">
        <v>41</v>
      </c>
      <c r="U851" t="s">
        <v>40</v>
      </c>
      <c r="V851" t="s">
        <v>40</v>
      </c>
      <c r="W851" t="s">
        <v>40</v>
      </c>
      <c r="AB851" t="s">
        <v>1993</v>
      </c>
      <c r="AC851" t="s">
        <v>1994</v>
      </c>
    </row>
    <row r="852" spans="1:31" x14ac:dyDescent="0.2">
      <c r="A852">
        <v>46336664</v>
      </c>
      <c r="B852" t="s">
        <v>796</v>
      </c>
      <c r="C852" t="s">
        <v>2204</v>
      </c>
      <c r="D852" t="s">
        <v>3505</v>
      </c>
      <c r="E852" s="9">
        <v>45965</v>
      </c>
      <c r="F852" s="9">
        <v>45986</v>
      </c>
      <c r="G852" t="s">
        <v>45</v>
      </c>
      <c r="H852" t="s">
        <v>46</v>
      </c>
      <c r="J852" t="s">
        <v>112</v>
      </c>
      <c r="K852" t="s">
        <v>48</v>
      </c>
      <c r="L852" t="s">
        <v>37</v>
      </c>
      <c r="M852" t="s">
        <v>50</v>
      </c>
      <c r="O852" t="s">
        <v>39</v>
      </c>
      <c r="P852" t="s">
        <v>39</v>
      </c>
      <c r="Q852" t="s">
        <v>39</v>
      </c>
      <c r="R852" t="s">
        <v>41</v>
      </c>
      <c r="S852" t="s">
        <v>40</v>
      </c>
      <c r="T852" t="s">
        <v>41</v>
      </c>
      <c r="U852" t="s">
        <v>40</v>
      </c>
      <c r="V852" t="s">
        <v>40</v>
      </c>
      <c r="W852" t="s">
        <v>40</v>
      </c>
      <c r="AB852" t="s">
        <v>2205</v>
      </c>
      <c r="AC852" t="s">
        <v>2206</v>
      </c>
      <c r="AD852" t="s">
        <v>2207</v>
      </c>
      <c r="AE852" t="s">
        <v>2208</v>
      </c>
    </row>
    <row r="853" spans="1:31" x14ac:dyDescent="0.2">
      <c r="A853">
        <v>46336636</v>
      </c>
      <c r="B853" t="s">
        <v>797</v>
      </c>
      <c r="C853" t="s">
        <v>2209</v>
      </c>
      <c r="D853" t="s">
        <v>32</v>
      </c>
      <c r="E853" s="9">
        <v>45965</v>
      </c>
      <c r="G853" t="s">
        <v>45</v>
      </c>
      <c r="H853" t="s">
        <v>46</v>
      </c>
      <c r="J853" t="s">
        <v>146</v>
      </c>
      <c r="K853" t="s">
        <v>48</v>
      </c>
      <c r="L853" t="s">
        <v>37</v>
      </c>
      <c r="M853" t="s">
        <v>50</v>
      </c>
      <c r="O853" t="s">
        <v>39</v>
      </c>
      <c r="P853" t="s">
        <v>39</v>
      </c>
      <c r="Q853" t="s">
        <v>39</v>
      </c>
      <c r="R853" t="s">
        <v>41</v>
      </c>
      <c r="S853" t="s">
        <v>40</v>
      </c>
      <c r="T853" t="s">
        <v>41</v>
      </c>
      <c r="U853" t="s">
        <v>40</v>
      </c>
      <c r="V853" t="s">
        <v>40</v>
      </c>
      <c r="W853" t="s">
        <v>40</v>
      </c>
      <c r="AB853" t="s">
        <v>2210</v>
      </c>
      <c r="AC853" t="s">
        <v>2211</v>
      </c>
      <c r="AD853" t="s">
        <v>2212</v>
      </c>
      <c r="AE853" t="s">
        <v>2213</v>
      </c>
    </row>
    <row r="854" spans="1:31" x14ac:dyDescent="0.2">
      <c r="A854">
        <v>46336682</v>
      </c>
      <c r="B854" t="s">
        <v>765</v>
      </c>
      <c r="C854" t="s">
        <v>2214</v>
      </c>
      <c r="D854" t="s">
        <v>32</v>
      </c>
      <c r="E854" s="9">
        <v>45965</v>
      </c>
      <c r="G854" t="s">
        <v>45</v>
      </c>
      <c r="H854" t="s">
        <v>90</v>
      </c>
      <c r="J854" t="s">
        <v>138</v>
      </c>
      <c r="K854" t="s">
        <v>48</v>
      </c>
      <c r="L854" t="s">
        <v>37</v>
      </c>
      <c r="M854" t="s">
        <v>50</v>
      </c>
      <c r="O854" t="s">
        <v>39</v>
      </c>
      <c r="P854" t="s">
        <v>39</v>
      </c>
      <c r="Q854" t="s">
        <v>39</v>
      </c>
      <c r="R854" t="s">
        <v>41</v>
      </c>
      <c r="S854" t="s">
        <v>40</v>
      </c>
      <c r="T854" t="s">
        <v>41</v>
      </c>
      <c r="U854" t="s">
        <v>40</v>
      </c>
      <c r="V854" t="s">
        <v>40</v>
      </c>
      <c r="W854" t="s">
        <v>40</v>
      </c>
      <c r="AB854" t="s">
        <v>2215</v>
      </c>
      <c r="AC854" t="s">
        <v>2216</v>
      </c>
      <c r="AD854" t="s">
        <v>2217</v>
      </c>
      <c r="AE854" t="s">
        <v>2218</v>
      </c>
    </row>
    <row r="855" spans="1:31" x14ac:dyDescent="0.2">
      <c r="A855">
        <v>46337025</v>
      </c>
      <c r="B855" t="s">
        <v>1091</v>
      </c>
      <c r="C855" t="s">
        <v>2219</v>
      </c>
      <c r="D855" t="s">
        <v>32</v>
      </c>
      <c r="E855" s="9">
        <v>45965</v>
      </c>
      <c r="G855" t="s">
        <v>45</v>
      </c>
      <c r="H855" t="s">
        <v>97</v>
      </c>
      <c r="I855" t="s">
        <v>53</v>
      </c>
      <c r="J855" t="s">
        <v>154</v>
      </c>
      <c r="K855" t="s">
        <v>48</v>
      </c>
      <c r="L855" t="s">
        <v>37</v>
      </c>
      <c r="M855" t="s">
        <v>50</v>
      </c>
      <c r="O855" t="s">
        <v>39</v>
      </c>
      <c r="P855" t="s">
        <v>39</v>
      </c>
      <c r="Q855" t="s">
        <v>39</v>
      </c>
      <c r="R855" t="s">
        <v>41</v>
      </c>
      <c r="S855" t="s">
        <v>40</v>
      </c>
      <c r="T855" t="s">
        <v>41</v>
      </c>
      <c r="U855" t="s">
        <v>39</v>
      </c>
      <c r="V855" t="s">
        <v>39</v>
      </c>
      <c r="W855" t="s">
        <v>40</v>
      </c>
      <c r="AB855" t="s">
        <v>2220</v>
      </c>
      <c r="AC855" t="s">
        <v>2221</v>
      </c>
      <c r="AD855" t="s">
        <v>2222</v>
      </c>
      <c r="AE855" t="s">
        <v>2223</v>
      </c>
    </row>
    <row r="856" spans="1:31" x14ac:dyDescent="0.2">
      <c r="A856">
        <v>46420508</v>
      </c>
      <c r="B856" t="s">
        <v>1134</v>
      </c>
      <c r="C856" t="s">
        <v>2224</v>
      </c>
      <c r="D856" t="s">
        <v>32</v>
      </c>
      <c r="E856" s="9">
        <v>45974</v>
      </c>
      <c r="G856" t="s">
        <v>45</v>
      </c>
      <c r="H856" t="s">
        <v>96</v>
      </c>
      <c r="J856" t="s">
        <v>1438</v>
      </c>
      <c r="K856" t="s">
        <v>48</v>
      </c>
      <c r="L856" t="s">
        <v>386</v>
      </c>
      <c r="M856" t="s">
        <v>50</v>
      </c>
      <c r="O856" t="s">
        <v>39</v>
      </c>
      <c r="P856" t="s">
        <v>41</v>
      </c>
      <c r="Q856" t="s">
        <v>39</v>
      </c>
      <c r="R856" t="s">
        <v>41</v>
      </c>
      <c r="S856" t="s">
        <v>40</v>
      </c>
      <c r="T856" t="s">
        <v>41</v>
      </c>
      <c r="U856" t="s">
        <v>39</v>
      </c>
      <c r="V856" t="s">
        <v>39</v>
      </c>
      <c r="W856" t="s">
        <v>40</v>
      </c>
      <c r="AB856" t="s">
        <v>2225</v>
      </c>
      <c r="AC856" t="s">
        <v>2226</v>
      </c>
      <c r="AD856" t="s">
        <v>2227</v>
      </c>
      <c r="AE856" t="s">
        <v>2228</v>
      </c>
    </row>
    <row r="857" spans="1:31" x14ac:dyDescent="0.2">
      <c r="A857">
        <v>46420475</v>
      </c>
      <c r="B857" t="s">
        <v>1133</v>
      </c>
      <c r="C857" t="s">
        <v>2229</v>
      </c>
      <c r="D857" t="s">
        <v>32</v>
      </c>
      <c r="E857" s="9">
        <v>45974</v>
      </c>
      <c r="G857" t="s">
        <v>45</v>
      </c>
      <c r="H857" t="s">
        <v>96</v>
      </c>
      <c r="J857" t="s">
        <v>2230</v>
      </c>
      <c r="K857" t="s">
        <v>48</v>
      </c>
      <c r="L857" t="s">
        <v>386</v>
      </c>
      <c r="M857" t="s">
        <v>50</v>
      </c>
      <c r="O857" t="s">
        <v>39</v>
      </c>
      <c r="P857" t="s">
        <v>41</v>
      </c>
      <c r="Q857" t="s">
        <v>39</v>
      </c>
      <c r="R857" t="s">
        <v>41</v>
      </c>
      <c r="S857" t="s">
        <v>40</v>
      </c>
      <c r="T857" t="s">
        <v>41</v>
      </c>
      <c r="U857" t="s">
        <v>39</v>
      </c>
      <c r="V857" t="s">
        <v>39</v>
      </c>
      <c r="W857" t="s">
        <v>40</v>
      </c>
      <c r="AB857" t="s">
        <v>2231</v>
      </c>
      <c r="AC857" t="s">
        <v>2232</v>
      </c>
      <c r="AD857" t="s">
        <v>2233</v>
      </c>
      <c r="AE857" t="s">
        <v>2234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Data Summary</vt:lpstr>
      <vt:lpstr>Final Data</vt:lpstr>
      <vt:lpstr>Experiment Tracker</vt:lpstr>
      <vt:lpstr>Consolidated Data - Static</vt:lpstr>
      <vt:lpstr>Consolidated Data - Dynamic</vt:lpstr>
      <vt:lpstr>REMOVED</vt:lpstr>
      <vt:lpstr>OUTCOME</vt:lpstr>
      <vt:lpstr>All - AdoptAPet</vt:lpstr>
      <vt:lpstr>All - PetPoint</vt:lpstr>
      <vt:lpstr>AnimalInventory - PetPoint</vt:lpstr>
      <vt:lpstr>Pivot Data</vt:lpstr>
      <vt:lpstr>PreTreat LOS</vt:lpstr>
      <vt:lpstr>PreTreat - All Data Reserve</vt:lpstr>
      <vt:lpstr>PreTreat DogTraffic</vt:lpstr>
      <vt:lpstr>Breed Group</vt:lpstr>
      <vt:lpstr>InitialRandom_10_07_25</vt:lpstr>
      <vt:lpstr>Randomize_10_18_25</vt:lpstr>
      <vt:lpstr>Randomize_10_20_25</vt:lpstr>
      <vt:lpstr>Randomize_11_17_25</vt:lpstr>
      <vt:lpstr>AnimalInventory- December 1</vt:lpstr>
      <vt:lpstr>Adopt-a-Pet.com  December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Steven Lanciotti</cp:lastModifiedBy>
  <dcterms:created xsi:type="dcterms:W3CDTF">2025-10-05T20:42:15Z</dcterms:created>
  <dcterms:modified xsi:type="dcterms:W3CDTF">2025-12-01T22:01:25Z</dcterms:modified>
</cp:coreProperties>
</file>